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4"/>
  <workbookPr defaultThemeVersion="166925"/>
  <mc:AlternateContent xmlns:mc="http://schemas.openxmlformats.org/markup-compatibility/2006">
    <mc:Choice Requires="x15">
      <x15ac:absPath xmlns:x15ac="http://schemas.microsoft.com/office/spreadsheetml/2010/11/ac" url="/Volumes/GoogleDrive-102063473778810789144/Mi unidad/Bases de Datos completas_NE/Proyecto-Montaña/"/>
    </mc:Choice>
  </mc:AlternateContent>
  <xr:revisionPtr revIDLastSave="0" documentId="8_{3EA3E05A-2B9D-C640-BB52-B48E38646347}" xr6:coauthVersionLast="47" xr6:coauthVersionMax="47" xr10:uidLastSave="{00000000-0000-0000-0000-000000000000}"/>
  <bookViews>
    <workbookView xWindow="0" yWindow="0" windowWidth="25600" windowHeight="16000" firstSheet="1" activeTab="1" xr2:uid="{317D378A-FC71-41C1-BD17-C70E70CA36AF}"/>
  </bookViews>
  <sheets>
    <sheet name="Encuestas" sheetId="2" r:id="rId1"/>
    <sheet name="Proteínas_Ciudad" sheetId="4" r:id="rId2"/>
    <sheet name="Proteínas_Montaña" sheetId="6" r:id="rId3"/>
    <sheet name="Lípidos_Ciudad" sheetId="5" r:id="rId4"/>
    <sheet name="Lípidos_Montaña" sheetId="7" r:id="rId5"/>
    <sheet name="Antropométricas_Ciudad" sheetId="8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Q43" i="8" l="1"/>
  <c r="Q42" i="8"/>
  <c r="S23" i="8"/>
  <c r="S24" i="8"/>
  <c r="S25" i="8"/>
  <c r="S26" i="8"/>
  <c r="S27" i="8"/>
  <c r="S28" i="8"/>
  <c r="S29" i="8"/>
  <c r="S30" i="8"/>
  <c r="S31" i="8"/>
  <c r="S32" i="8"/>
  <c r="S33" i="8"/>
  <c r="S34" i="8"/>
  <c r="S35" i="8"/>
  <c r="S36" i="8"/>
  <c r="S37" i="8"/>
  <c r="S14" i="8"/>
  <c r="S15" i="8"/>
  <c r="S16" i="8"/>
  <c r="S17" i="8"/>
  <c r="S18" i="8"/>
  <c r="S19" i="8"/>
  <c r="S20" i="8"/>
  <c r="S21" i="8"/>
  <c r="S22" i="8"/>
  <c r="S3" i="8"/>
  <c r="S4" i="8"/>
  <c r="S5" i="8"/>
  <c r="S6" i="8"/>
  <c r="S7" i="8"/>
  <c r="S8" i="8"/>
  <c r="S9" i="8"/>
  <c r="S10" i="8"/>
  <c r="S11" i="8"/>
  <c r="S12" i="8"/>
  <c r="S13" i="8"/>
  <c r="S2" i="8"/>
  <c r="R30" i="8"/>
  <c r="R31" i="8"/>
  <c r="R32" i="8"/>
  <c r="R33" i="8"/>
  <c r="R34" i="8"/>
  <c r="R35" i="8"/>
  <c r="R36" i="8"/>
  <c r="R37" i="8"/>
  <c r="R18" i="8"/>
  <c r="R19" i="8"/>
  <c r="R20" i="8"/>
  <c r="R21" i="8"/>
  <c r="R22" i="8"/>
  <c r="R23" i="8"/>
  <c r="R24" i="8"/>
  <c r="R25" i="8"/>
  <c r="R26" i="8"/>
  <c r="R27" i="8"/>
  <c r="R28" i="8"/>
  <c r="R29" i="8"/>
  <c r="R3" i="8"/>
  <c r="R4" i="8"/>
  <c r="R5" i="8"/>
  <c r="R6" i="8"/>
  <c r="R7" i="8"/>
  <c r="R8" i="8"/>
  <c r="R9" i="8"/>
  <c r="R10" i="8"/>
  <c r="R11" i="8"/>
  <c r="R12" i="8"/>
  <c r="R13" i="8"/>
  <c r="R14" i="8"/>
  <c r="R15" i="8"/>
  <c r="R16" i="8"/>
  <c r="R17" i="8"/>
  <c r="R2" i="8"/>
  <c r="Q40" i="8"/>
  <c r="Q39" i="8"/>
  <c r="Q17" i="8"/>
  <c r="Q16" i="8"/>
  <c r="Q15" i="8"/>
  <c r="Q13" i="8"/>
  <c r="Q12" i="8"/>
  <c r="Q3" i="8" l="1"/>
  <c r="N43" i="8" l="1"/>
  <c r="N42" i="8"/>
  <c r="P30" i="8"/>
  <c r="P31" i="8"/>
  <c r="P32" i="8"/>
  <c r="P33" i="8"/>
  <c r="P34" i="8"/>
  <c r="P35" i="8"/>
  <c r="P36" i="8"/>
  <c r="P37" i="8"/>
  <c r="P19" i="8"/>
  <c r="P20" i="8"/>
  <c r="P21" i="8"/>
  <c r="P22" i="8"/>
  <c r="P23" i="8"/>
  <c r="P24" i="8"/>
  <c r="P25" i="8"/>
  <c r="P26" i="8"/>
  <c r="P27" i="8"/>
  <c r="P28" i="8"/>
  <c r="P29" i="8"/>
  <c r="P16" i="8"/>
  <c r="P17" i="8"/>
  <c r="P18" i="8"/>
  <c r="P3" i="8"/>
  <c r="P4" i="8"/>
  <c r="P5" i="8"/>
  <c r="P6" i="8"/>
  <c r="P7" i="8"/>
  <c r="P8" i="8"/>
  <c r="P9" i="8"/>
  <c r="P10" i="8"/>
  <c r="P11" i="8"/>
  <c r="P12" i="8"/>
  <c r="P13" i="8"/>
  <c r="P14" i="8"/>
  <c r="P15" i="8"/>
  <c r="P2" i="8"/>
  <c r="O37" i="8"/>
  <c r="O27" i="8"/>
  <c r="O28" i="8"/>
  <c r="O29" i="8"/>
  <c r="O30" i="8"/>
  <c r="O31" i="8"/>
  <c r="O32" i="8"/>
  <c r="O33" i="8"/>
  <c r="O34" i="8"/>
  <c r="O35" i="8"/>
  <c r="O36" i="8"/>
  <c r="O17" i="8"/>
  <c r="O18" i="8"/>
  <c r="O19" i="8"/>
  <c r="O20" i="8"/>
  <c r="O21" i="8"/>
  <c r="O22" i="8"/>
  <c r="O23" i="8"/>
  <c r="O24" i="8"/>
  <c r="O25" i="8"/>
  <c r="O26" i="8"/>
  <c r="O5" i="8"/>
  <c r="O6" i="8"/>
  <c r="O7" i="8"/>
  <c r="O8" i="8"/>
  <c r="O9" i="8"/>
  <c r="O10" i="8"/>
  <c r="O11" i="8"/>
  <c r="O12" i="8"/>
  <c r="O13" i="8"/>
  <c r="O14" i="8"/>
  <c r="O15" i="8"/>
  <c r="O16" i="8"/>
  <c r="O3" i="8"/>
  <c r="O4" i="8"/>
  <c r="O2" i="8"/>
  <c r="N40" i="8"/>
  <c r="N39" i="8"/>
  <c r="K43" i="8" l="1"/>
  <c r="K42" i="8"/>
  <c r="M29" i="8"/>
  <c r="M30" i="8"/>
  <c r="M31" i="8"/>
  <c r="M32" i="8"/>
  <c r="M33" i="8"/>
  <c r="M34" i="8"/>
  <c r="M35" i="8"/>
  <c r="M36" i="8"/>
  <c r="M37" i="8"/>
  <c r="M21" i="8"/>
  <c r="M22" i="8"/>
  <c r="M23" i="8"/>
  <c r="M24" i="8"/>
  <c r="M25" i="8"/>
  <c r="M26" i="8"/>
  <c r="M27" i="8"/>
  <c r="M28" i="8"/>
  <c r="M15" i="8"/>
  <c r="M16" i="8"/>
  <c r="M17" i="8"/>
  <c r="M18" i="8"/>
  <c r="M19" i="8"/>
  <c r="M20" i="8"/>
  <c r="M3" i="8"/>
  <c r="M4" i="8"/>
  <c r="M5" i="8"/>
  <c r="M6" i="8"/>
  <c r="M7" i="8"/>
  <c r="M8" i="8"/>
  <c r="M9" i="8"/>
  <c r="M10" i="8"/>
  <c r="M11" i="8"/>
  <c r="M12" i="8"/>
  <c r="M13" i="8"/>
  <c r="M14" i="8"/>
  <c r="M2" i="8"/>
  <c r="L37" i="8"/>
  <c r="L25" i="8"/>
  <c r="L26" i="8"/>
  <c r="L27" i="8"/>
  <c r="L28" i="8"/>
  <c r="L29" i="8"/>
  <c r="L30" i="8"/>
  <c r="L31" i="8"/>
  <c r="L32" i="8"/>
  <c r="L33" i="8"/>
  <c r="L34" i="8"/>
  <c r="L35" i="8"/>
  <c r="L36" i="8"/>
  <c r="L15" i="8"/>
  <c r="L16" i="8"/>
  <c r="L17" i="8"/>
  <c r="L18" i="8"/>
  <c r="L19" i="8"/>
  <c r="L20" i="8"/>
  <c r="L21" i="8"/>
  <c r="L22" i="8"/>
  <c r="L23" i="8"/>
  <c r="L24" i="8"/>
  <c r="L3" i="8"/>
  <c r="L4" i="8"/>
  <c r="L5" i="8"/>
  <c r="L6" i="8"/>
  <c r="L7" i="8"/>
  <c r="L8" i="8"/>
  <c r="L9" i="8"/>
  <c r="L10" i="8"/>
  <c r="L11" i="8"/>
  <c r="L12" i="8"/>
  <c r="L13" i="8"/>
  <c r="L14" i="8"/>
  <c r="L2" i="8"/>
  <c r="K40" i="8"/>
  <c r="K39" i="8"/>
  <c r="H43" i="8"/>
  <c r="H42" i="8"/>
  <c r="J31" i="8"/>
  <c r="J32" i="8"/>
  <c r="J33" i="8"/>
  <c r="J34" i="8"/>
  <c r="J35" i="8"/>
  <c r="J36" i="8"/>
  <c r="J37" i="8"/>
  <c r="J19" i="8"/>
  <c r="J20" i="8"/>
  <c r="J21" i="8"/>
  <c r="J22" i="8"/>
  <c r="J23" i="8"/>
  <c r="J24" i="8"/>
  <c r="J25" i="8"/>
  <c r="J26" i="8"/>
  <c r="J27" i="8"/>
  <c r="J28" i="8"/>
  <c r="J29" i="8"/>
  <c r="J30" i="8"/>
  <c r="J12" i="8"/>
  <c r="J13" i="8"/>
  <c r="J14" i="8"/>
  <c r="J15" i="8"/>
  <c r="J16" i="8"/>
  <c r="J17" i="8"/>
  <c r="J18" i="8"/>
  <c r="J9" i="8"/>
  <c r="J10" i="8"/>
  <c r="J11" i="8"/>
  <c r="J3" i="8"/>
  <c r="J4" i="8"/>
  <c r="J5" i="8"/>
  <c r="J6" i="8"/>
  <c r="J7" i="8"/>
  <c r="J8" i="8"/>
  <c r="J2" i="8"/>
  <c r="I31" i="8"/>
  <c r="I32" i="8"/>
  <c r="I33" i="8"/>
  <c r="I34" i="8"/>
  <c r="I35" i="8"/>
  <c r="I36" i="8"/>
  <c r="I37" i="8"/>
  <c r="I18" i="8"/>
  <c r="I19" i="8"/>
  <c r="I20" i="8"/>
  <c r="I21" i="8"/>
  <c r="I22" i="8"/>
  <c r="I23" i="8"/>
  <c r="I24" i="8"/>
  <c r="I25" i="8"/>
  <c r="I26" i="8"/>
  <c r="I27" i="8"/>
  <c r="I28" i="8"/>
  <c r="I29" i="8"/>
  <c r="I30" i="8"/>
  <c r="I12" i="8"/>
  <c r="I13" i="8"/>
  <c r="I14" i="8"/>
  <c r="I15" i="8"/>
  <c r="I16" i="8"/>
  <c r="I17" i="8"/>
  <c r="I7" i="8"/>
  <c r="I8" i="8"/>
  <c r="I9" i="8"/>
  <c r="I10" i="8"/>
  <c r="I11" i="8"/>
  <c r="I6" i="8"/>
  <c r="I5" i="8"/>
  <c r="I4" i="8"/>
  <c r="I3" i="8"/>
  <c r="I2" i="8"/>
  <c r="H40" i="8"/>
  <c r="H39" i="8" l="1"/>
  <c r="E43" i="8"/>
  <c r="E42" i="8"/>
  <c r="G35" i="8"/>
  <c r="G36" i="8"/>
  <c r="G37" i="8"/>
  <c r="G22" i="8"/>
  <c r="G23" i="8"/>
  <c r="G24" i="8"/>
  <c r="G25" i="8"/>
  <c r="G26" i="8"/>
  <c r="G27" i="8"/>
  <c r="G28" i="8"/>
  <c r="G29" i="8"/>
  <c r="G30" i="8"/>
  <c r="G31" i="8"/>
  <c r="G32" i="8"/>
  <c r="G33" i="8"/>
  <c r="G34" i="8"/>
  <c r="G13" i="8"/>
  <c r="G14" i="8"/>
  <c r="G15" i="8"/>
  <c r="G16" i="8"/>
  <c r="G17" i="8"/>
  <c r="G18" i="8"/>
  <c r="G19" i="8"/>
  <c r="G20" i="8"/>
  <c r="G21" i="8"/>
  <c r="G3" i="8"/>
  <c r="G4" i="8"/>
  <c r="G5" i="8"/>
  <c r="G6" i="8"/>
  <c r="G7" i="8"/>
  <c r="G8" i="8"/>
  <c r="G9" i="8"/>
  <c r="G10" i="8"/>
  <c r="G11" i="8"/>
  <c r="G12" i="8"/>
  <c r="G2" i="8"/>
  <c r="F36" i="8"/>
  <c r="F37" i="8"/>
  <c r="F21" i="8"/>
  <c r="F22" i="8"/>
  <c r="F23" i="8"/>
  <c r="F24" i="8"/>
  <c r="F25" i="8"/>
  <c r="F26" i="8"/>
  <c r="F27" i="8"/>
  <c r="F28" i="8"/>
  <c r="F29" i="8"/>
  <c r="F30" i="8"/>
  <c r="F31" i="8"/>
  <c r="F32" i="8"/>
  <c r="F33" i="8"/>
  <c r="F34" i="8"/>
  <c r="F35" i="8"/>
  <c r="F9" i="8"/>
  <c r="F10" i="8"/>
  <c r="F11" i="8"/>
  <c r="F12" i="8"/>
  <c r="F13" i="8"/>
  <c r="F14" i="8"/>
  <c r="F15" i="8"/>
  <c r="F16" i="8"/>
  <c r="F17" i="8"/>
  <c r="F18" i="8"/>
  <c r="F19" i="8"/>
  <c r="F20" i="8"/>
  <c r="F3" i="8"/>
  <c r="F4" i="8"/>
  <c r="F5" i="8"/>
  <c r="F6" i="8"/>
  <c r="F7" i="8"/>
  <c r="F8" i="8"/>
  <c r="F2" i="8"/>
  <c r="E40" i="8"/>
  <c r="E39" i="8"/>
  <c r="Q37" i="8" l="1"/>
  <c r="Q36" i="8"/>
  <c r="Q35" i="8"/>
  <c r="Q34" i="8"/>
  <c r="Q33" i="8"/>
  <c r="Q32" i="8"/>
  <c r="Q31" i="8"/>
  <c r="Q30" i="8"/>
  <c r="Q29" i="8"/>
  <c r="Q28" i="8"/>
  <c r="Q27" i="8"/>
  <c r="Q26" i="8"/>
  <c r="Q25" i="8"/>
  <c r="Q24" i="8"/>
  <c r="Q23" i="8"/>
  <c r="Q22" i="8"/>
  <c r="Q21" i="8"/>
  <c r="Q20" i="8"/>
  <c r="Q19" i="8"/>
  <c r="Q18" i="8"/>
  <c r="Q14" i="8"/>
  <c r="Q11" i="8"/>
  <c r="Q10" i="8"/>
  <c r="Q9" i="8"/>
  <c r="Q8" i="8"/>
  <c r="Q7" i="8"/>
  <c r="Q6" i="8"/>
  <c r="Q5" i="8"/>
  <c r="Q4" i="8"/>
  <c r="Q2" i="8"/>
  <c r="AP50" i="7" l="1"/>
  <c r="AP49" i="7"/>
  <c r="AR43" i="7"/>
  <c r="AR38" i="7"/>
  <c r="AR39" i="7"/>
  <c r="AR40" i="7"/>
  <c r="AR41" i="7"/>
  <c r="AR42" i="7"/>
  <c r="AR25" i="7"/>
  <c r="AR26" i="7"/>
  <c r="AR27" i="7"/>
  <c r="AR28" i="7"/>
  <c r="AR29" i="7"/>
  <c r="AR30" i="7"/>
  <c r="AR31" i="7"/>
  <c r="AR32" i="7"/>
  <c r="AR33" i="7"/>
  <c r="AR34" i="7"/>
  <c r="AR35" i="7"/>
  <c r="AR36" i="7"/>
  <c r="AR37" i="7"/>
  <c r="AR5" i="7"/>
  <c r="AR6" i="7"/>
  <c r="AR7" i="7"/>
  <c r="AR8" i="7"/>
  <c r="AR9" i="7"/>
  <c r="AR10" i="7"/>
  <c r="AR11" i="7"/>
  <c r="AR12" i="7"/>
  <c r="AR13" i="7"/>
  <c r="AR14" i="7"/>
  <c r="AR15" i="7"/>
  <c r="AR16" i="7"/>
  <c r="AR17" i="7"/>
  <c r="AR18" i="7"/>
  <c r="AR19" i="7"/>
  <c r="AR20" i="7"/>
  <c r="AR4" i="7"/>
  <c r="AQ35" i="7"/>
  <c r="AQ36" i="7"/>
  <c r="AQ37" i="7"/>
  <c r="AQ38" i="7"/>
  <c r="AQ39" i="7"/>
  <c r="AQ40" i="7"/>
  <c r="AQ41" i="7"/>
  <c r="AQ42" i="7"/>
  <c r="AQ43" i="7"/>
  <c r="AQ25" i="7"/>
  <c r="AQ26" i="7"/>
  <c r="AQ27" i="7"/>
  <c r="AQ28" i="7"/>
  <c r="AQ29" i="7"/>
  <c r="AQ30" i="7"/>
  <c r="AQ31" i="7"/>
  <c r="AQ32" i="7"/>
  <c r="AQ33" i="7"/>
  <c r="AQ34" i="7"/>
  <c r="AQ5" i="7"/>
  <c r="AQ6" i="7"/>
  <c r="AQ7" i="7"/>
  <c r="AQ8" i="7"/>
  <c r="AQ9" i="7"/>
  <c r="AQ10" i="7"/>
  <c r="AQ11" i="7"/>
  <c r="AQ12" i="7"/>
  <c r="AQ13" i="7"/>
  <c r="AQ14" i="7"/>
  <c r="AQ15" i="7"/>
  <c r="AQ16" i="7"/>
  <c r="AQ17" i="7"/>
  <c r="AQ18" i="7"/>
  <c r="AQ19" i="7"/>
  <c r="AQ20" i="7"/>
  <c r="AQ4" i="7"/>
  <c r="AP47" i="7"/>
  <c r="AP46" i="7"/>
  <c r="AP44" i="7"/>
  <c r="AF45" i="5"/>
  <c r="AF44" i="5"/>
  <c r="AH31" i="5"/>
  <c r="AH32" i="5"/>
  <c r="AH33" i="5"/>
  <c r="AH34" i="5"/>
  <c r="AH35" i="5"/>
  <c r="AH36" i="5"/>
  <c r="AH37" i="5"/>
  <c r="AH38" i="5"/>
  <c r="AH39" i="5"/>
  <c r="AH19" i="5"/>
  <c r="AH20" i="5"/>
  <c r="AH21" i="5"/>
  <c r="AH22" i="5"/>
  <c r="AH23" i="5"/>
  <c r="AH24" i="5"/>
  <c r="AH25" i="5"/>
  <c r="AH26" i="5"/>
  <c r="AH27" i="5"/>
  <c r="AH28" i="5"/>
  <c r="AH29" i="5"/>
  <c r="AH30" i="5"/>
  <c r="AH7" i="5"/>
  <c r="AH8" i="5"/>
  <c r="AH9" i="5"/>
  <c r="AH10" i="5"/>
  <c r="AH11" i="5"/>
  <c r="AH12" i="5"/>
  <c r="AH13" i="5"/>
  <c r="AH14" i="5"/>
  <c r="AH15" i="5"/>
  <c r="AH16" i="5"/>
  <c r="AH17" i="5"/>
  <c r="AH18" i="5"/>
  <c r="AH5" i="5"/>
  <c r="AH6" i="5"/>
  <c r="AH4" i="5"/>
  <c r="AG37" i="5"/>
  <c r="AG38" i="5"/>
  <c r="AG39" i="5"/>
  <c r="AG23" i="5"/>
  <c r="AG24" i="5"/>
  <c r="AG25" i="5"/>
  <c r="AG26" i="5"/>
  <c r="AG27" i="5"/>
  <c r="AG28" i="5"/>
  <c r="AG29" i="5"/>
  <c r="AG30" i="5"/>
  <c r="AG31" i="5"/>
  <c r="AG32" i="5"/>
  <c r="AG33" i="5"/>
  <c r="AG34" i="5"/>
  <c r="AG35" i="5"/>
  <c r="AG36" i="5"/>
  <c r="AG10" i="5"/>
  <c r="AG11" i="5"/>
  <c r="AG12" i="5"/>
  <c r="AG13" i="5"/>
  <c r="AG14" i="5"/>
  <c r="AG15" i="5"/>
  <c r="AG16" i="5"/>
  <c r="AG17" i="5"/>
  <c r="AG18" i="5"/>
  <c r="AG19" i="5"/>
  <c r="AG20" i="5"/>
  <c r="AG21" i="5"/>
  <c r="AG22" i="5"/>
  <c r="AG5" i="5"/>
  <c r="AG6" i="5"/>
  <c r="AG7" i="5"/>
  <c r="AG8" i="5"/>
  <c r="AG9" i="5"/>
  <c r="AG4" i="5"/>
  <c r="AF42" i="5"/>
  <c r="AF41" i="5"/>
  <c r="AF51" i="6"/>
  <c r="AF50" i="6"/>
  <c r="AH43" i="6"/>
  <c r="AH44" i="6"/>
  <c r="AH45" i="6"/>
  <c r="AH34" i="6"/>
  <c r="AH35" i="6"/>
  <c r="AH36" i="6"/>
  <c r="AH37" i="6"/>
  <c r="AH38" i="6"/>
  <c r="AH39" i="6"/>
  <c r="AH40" i="6"/>
  <c r="AH41" i="6"/>
  <c r="AH42" i="6"/>
  <c r="AH27" i="6"/>
  <c r="AH28" i="6"/>
  <c r="AH29" i="6"/>
  <c r="AH30" i="6"/>
  <c r="AH31" i="6"/>
  <c r="AH32" i="6"/>
  <c r="AH33" i="6"/>
  <c r="AH6" i="6"/>
  <c r="AH7" i="6"/>
  <c r="AH8" i="6"/>
  <c r="AH9" i="6"/>
  <c r="AH10" i="6"/>
  <c r="AH11" i="6"/>
  <c r="AH12" i="6"/>
  <c r="AH13" i="6"/>
  <c r="AH14" i="6"/>
  <c r="AH15" i="6"/>
  <c r="AH16" i="6"/>
  <c r="AH17" i="6"/>
  <c r="AH18" i="6"/>
  <c r="AH19" i="6"/>
  <c r="AH20" i="6"/>
  <c r="AH21" i="6"/>
  <c r="AH5" i="6"/>
  <c r="AH4" i="6"/>
  <c r="AG40" i="6"/>
  <c r="AG41" i="6"/>
  <c r="AG42" i="6"/>
  <c r="AG43" i="6"/>
  <c r="AG44" i="6"/>
  <c r="AG45" i="6"/>
  <c r="AG32" i="6"/>
  <c r="AG33" i="6"/>
  <c r="AG34" i="6"/>
  <c r="AG35" i="6"/>
  <c r="AG36" i="6"/>
  <c r="AG37" i="6"/>
  <c r="AG38" i="6"/>
  <c r="AG39" i="6"/>
  <c r="AG27" i="6"/>
  <c r="AG28" i="6"/>
  <c r="AG29" i="6"/>
  <c r="AG30" i="6"/>
  <c r="AG31" i="6"/>
  <c r="AG12" i="6"/>
  <c r="AG13" i="6"/>
  <c r="AG14" i="6"/>
  <c r="AG15" i="6"/>
  <c r="AG16" i="6"/>
  <c r="AG17" i="6"/>
  <c r="AG18" i="6"/>
  <c r="AG19" i="6"/>
  <c r="AG20" i="6"/>
  <c r="AG21" i="6"/>
  <c r="AG5" i="6"/>
  <c r="AG6" i="6"/>
  <c r="AG7" i="6"/>
  <c r="AG8" i="6"/>
  <c r="AG9" i="6"/>
  <c r="AG10" i="6"/>
  <c r="AG11" i="6"/>
  <c r="AG4" i="6"/>
  <c r="AF48" i="6"/>
  <c r="AF47" i="6"/>
  <c r="AH60" i="4" l="1"/>
  <c r="AH58" i="4"/>
  <c r="AH52" i="4"/>
  <c r="AH53" i="4"/>
  <c r="AH54" i="4"/>
  <c r="AH51" i="4"/>
  <c r="AG52" i="4"/>
  <c r="AG53" i="4"/>
  <c r="AG54" i="4"/>
  <c r="AG51" i="4"/>
  <c r="AF57" i="4"/>
  <c r="AI44" i="4"/>
  <c r="AH44" i="4"/>
  <c r="AH42" i="4"/>
  <c r="AH33" i="4"/>
  <c r="AH34" i="4"/>
  <c r="AH35" i="4"/>
  <c r="AH36" i="4"/>
  <c r="AH37" i="4"/>
  <c r="AH38" i="4"/>
  <c r="AH39" i="4"/>
  <c r="AH26" i="4"/>
  <c r="AH27" i="4"/>
  <c r="AH28" i="4"/>
  <c r="AH29" i="4"/>
  <c r="AH30" i="4"/>
  <c r="AH31" i="4"/>
  <c r="AH32" i="4"/>
  <c r="AH16" i="4"/>
  <c r="AH17" i="4"/>
  <c r="AH18" i="4"/>
  <c r="AH19" i="4"/>
  <c r="AH20" i="4"/>
  <c r="AH21" i="4"/>
  <c r="AH22" i="4"/>
  <c r="AH23" i="4"/>
  <c r="AH24" i="4"/>
  <c r="AH25" i="4"/>
  <c r="AH10" i="4"/>
  <c r="AH11" i="4"/>
  <c r="AH12" i="4"/>
  <c r="AH13" i="4"/>
  <c r="AH14" i="4"/>
  <c r="AH15" i="4"/>
  <c r="AH5" i="4"/>
  <c r="AH6" i="4"/>
  <c r="AH7" i="4"/>
  <c r="AH8" i="4"/>
  <c r="AH9" i="4"/>
  <c r="AH4" i="4"/>
  <c r="AG33" i="4"/>
  <c r="AG34" i="4"/>
  <c r="AG35" i="4"/>
  <c r="AG36" i="4"/>
  <c r="AG37" i="4"/>
  <c r="AG38" i="4"/>
  <c r="AG39" i="4"/>
  <c r="AG26" i="4"/>
  <c r="AG27" i="4"/>
  <c r="AG28" i="4"/>
  <c r="AG29" i="4"/>
  <c r="AG30" i="4"/>
  <c r="AG31" i="4"/>
  <c r="AG32" i="4"/>
  <c r="AG19" i="4"/>
  <c r="AG20" i="4"/>
  <c r="AG21" i="4"/>
  <c r="AG22" i="4"/>
  <c r="AG23" i="4"/>
  <c r="AG24" i="4"/>
  <c r="AG25" i="4"/>
  <c r="AG8" i="4"/>
  <c r="AG9" i="4"/>
  <c r="AG10" i="4"/>
  <c r="AG11" i="4"/>
  <c r="AG12" i="4"/>
  <c r="AG13" i="4"/>
  <c r="AG14" i="4"/>
  <c r="AG15" i="4"/>
  <c r="AG16" i="4"/>
  <c r="AG17" i="4"/>
  <c r="AG18" i="4"/>
  <c r="AG5" i="4"/>
  <c r="AG6" i="4"/>
  <c r="AG7" i="4"/>
  <c r="AG4" i="4"/>
  <c r="AF41" i="4"/>
  <c r="AF40" i="4"/>
  <c r="H15" i="7" l="1"/>
  <c r="AN43" i="7"/>
  <c r="AJ43" i="7"/>
  <c r="AF43" i="7"/>
  <c r="AP43" i="7" s="1"/>
  <c r="AO43" i="7" s="1"/>
  <c r="AB43" i="7"/>
  <c r="X43" i="7"/>
  <c r="T43" i="7"/>
  <c r="P43" i="7"/>
  <c r="L43" i="7"/>
  <c r="H43" i="7"/>
  <c r="AN42" i="7"/>
  <c r="AJ42" i="7"/>
  <c r="AF42" i="7"/>
  <c r="AP42" i="7" s="1"/>
  <c r="AO42" i="7" s="1"/>
  <c r="AB42" i="7"/>
  <c r="X42" i="7"/>
  <c r="T42" i="7"/>
  <c r="P42" i="7"/>
  <c r="L42" i="7"/>
  <c r="H42" i="7"/>
  <c r="AN41" i="7"/>
  <c r="AJ41" i="7"/>
  <c r="AB41" i="7"/>
  <c r="X41" i="7"/>
  <c r="T41" i="7"/>
  <c r="P41" i="7"/>
  <c r="L41" i="7"/>
  <c r="H41" i="7"/>
  <c r="AN40" i="7"/>
  <c r="AJ40" i="7"/>
  <c r="AB40" i="7"/>
  <c r="X40" i="7"/>
  <c r="T40" i="7"/>
  <c r="P40" i="7"/>
  <c r="L40" i="7"/>
  <c r="H40" i="7"/>
  <c r="AN39" i="7"/>
  <c r="AJ39" i="7"/>
  <c r="AF39" i="7"/>
  <c r="AP39" i="7" s="1"/>
  <c r="AO39" i="7" s="1"/>
  <c r="AB39" i="7"/>
  <c r="X39" i="7"/>
  <c r="T39" i="7"/>
  <c r="P39" i="7"/>
  <c r="L39" i="7"/>
  <c r="H39" i="7"/>
  <c r="AN38" i="7"/>
  <c r="AJ38" i="7"/>
  <c r="AF38" i="7"/>
  <c r="AP38" i="7" s="1"/>
  <c r="AO38" i="7" s="1"/>
  <c r="AB38" i="7"/>
  <c r="X38" i="7"/>
  <c r="T38" i="7"/>
  <c r="P38" i="7"/>
  <c r="L38" i="7"/>
  <c r="H38" i="7"/>
  <c r="AN37" i="7"/>
  <c r="AP37" i="7" s="1"/>
  <c r="AO37" i="7" s="1"/>
  <c r="AJ37" i="7"/>
  <c r="AF37" i="7"/>
  <c r="AB37" i="7"/>
  <c r="X37" i="7"/>
  <c r="T37" i="7"/>
  <c r="P37" i="7"/>
  <c r="L37" i="7"/>
  <c r="H37" i="7"/>
  <c r="AN36" i="7"/>
  <c r="AJ36" i="7"/>
  <c r="AB36" i="7"/>
  <c r="X36" i="7"/>
  <c r="T36" i="7"/>
  <c r="P36" i="7"/>
  <c r="L36" i="7"/>
  <c r="H36" i="7"/>
  <c r="AN35" i="7"/>
  <c r="AJ35" i="7"/>
  <c r="AF35" i="7"/>
  <c r="AP35" i="7" s="1"/>
  <c r="AO35" i="7" s="1"/>
  <c r="AB35" i="7"/>
  <c r="X35" i="7"/>
  <c r="T35" i="7"/>
  <c r="P35" i="7"/>
  <c r="L35" i="7"/>
  <c r="H35" i="7"/>
  <c r="AN34" i="7"/>
  <c r="AJ34" i="7"/>
  <c r="AF34" i="7"/>
  <c r="AP34" i="7" s="1"/>
  <c r="AO34" i="7" s="1"/>
  <c r="AB34" i="7"/>
  <c r="X34" i="7"/>
  <c r="T34" i="7"/>
  <c r="P34" i="7"/>
  <c r="L34" i="7"/>
  <c r="H34" i="7"/>
  <c r="AN33" i="7"/>
  <c r="AP33" i="7" s="1"/>
  <c r="AO33" i="7" s="1"/>
  <c r="AJ33" i="7"/>
  <c r="AF33" i="7"/>
  <c r="AB33" i="7"/>
  <c r="X33" i="7"/>
  <c r="T33" i="7"/>
  <c r="P33" i="7"/>
  <c r="L33" i="7"/>
  <c r="H33" i="7"/>
  <c r="AN32" i="7"/>
  <c r="AJ32" i="7"/>
  <c r="AB32" i="7"/>
  <c r="X32" i="7"/>
  <c r="T32" i="7"/>
  <c r="P32" i="7"/>
  <c r="L32" i="7"/>
  <c r="H32" i="7"/>
  <c r="AN31" i="7"/>
  <c r="AJ31" i="7"/>
  <c r="AF31" i="7"/>
  <c r="AP31" i="7" s="1"/>
  <c r="AO31" i="7" s="1"/>
  <c r="AB31" i="7"/>
  <c r="X31" i="7"/>
  <c r="T31" i="7"/>
  <c r="P31" i="7"/>
  <c r="L31" i="7"/>
  <c r="H31" i="7"/>
  <c r="AN30" i="7"/>
  <c r="AJ30" i="7"/>
  <c r="AF30" i="7"/>
  <c r="AP30" i="7" s="1"/>
  <c r="AO30" i="7" s="1"/>
  <c r="AB30" i="7"/>
  <c r="X30" i="7"/>
  <c r="T30" i="7"/>
  <c r="P30" i="7"/>
  <c r="L30" i="7"/>
  <c r="H30" i="7"/>
  <c r="AN29" i="7"/>
  <c r="AP29" i="7" s="1"/>
  <c r="AO29" i="7" s="1"/>
  <c r="AJ29" i="7"/>
  <c r="AF29" i="7"/>
  <c r="AB29" i="7"/>
  <c r="X29" i="7"/>
  <c r="T29" i="7"/>
  <c r="P29" i="7"/>
  <c r="L29" i="7"/>
  <c r="H29" i="7"/>
  <c r="AN28" i="7"/>
  <c r="AJ28" i="7"/>
  <c r="AB28" i="7"/>
  <c r="X28" i="7"/>
  <c r="T28" i="7"/>
  <c r="P28" i="7"/>
  <c r="L28" i="7"/>
  <c r="H28" i="7"/>
  <c r="AN27" i="7"/>
  <c r="AJ27" i="7"/>
  <c r="AF27" i="7"/>
  <c r="AP27" i="7" s="1"/>
  <c r="AO27" i="7" s="1"/>
  <c r="AB27" i="7"/>
  <c r="X27" i="7"/>
  <c r="T27" i="7"/>
  <c r="P27" i="7"/>
  <c r="L27" i="7"/>
  <c r="H27" i="7"/>
  <c r="AN26" i="7"/>
  <c r="AJ26" i="7"/>
  <c r="AF26" i="7"/>
  <c r="AP26" i="7" s="1"/>
  <c r="AO26" i="7" s="1"/>
  <c r="AB26" i="7"/>
  <c r="X26" i="7"/>
  <c r="T26" i="7"/>
  <c r="P26" i="7"/>
  <c r="L26" i="7"/>
  <c r="H26" i="7"/>
  <c r="AN25" i="7"/>
  <c r="AP25" i="7" s="1"/>
  <c r="AJ25" i="7"/>
  <c r="AF25" i="7"/>
  <c r="AB25" i="7"/>
  <c r="X25" i="7"/>
  <c r="T25" i="7"/>
  <c r="P25" i="7"/>
  <c r="L25" i="7"/>
  <c r="H25" i="7"/>
  <c r="AN20" i="7"/>
  <c r="AI20" i="7"/>
  <c r="AJ20" i="7" s="1"/>
  <c r="AE20" i="7"/>
  <c r="AF20" i="7" s="1"/>
  <c r="AB20" i="7"/>
  <c r="W20" i="7"/>
  <c r="X20" i="7" s="1"/>
  <c r="T20" i="7"/>
  <c r="P20" i="7"/>
  <c r="L20" i="7"/>
  <c r="H20" i="7"/>
  <c r="AN19" i="7"/>
  <c r="AJ19" i="7"/>
  <c r="AF19" i="7"/>
  <c r="AP19" i="7" s="1"/>
  <c r="AO19" i="7" s="1"/>
  <c r="AB19" i="7"/>
  <c r="X19" i="7"/>
  <c r="T19" i="7"/>
  <c r="P19" i="7"/>
  <c r="L19" i="7"/>
  <c r="H19" i="7"/>
  <c r="AN18" i="7"/>
  <c r="AJ18" i="7"/>
  <c r="AF18" i="7"/>
  <c r="AP18" i="7" s="1"/>
  <c r="AO18" i="7" s="1"/>
  <c r="AB18" i="7"/>
  <c r="X18" i="7"/>
  <c r="T18" i="7"/>
  <c r="P18" i="7"/>
  <c r="L18" i="7"/>
  <c r="H18" i="7"/>
  <c r="AN17" i="7"/>
  <c r="AP17" i="7" s="1"/>
  <c r="AO17" i="7" s="1"/>
  <c r="AJ17" i="7"/>
  <c r="AF17" i="7"/>
  <c r="AB17" i="7"/>
  <c r="X17" i="7"/>
  <c r="T17" i="7"/>
  <c r="P17" i="7"/>
  <c r="L17" i="7"/>
  <c r="H17" i="7"/>
  <c r="AN16" i="7"/>
  <c r="AJ16" i="7"/>
  <c r="AB16" i="7"/>
  <c r="X16" i="7"/>
  <c r="T16" i="7"/>
  <c r="P16" i="7"/>
  <c r="L16" i="7"/>
  <c r="H16" i="7"/>
  <c r="AN15" i="7"/>
  <c r="AJ15" i="7"/>
  <c r="AF15" i="7"/>
  <c r="AP15" i="7" s="1"/>
  <c r="AO15" i="7" s="1"/>
  <c r="AB15" i="7"/>
  <c r="X15" i="7"/>
  <c r="T15" i="7"/>
  <c r="P15" i="7"/>
  <c r="L15" i="7"/>
  <c r="AN14" i="7"/>
  <c r="AI14" i="7"/>
  <c r="AJ14" i="7" s="1"/>
  <c r="AP14" i="7" s="1"/>
  <c r="AO14" i="7" s="1"/>
  <c r="AF14" i="7"/>
  <c r="AB14" i="7"/>
  <c r="X14" i="7"/>
  <c r="T14" i="7"/>
  <c r="P14" i="7"/>
  <c r="L14" i="7"/>
  <c r="H14" i="7"/>
  <c r="AN13" i="7"/>
  <c r="AI13" i="7"/>
  <c r="AJ13" i="7" s="1"/>
  <c r="AP13" i="7" s="1"/>
  <c r="AO13" i="7" s="1"/>
  <c r="AF13" i="7"/>
  <c r="AB13" i="7"/>
  <c r="W13" i="7"/>
  <c r="X13" i="7" s="1"/>
  <c r="T13" i="7"/>
  <c r="P13" i="7"/>
  <c r="L13" i="7"/>
  <c r="H13" i="7"/>
  <c r="AN12" i="7"/>
  <c r="AI12" i="7"/>
  <c r="AJ12" i="7" s="1"/>
  <c r="AE12" i="7"/>
  <c r="AB12" i="7"/>
  <c r="X12" i="7"/>
  <c r="W12" i="7"/>
  <c r="T12" i="7"/>
  <c r="P12" i="7"/>
  <c r="L12" i="7"/>
  <c r="H12" i="7"/>
  <c r="AN11" i="7"/>
  <c r="AI11" i="7"/>
  <c r="AJ11" i="7" s="1"/>
  <c r="AE11" i="7"/>
  <c r="AF11" i="7" s="1"/>
  <c r="AB11" i="7"/>
  <c r="W11" i="7"/>
  <c r="X11" i="7" s="1"/>
  <c r="T11" i="7"/>
  <c r="P11" i="7"/>
  <c r="L11" i="7"/>
  <c r="H11" i="7"/>
  <c r="AN10" i="7"/>
  <c r="AI10" i="7"/>
  <c r="AJ10" i="7" s="1"/>
  <c r="AE10" i="7"/>
  <c r="AB10" i="7"/>
  <c r="X10" i="7"/>
  <c r="W10" i="7"/>
  <c r="T10" i="7"/>
  <c r="P10" i="7"/>
  <c r="L10" i="7"/>
  <c r="H10" i="7"/>
  <c r="AN9" i="7"/>
  <c r="AI9" i="7"/>
  <c r="AJ9" i="7" s="1"/>
  <c r="AE9" i="7"/>
  <c r="AF9" i="7" s="1"/>
  <c r="AB9" i="7"/>
  <c r="W9" i="7"/>
  <c r="X9" i="7" s="1"/>
  <c r="T9" i="7"/>
  <c r="P9" i="7"/>
  <c r="L9" i="7"/>
  <c r="H9" i="7"/>
  <c r="AN8" i="7"/>
  <c r="AI8" i="7"/>
  <c r="AJ8" i="7" s="1"/>
  <c r="AE8" i="7"/>
  <c r="AB8" i="7"/>
  <c r="X8" i="7"/>
  <c r="W8" i="7"/>
  <c r="T8" i="7"/>
  <c r="P8" i="7"/>
  <c r="L8" i="7"/>
  <c r="H8" i="7"/>
  <c r="AN7" i="7"/>
  <c r="AP7" i="7" s="1"/>
  <c r="AO7" i="7" s="1"/>
  <c r="AI7" i="7"/>
  <c r="AJ7" i="7" s="1"/>
  <c r="AE7" i="7"/>
  <c r="AF7" i="7" s="1"/>
  <c r="AB7" i="7"/>
  <c r="W7" i="7"/>
  <c r="X7" i="7" s="1"/>
  <c r="T7" i="7"/>
  <c r="P7" i="7"/>
  <c r="L7" i="7"/>
  <c r="H7" i="7"/>
  <c r="AN6" i="7"/>
  <c r="AI6" i="7"/>
  <c r="AJ6" i="7" s="1"/>
  <c r="AB6" i="7"/>
  <c r="X6" i="7"/>
  <c r="T6" i="7"/>
  <c r="P6" i="7"/>
  <c r="L6" i="7"/>
  <c r="H6" i="7"/>
  <c r="AN5" i="7"/>
  <c r="AI5" i="7"/>
  <c r="AJ5" i="7" s="1"/>
  <c r="AB5" i="7"/>
  <c r="X5" i="7"/>
  <c r="T5" i="7"/>
  <c r="P5" i="7"/>
  <c r="L5" i="7"/>
  <c r="H5" i="7"/>
  <c r="AM4" i="7"/>
  <c r="AN4" i="7" s="1"/>
  <c r="AJ4" i="7"/>
  <c r="AI4" i="7"/>
  <c r="AE4" i="7"/>
  <c r="AF4" i="7" s="1"/>
  <c r="AB4" i="7"/>
  <c r="AA4" i="7"/>
  <c r="W4" i="7"/>
  <c r="X4" i="7" s="1"/>
  <c r="T4" i="7"/>
  <c r="P4" i="7"/>
  <c r="L4" i="7"/>
  <c r="H4" i="7"/>
  <c r="G4" i="7"/>
  <c r="AF2" i="7"/>
  <c r="AF40" i="7" s="1"/>
  <c r="AP11" i="7" l="1"/>
  <c r="AO11" i="7" s="1"/>
  <c r="AP4" i="7"/>
  <c r="AP9" i="7"/>
  <c r="AO9" i="7" s="1"/>
  <c r="AP20" i="7"/>
  <c r="AO20" i="7" s="1"/>
  <c r="AP40" i="7"/>
  <c r="AO40" i="7" s="1"/>
  <c r="AO25" i="7"/>
  <c r="AP36" i="7"/>
  <c r="AO36" i="7" s="1"/>
  <c r="AF41" i="7"/>
  <c r="AP41" i="7" s="1"/>
  <c r="AO41" i="7" s="1"/>
  <c r="AF5" i="7"/>
  <c r="AP5" i="7" s="1"/>
  <c r="AO5" i="7" s="1"/>
  <c r="AF6" i="7"/>
  <c r="AP6" i="7" s="1"/>
  <c r="AO6" i="7" s="1"/>
  <c r="AF8" i="7"/>
  <c r="AP8" i="7" s="1"/>
  <c r="AO8" i="7" s="1"/>
  <c r="AF10" i="7"/>
  <c r="AP10" i="7" s="1"/>
  <c r="AO10" i="7" s="1"/>
  <c r="AF12" i="7"/>
  <c r="AP12" i="7" s="1"/>
  <c r="AO12" i="7" s="1"/>
  <c r="AF16" i="7"/>
  <c r="AP16" i="7" s="1"/>
  <c r="AO16" i="7" s="1"/>
  <c r="AF28" i="7"/>
  <c r="AP28" i="7" s="1"/>
  <c r="AF32" i="7"/>
  <c r="AP32" i="7" s="1"/>
  <c r="AO32" i="7" s="1"/>
  <c r="AF36" i="7"/>
  <c r="AO28" i="7" l="1"/>
  <c r="AO4" i="7"/>
  <c r="AE45" i="6" l="1"/>
  <c r="AA45" i="6"/>
  <c r="W45" i="6"/>
  <c r="S45" i="6"/>
  <c r="O45" i="6"/>
  <c r="K45" i="6"/>
  <c r="G45" i="6"/>
  <c r="AE44" i="6"/>
  <c r="AA44" i="6"/>
  <c r="W44" i="6"/>
  <c r="S44" i="6"/>
  <c r="O44" i="6"/>
  <c r="K44" i="6"/>
  <c r="G44" i="6"/>
  <c r="AE43" i="6"/>
  <c r="AA43" i="6"/>
  <c r="W43" i="6"/>
  <c r="S43" i="6"/>
  <c r="O43" i="6"/>
  <c r="K43" i="6"/>
  <c r="G43" i="6"/>
  <c r="AE42" i="6"/>
  <c r="AA42" i="6"/>
  <c r="W42" i="6"/>
  <c r="S42" i="6"/>
  <c r="O42" i="6"/>
  <c r="K42" i="6"/>
  <c r="G42" i="6"/>
  <c r="AE41" i="6"/>
  <c r="AA41" i="6"/>
  <c r="W41" i="6"/>
  <c r="S41" i="6"/>
  <c r="O41" i="6"/>
  <c r="K41" i="6"/>
  <c r="G41" i="6"/>
  <c r="AE40" i="6"/>
  <c r="AA40" i="6"/>
  <c r="W40" i="6"/>
  <c r="S40" i="6"/>
  <c r="O40" i="6"/>
  <c r="K40" i="6"/>
  <c r="G40" i="6"/>
  <c r="AE39" i="6"/>
  <c r="AA39" i="6"/>
  <c r="W39" i="6"/>
  <c r="S39" i="6"/>
  <c r="O39" i="6"/>
  <c r="K39" i="6"/>
  <c r="G39" i="6"/>
  <c r="AE38" i="6"/>
  <c r="AA38" i="6"/>
  <c r="W38" i="6"/>
  <c r="S38" i="6"/>
  <c r="O38" i="6"/>
  <c r="K38" i="6"/>
  <c r="G38" i="6"/>
  <c r="AE37" i="6"/>
  <c r="AA37" i="6"/>
  <c r="W37" i="6"/>
  <c r="S37" i="6"/>
  <c r="O37" i="6"/>
  <c r="K37" i="6"/>
  <c r="G37" i="6"/>
  <c r="AE36" i="6"/>
  <c r="AA36" i="6"/>
  <c r="W36" i="6"/>
  <c r="S36" i="6"/>
  <c r="O36" i="6"/>
  <c r="K36" i="6"/>
  <c r="G36" i="6"/>
  <c r="AE35" i="6"/>
  <c r="AA35" i="6"/>
  <c r="W35" i="6"/>
  <c r="S35" i="6"/>
  <c r="AF35" i="6" s="1"/>
  <c r="AI35" i="6" s="1"/>
  <c r="O35" i="6"/>
  <c r="K35" i="6"/>
  <c r="G35" i="6"/>
  <c r="AE34" i="6"/>
  <c r="AA34" i="6"/>
  <c r="W34" i="6"/>
  <c r="S34" i="6"/>
  <c r="O34" i="6"/>
  <c r="K34" i="6"/>
  <c r="G34" i="6"/>
  <c r="AE33" i="6"/>
  <c r="AA33" i="6"/>
  <c r="W33" i="6"/>
  <c r="S33" i="6"/>
  <c r="O33" i="6"/>
  <c r="K33" i="6"/>
  <c r="G33" i="6"/>
  <c r="AE32" i="6"/>
  <c r="AA32" i="6"/>
  <c r="W32" i="6"/>
  <c r="S32" i="6"/>
  <c r="O32" i="6"/>
  <c r="K32" i="6"/>
  <c r="G32" i="6"/>
  <c r="AE31" i="6"/>
  <c r="AA31" i="6"/>
  <c r="W31" i="6"/>
  <c r="S31" i="6"/>
  <c r="AF31" i="6" s="1"/>
  <c r="AI31" i="6" s="1"/>
  <c r="O31" i="6"/>
  <c r="K31" i="6"/>
  <c r="G31" i="6"/>
  <c r="AE30" i="6"/>
  <c r="AA30" i="6"/>
  <c r="W30" i="6"/>
  <c r="S30" i="6"/>
  <c r="O30" i="6"/>
  <c r="K30" i="6"/>
  <c r="G30" i="6"/>
  <c r="AE29" i="6"/>
  <c r="AA29" i="6"/>
  <c r="W29" i="6"/>
  <c r="S29" i="6"/>
  <c r="O29" i="6"/>
  <c r="K29" i="6"/>
  <c r="G29" i="6"/>
  <c r="AE28" i="6"/>
  <c r="AA28" i="6"/>
  <c r="W28" i="6"/>
  <c r="S28" i="6"/>
  <c r="O28" i="6"/>
  <c r="K28" i="6"/>
  <c r="G28" i="6"/>
  <c r="AE27" i="6"/>
  <c r="AA27" i="6"/>
  <c r="W27" i="6"/>
  <c r="S27" i="6"/>
  <c r="AF27" i="6" s="1"/>
  <c r="AI27" i="6" s="1"/>
  <c r="O27" i="6"/>
  <c r="K27" i="6"/>
  <c r="G27" i="6"/>
  <c r="AE21" i="6"/>
  <c r="AA21" i="6"/>
  <c r="W21" i="6"/>
  <c r="O21" i="6"/>
  <c r="K21" i="6"/>
  <c r="G21" i="6"/>
  <c r="AE20" i="6"/>
  <c r="Z20" i="6"/>
  <c r="AA20" i="6" s="1"/>
  <c r="W20" i="6"/>
  <c r="S20" i="6"/>
  <c r="O20" i="6"/>
  <c r="K20" i="6"/>
  <c r="G20" i="6"/>
  <c r="AE19" i="6"/>
  <c r="AA19" i="6"/>
  <c r="W19" i="6"/>
  <c r="S19" i="6"/>
  <c r="O19" i="6"/>
  <c r="K19" i="6"/>
  <c r="G19" i="6"/>
  <c r="AE18" i="6"/>
  <c r="AA18" i="6"/>
  <c r="W18" i="6"/>
  <c r="S18" i="6"/>
  <c r="O18" i="6"/>
  <c r="K18" i="6"/>
  <c r="G18" i="6"/>
  <c r="AE17" i="6"/>
  <c r="AA17" i="6"/>
  <c r="W17" i="6"/>
  <c r="S17" i="6"/>
  <c r="O17" i="6"/>
  <c r="K17" i="6"/>
  <c r="G17" i="6"/>
  <c r="AE16" i="6"/>
  <c r="AA16" i="6"/>
  <c r="W16" i="6"/>
  <c r="S16" i="6"/>
  <c r="O16" i="6"/>
  <c r="K16" i="6"/>
  <c r="G16" i="6"/>
  <c r="AE15" i="6"/>
  <c r="AA15" i="6"/>
  <c r="W15" i="6"/>
  <c r="S15" i="6"/>
  <c r="O15" i="6"/>
  <c r="K15" i="6"/>
  <c r="G15" i="6"/>
  <c r="AE14" i="6"/>
  <c r="Z14" i="6"/>
  <c r="AA14" i="6" s="1"/>
  <c r="W14" i="6"/>
  <c r="S14" i="6"/>
  <c r="O14" i="6"/>
  <c r="K14" i="6"/>
  <c r="G14" i="6"/>
  <c r="AE13" i="6"/>
  <c r="AA13" i="6"/>
  <c r="Z13" i="6"/>
  <c r="W13" i="6"/>
  <c r="S13" i="6"/>
  <c r="N13" i="6"/>
  <c r="O13" i="6" s="1"/>
  <c r="K13" i="6"/>
  <c r="G13" i="6"/>
  <c r="AE12" i="6"/>
  <c r="Z12" i="6"/>
  <c r="AA12" i="6" s="1"/>
  <c r="W12" i="6"/>
  <c r="V12" i="6"/>
  <c r="S12" i="6"/>
  <c r="N12" i="6"/>
  <c r="O12" i="6" s="1"/>
  <c r="K12" i="6"/>
  <c r="G12" i="6"/>
  <c r="AE11" i="6"/>
  <c r="Z11" i="6"/>
  <c r="AA11" i="6" s="1"/>
  <c r="V11" i="6"/>
  <c r="W11" i="6" s="1"/>
  <c r="S11" i="6"/>
  <c r="O11" i="6"/>
  <c r="N11" i="6"/>
  <c r="K11" i="6"/>
  <c r="G11" i="6"/>
  <c r="AE10" i="6"/>
  <c r="Z10" i="6"/>
  <c r="AA10" i="6" s="1"/>
  <c r="V10" i="6"/>
  <c r="W10" i="6" s="1"/>
  <c r="S10" i="6"/>
  <c r="O10" i="6"/>
  <c r="N10" i="6"/>
  <c r="K10" i="6"/>
  <c r="G10" i="6"/>
  <c r="AE9" i="6"/>
  <c r="Z9" i="6"/>
  <c r="AA9" i="6" s="1"/>
  <c r="V9" i="6"/>
  <c r="W9" i="6" s="1"/>
  <c r="S9" i="6"/>
  <c r="N9" i="6"/>
  <c r="O9" i="6" s="1"/>
  <c r="K9" i="6"/>
  <c r="G9" i="6"/>
  <c r="AE8" i="6"/>
  <c r="Z8" i="6"/>
  <c r="AA8" i="6" s="1"/>
  <c r="W8" i="6"/>
  <c r="V8" i="6"/>
  <c r="S8" i="6"/>
  <c r="N8" i="6"/>
  <c r="O8" i="6" s="1"/>
  <c r="K8" i="6"/>
  <c r="G8" i="6"/>
  <c r="AE7" i="6"/>
  <c r="Z7" i="6"/>
  <c r="AA7" i="6" s="1"/>
  <c r="W7" i="6"/>
  <c r="V7" i="6"/>
  <c r="S7" i="6"/>
  <c r="O7" i="6"/>
  <c r="N7" i="6"/>
  <c r="K7" i="6"/>
  <c r="G7" i="6"/>
  <c r="AE6" i="6"/>
  <c r="Z6" i="6"/>
  <c r="AA6" i="6" s="1"/>
  <c r="W6" i="6"/>
  <c r="S6" i="6"/>
  <c r="O6" i="6"/>
  <c r="K6" i="6"/>
  <c r="G6" i="6"/>
  <c r="AE5" i="6"/>
  <c r="AA5" i="6"/>
  <c r="Z5" i="6"/>
  <c r="W5" i="6"/>
  <c r="S5" i="6"/>
  <c r="O5" i="6"/>
  <c r="K5" i="6"/>
  <c r="G5" i="6"/>
  <c r="AD4" i="6"/>
  <c r="AE4" i="6" s="1"/>
  <c r="AA4" i="6"/>
  <c r="Z4" i="6"/>
  <c r="V4" i="6"/>
  <c r="W4" i="6" s="1"/>
  <c r="R4" i="6"/>
  <c r="S4" i="6" s="1"/>
  <c r="N4" i="6"/>
  <c r="O4" i="6" s="1"/>
  <c r="K4" i="6"/>
  <c r="G4" i="6"/>
  <c r="AF21" i="6" l="1"/>
  <c r="AI21" i="6" s="1"/>
  <c r="AF28" i="6"/>
  <c r="AI28" i="6" s="1"/>
  <c r="AF30" i="6"/>
  <c r="AI30" i="6" s="1"/>
  <c r="AF32" i="6"/>
  <c r="AI32" i="6" s="1"/>
  <c r="AF34" i="6"/>
  <c r="AI34" i="6" s="1"/>
  <c r="AF36" i="6"/>
  <c r="AI36" i="6" s="1"/>
  <c r="AF38" i="6"/>
  <c r="AI38" i="6" s="1"/>
  <c r="AF40" i="6"/>
  <c r="AI40" i="6" s="1"/>
  <c r="AF42" i="6"/>
  <c r="AI42" i="6" s="1"/>
  <c r="AF44" i="6"/>
  <c r="AI44" i="6" s="1"/>
  <c r="AF7" i="6"/>
  <c r="AI7" i="6" s="1"/>
  <c r="AF11" i="6"/>
  <c r="AI11" i="6" s="1"/>
  <c r="AF16" i="6"/>
  <c r="AI16" i="6" s="1"/>
  <c r="AF14" i="6"/>
  <c r="AI14" i="6" s="1"/>
  <c r="AF15" i="6"/>
  <c r="AI15" i="6" s="1"/>
  <c r="AF17" i="6"/>
  <c r="AI17" i="6" s="1"/>
  <c r="AF19" i="6"/>
  <c r="AI19" i="6" s="1"/>
  <c r="AF9" i="6"/>
  <c r="AI9" i="6" s="1"/>
  <c r="AF33" i="6"/>
  <c r="AI33" i="6" s="1"/>
  <c r="AF37" i="6"/>
  <c r="AI37" i="6" s="1"/>
  <c r="AF39" i="6"/>
  <c r="AI39" i="6" s="1"/>
  <c r="AF43" i="6"/>
  <c r="AI43" i="6" s="1"/>
  <c r="AF5" i="6"/>
  <c r="AI5" i="6" s="1"/>
  <c r="AF8" i="6"/>
  <c r="AI8" i="6" s="1"/>
  <c r="AF12" i="6"/>
  <c r="AI12" i="6" s="1"/>
  <c r="AF4" i="6"/>
  <c r="AI4" i="6" s="1"/>
  <c r="AF6" i="6"/>
  <c r="AI6" i="6" s="1"/>
  <c r="AF10" i="6"/>
  <c r="AI10" i="6" s="1"/>
  <c r="AF13" i="6"/>
  <c r="AI13" i="6" s="1"/>
  <c r="AF18" i="6"/>
  <c r="AI18" i="6" s="1"/>
  <c r="AF20" i="6"/>
  <c r="AI20" i="6" s="1"/>
  <c r="AF29" i="6"/>
  <c r="AI29" i="6" s="1"/>
  <c r="AF41" i="6"/>
  <c r="AI41" i="6" s="1"/>
  <c r="AF45" i="6"/>
  <c r="AI45" i="6" s="1"/>
  <c r="AF57" i="5"/>
  <c r="AF56" i="5"/>
  <c r="AF55" i="5"/>
  <c r="AF54" i="5"/>
  <c r="AE57" i="5"/>
  <c r="AE56" i="5"/>
  <c r="AE55" i="5"/>
  <c r="AE54" i="5"/>
  <c r="AA57" i="5"/>
  <c r="AA56" i="5"/>
  <c r="AA55" i="5"/>
  <c r="AA54" i="5"/>
  <c r="W57" i="5"/>
  <c r="W56" i="5"/>
  <c r="W55" i="5"/>
  <c r="W54" i="5"/>
  <c r="S57" i="5"/>
  <c r="S56" i="5"/>
  <c r="S55" i="5"/>
  <c r="S54" i="5"/>
  <c r="O57" i="5"/>
  <c r="O56" i="5"/>
  <c r="O55" i="5"/>
  <c r="O54" i="5"/>
  <c r="K57" i="5"/>
  <c r="K56" i="5"/>
  <c r="K55" i="5"/>
  <c r="K54" i="5"/>
  <c r="G57" i="5"/>
  <c r="G56" i="5"/>
  <c r="G55" i="5"/>
  <c r="G54" i="5"/>
  <c r="AF39" i="5"/>
  <c r="AF38" i="5"/>
  <c r="AF37" i="5"/>
  <c r="AF36" i="5"/>
  <c r="AF35" i="5"/>
  <c r="AF34" i="5"/>
  <c r="AF33" i="5"/>
  <c r="AF32" i="5"/>
  <c r="AF31" i="5"/>
  <c r="AF30" i="5"/>
  <c r="AF29" i="5"/>
  <c r="AF28" i="5"/>
  <c r="AF27" i="5"/>
  <c r="AF26" i="5"/>
  <c r="AF25" i="5"/>
  <c r="AF24" i="5"/>
  <c r="AF23" i="5"/>
  <c r="AF22" i="5"/>
  <c r="AF21" i="5"/>
  <c r="AF20" i="5"/>
  <c r="AF19" i="5"/>
  <c r="AF18" i="5"/>
  <c r="AF17" i="5"/>
  <c r="AF16" i="5"/>
  <c r="AF15" i="5"/>
  <c r="AF14" i="5"/>
  <c r="AF13" i="5"/>
  <c r="AF12" i="5"/>
  <c r="AF11" i="5"/>
  <c r="AF10" i="5"/>
  <c r="AF9" i="5"/>
  <c r="AF8" i="5"/>
  <c r="AF7" i="5"/>
  <c r="AF6" i="5"/>
  <c r="AF5" i="5"/>
  <c r="AF4" i="5"/>
  <c r="AE39" i="5"/>
  <c r="AE38" i="5"/>
  <c r="AE37" i="5"/>
  <c r="AE36" i="5"/>
  <c r="AE35" i="5"/>
  <c r="AE34" i="5"/>
  <c r="AE33" i="5"/>
  <c r="AE32" i="5"/>
  <c r="AE31" i="5"/>
  <c r="AE30" i="5"/>
  <c r="AE29" i="5"/>
  <c r="AE28" i="5"/>
  <c r="AE27" i="5"/>
  <c r="AE26" i="5"/>
  <c r="AE25" i="5"/>
  <c r="AE24" i="5"/>
  <c r="AE23" i="5"/>
  <c r="AE22" i="5"/>
  <c r="AE21" i="5"/>
  <c r="AE20" i="5"/>
  <c r="AE19" i="5"/>
  <c r="AE18" i="5"/>
  <c r="AE17" i="5"/>
  <c r="AE16" i="5"/>
  <c r="AE15" i="5"/>
  <c r="AE14" i="5"/>
  <c r="AE12" i="5"/>
  <c r="AE11" i="5"/>
  <c r="AE10" i="5"/>
  <c r="AE9" i="5"/>
  <c r="AE8" i="5"/>
  <c r="AE7" i="5"/>
  <c r="AE6" i="5"/>
  <c r="AE5" i="5"/>
  <c r="AE4" i="5"/>
  <c r="AA39" i="5"/>
  <c r="AA38" i="5"/>
  <c r="AA37" i="5"/>
  <c r="AA36" i="5"/>
  <c r="AA35" i="5"/>
  <c r="AA34" i="5"/>
  <c r="AA33" i="5"/>
  <c r="AA32" i="5"/>
  <c r="AA31" i="5"/>
  <c r="AA30" i="5"/>
  <c r="AA29" i="5"/>
  <c r="AA28" i="5"/>
  <c r="AA27" i="5"/>
  <c r="AA26" i="5"/>
  <c r="AA25" i="5"/>
  <c r="AA24" i="5"/>
  <c r="AA23" i="5"/>
  <c r="AA22" i="5"/>
  <c r="AA21" i="5"/>
  <c r="AA20" i="5"/>
  <c r="AA19" i="5"/>
  <c r="AA18" i="5"/>
  <c r="AA17" i="5"/>
  <c r="AA16" i="5"/>
  <c r="AA15" i="5"/>
  <c r="AA14" i="5"/>
  <c r="AA13" i="5"/>
  <c r="AA12" i="5"/>
  <c r="AA11" i="5"/>
  <c r="AA10" i="5"/>
  <c r="AA9" i="5"/>
  <c r="AA8" i="5"/>
  <c r="AA7" i="5"/>
  <c r="AA6" i="5"/>
  <c r="AA5" i="5"/>
  <c r="AA4" i="5"/>
  <c r="W39" i="5"/>
  <c r="W38" i="5"/>
  <c r="W37" i="5"/>
  <c r="W36" i="5"/>
  <c r="W35" i="5"/>
  <c r="W34" i="5"/>
  <c r="W33" i="5"/>
  <c r="W32" i="5"/>
  <c r="W31" i="5"/>
  <c r="W30" i="5"/>
  <c r="W29" i="5"/>
  <c r="W28" i="5"/>
  <c r="W27" i="5"/>
  <c r="W26" i="5"/>
  <c r="W25" i="5"/>
  <c r="W24" i="5"/>
  <c r="W23" i="5"/>
  <c r="W22" i="5"/>
  <c r="W21" i="5"/>
  <c r="W20" i="5"/>
  <c r="W19" i="5"/>
  <c r="W18" i="5"/>
  <c r="W17" i="5"/>
  <c r="W16" i="5"/>
  <c r="W15" i="5"/>
  <c r="W14" i="5"/>
  <c r="W12" i="5"/>
  <c r="W11" i="5"/>
  <c r="W10" i="5"/>
  <c r="W9" i="5"/>
  <c r="W8" i="5"/>
  <c r="W7" i="5"/>
  <c r="W6" i="5"/>
  <c r="W5" i="5"/>
  <c r="W4" i="5"/>
  <c r="S39" i="5"/>
  <c r="S38" i="5"/>
  <c r="S37" i="5"/>
  <c r="S36" i="5"/>
  <c r="S35" i="5"/>
  <c r="S34" i="5"/>
  <c r="S33" i="5"/>
  <c r="S32" i="5"/>
  <c r="S31" i="5"/>
  <c r="S30" i="5"/>
  <c r="S29" i="5"/>
  <c r="S28" i="5"/>
  <c r="S26" i="5"/>
  <c r="S25" i="5"/>
  <c r="S24" i="5"/>
  <c r="S23" i="5"/>
  <c r="S22" i="5"/>
  <c r="S21" i="5"/>
  <c r="S20" i="5"/>
  <c r="S19" i="5"/>
  <c r="S18" i="5"/>
  <c r="S17" i="5"/>
  <c r="S16" i="5"/>
  <c r="S15" i="5"/>
  <c r="S14" i="5"/>
  <c r="S13" i="5"/>
  <c r="S12" i="5"/>
  <c r="S10" i="5"/>
  <c r="S9" i="5"/>
  <c r="S8" i="5"/>
  <c r="S7" i="5"/>
  <c r="S6" i="5"/>
  <c r="S5" i="5"/>
  <c r="S4" i="5"/>
  <c r="O39" i="5"/>
  <c r="O38" i="5"/>
  <c r="O37" i="5"/>
  <c r="O36" i="5"/>
  <c r="O35" i="5"/>
  <c r="O34" i="5"/>
  <c r="O33" i="5"/>
  <c r="O32" i="5"/>
  <c r="O31" i="5"/>
  <c r="O30" i="5"/>
  <c r="O29" i="5"/>
  <c r="O28" i="5"/>
  <c r="O26" i="5"/>
  <c r="O25" i="5"/>
  <c r="O24" i="5"/>
  <c r="O23" i="5"/>
  <c r="O22" i="5"/>
  <c r="O21" i="5"/>
  <c r="O20" i="5"/>
  <c r="O19" i="5"/>
  <c r="O18" i="5"/>
  <c r="O17" i="5"/>
  <c r="O16" i="5"/>
  <c r="O15" i="5"/>
  <c r="O14" i="5"/>
  <c r="O12" i="5"/>
  <c r="O10" i="5"/>
  <c r="O9" i="5"/>
  <c r="O8" i="5"/>
  <c r="O7" i="5"/>
  <c r="O6" i="5"/>
  <c r="O5" i="5"/>
  <c r="K39" i="5"/>
  <c r="K38" i="5"/>
  <c r="K37" i="5"/>
  <c r="K36" i="5"/>
  <c r="K35" i="5"/>
  <c r="K34" i="5"/>
  <c r="K33" i="5"/>
  <c r="K32" i="5"/>
  <c r="K31" i="5"/>
  <c r="K30" i="5"/>
  <c r="K29" i="5"/>
  <c r="K28" i="5"/>
  <c r="K27" i="5"/>
  <c r="K26" i="5"/>
  <c r="K25" i="5"/>
  <c r="K24" i="5"/>
  <c r="K23" i="5"/>
  <c r="K22" i="5"/>
  <c r="K21" i="5"/>
  <c r="K20" i="5"/>
  <c r="K19" i="5"/>
  <c r="K18" i="5"/>
  <c r="K17" i="5"/>
  <c r="K16" i="5"/>
  <c r="K15" i="5"/>
  <c r="K14" i="5"/>
  <c r="K12" i="5"/>
  <c r="K11" i="5"/>
  <c r="K10" i="5"/>
  <c r="K9" i="5"/>
  <c r="K8" i="5"/>
  <c r="K7" i="5"/>
  <c r="K6" i="5"/>
  <c r="K5" i="5"/>
  <c r="K4" i="5"/>
  <c r="G39" i="5"/>
  <c r="G38" i="5"/>
  <c r="G37" i="5"/>
  <c r="G36" i="5"/>
  <c r="G35" i="5"/>
  <c r="G34" i="5"/>
  <c r="G33" i="5"/>
  <c r="G32" i="5"/>
  <c r="G31" i="5"/>
  <c r="G30" i="5" l="1"/>
  <c r="G29" i="5"/>
  <c r="G28" i="5"/>
  <c r="G27" i="5"/>
  <c r="G26" i="5"/>
  <c r="G25" i="5"/>
  <c r="G24" i="5"/>
  <c r="G23" i="5"/>
  <c r="G22" i="5"/>
  <c r="G21" i="5"/>
  <c r="G20" i="5"/>
  <c r="G19" i="5"/>
  <c r="G18" i="5"/>
  <c r="G17" i="5"/>
  <c r="G16" i="5"/>
  <c r="G15" i="5"/>
  <c r="G14" i="5"/>
  <c r="G12" i="5"/>
  <c r="G11" i="5"/>
  <c r="G10" i="5"/>
  <c r="G9" i="5"/>
  <c r="G8" i="5"/>
  <c r="G7" i="5"/>
  <c r="G6" i="5"/>
  <c r="G5" i="5"/>
  <c r="G4" i="5"/>
  <c r="AF54" i="4"/>
  <c r="AF53" i="4"/>
  <c r="AF52" i="4"/>
  <c r="AF51" i="4"/>
  <c r="AF39" i="4"/>
  <c r="AF38" i="4"/>
  <c r="AF37" i="4"/>
  <c r="AF36" i="4"/>
  <c r="AF35" i="4"/>
  <c r="AF34" i="4"/>
  <c r="AF33" i="4"/>
  <c r="AF32" i="4"/>
  <c r="AF31" i="4"/>
  <c r="AF30" i="4"/>
  <c r="AF29" i="4"/>
  <c r="AF28" i="4"/>
  <c r="AF27" i="4"/>
  <c r="AF26" i="4"/>
  <c r="AF25" i="4"/>
  <c r="AF24" i="4"/>
  <c r="AF23" i="4"/>
  <c r="AF22" i="4"/>
  <c r="AF21" i="4"/>
  <c r="AF20" i="4"/>
  <c r="AF19" i="4"/>
  <c r="AF18" i="4"/>
  <c r="AF17" i="4"/>
  <c r="AF16" i="4"/>
  <c r="AF15" i="4"/>
  <c r="AF14" i="4"/>
  <c r="AF13" i="4"/>
  <c r="AF12" i="4"/>
  <c r="AF11" i="4"/>
  <c r="AF10" i="4"/>
  <c r="AF9" i="4"/>
  <c r="AF8" i="4"/>
  <c r="AF7" i="4"/>
  <c r="AF6" i="4"/>
  <c r="AF5" i="4"/>
  <c r="AF4" i="4"/>
  <c r="AP54" i="4" l="1"/>
  <c r="AP53" i="4"/>
  <c r="AP52" i="4"/>
  <c r="AP51" i="4"/>
  <c r="AP39" i="4"/>
  <c r="AP38" i="4"/>
  <c r="AP37" i="4"/>
  <c r="AP36" i="4"/>
  <c r="AP35" i="4"/>
  <c r="AP34" i="4"/>
  <c r="AP33" i="4"/>
  <c r="AP32" i="4"/>
  <c r="AP31" i="4"/>
  <c r="AP30" i="4"/>
  <c r="AP29" i="4"/>
  <c r="AP28" i="4"/>
  <c r="AP25" i="4"/>
  <c r="AP24" i="4"/>
  <c r="AP23" i="4"/>
  <c r="AP22" i="4"/>
  <c r="AP20" i="4"/>
  <c r="AP21" i="4"/>
  <c r="AP19" i="4"/>
  <c r="AP18" i="4"/>
  <c r="AP17" i="4"/>
  <c r="AP16" i="4"/>
  <c r="AP15" i="4"/>
  <c r="AP14" i="4"/>
  <c r="AP13" i="4"/>
  <c r="AP11" i="4"/>
  <c r="AP10" i="4"/>
  <c r="AP9" i="4"/>
  <c r="AP8" i="4"/>
  <c r="AP7" i="4"/>
  <c r="AP6" i="4"/>
  <c r="AP5" i="4"/>
  <c r="AP4" i="4"/>
  <c r="AL54" i="4"/>
  <c r="AL53" i="4"/>
  <c r="AL52" i="4"/>
  <c r="AL51" i="4"/>
  <c r="AL39" i="4"/>
  <c r="AL38" i="4"/>
  <c r="AL37" i="4"/>
  <c r="AL36" i="4"/>
  <c r="AL35" i="4"/>
  <c r="AL34" i="4"/>
  <c r="AL33" i="4"/>
  <c r="AL32" i="4"/>
  <c r="AL31" i="4"/>
  <c r="AL30" i="4"/>
  <c r="AL29" i="4"/>
  <c r="AL28" i="4"/>
  <c r="AL27" i="4"/>
  <c r="AL26" i="4"/>
  <c r="AL25" i="4"/>
  <c r="AL24" i="4"/>
  <c r="AL23" i="4"/>
  <c r="AL22" i="4"/>
  <c r="AL21" i="4"/>
  <c r="AL20" i="4"/>
  <c r="AL19" i="4"/>
  <c r="AL18" i="4"/>
  <c r="AL17" i="4"/>
  <c r="AL16" i="4"/>
  <c r="AL15" i="4"/>
  <c r="AL14" i="4"/>
  <c r="AL13" i="4"/>
  <c r="AL11" i="4"/>
  <c r="AL10" i="4"/>
  <c r="AL9" i="4"/>
  <c r="AL8" i="4"/>
  <c r="AL7" i="4"/>
  <c r="AL6" i="4"/>
  <c r="AL5" i="4"/>
  <c r="AL4" i="4"/>
  <c r="AE54" i="4" l="1"/>
  <c r="AE53" i="4"/>
  <c r="AE52" i="4"/>
  <c r="AE51" i="4"/>
  <c r="AE39" i="4"/>
  <c r="AE38" i="4"/>
  <c r="AE37" i="4"/>
  <c r="AE36" i="4"/>
  <c r="AE35" i="4"/>
  <c r="AE34" i="4"/>
  <c r="AE33" i="4"/>
  <c r="AE32" i="4"/>
  <c r="AE31" i="4"/>
  <c r="AE30" i="4"/>
  <c r="AE29" i="4"/>
  <c r="AE28" i="4"/>
  <c r="AE27" i="4"/>
  <c r="AE26" i="4"/>
  <c r="AE25" i="4"/>
  <c r="AE24" i="4"/>
  <c r="AE23" i="4"/>
  <c r="AE22" i="4"/>
  <c r="AE21" i="4"/>
  <c r="AE20" i="4"/>
  <c r="AE19" i="4"/>
  <c r="AE18" i="4"/>
  <c r="AE17" i="4"/>
  <c r="AE16" i="4"/>
  <c r="AE15" i="4"/>
  <c r="AE14" i="4"/>
  <c r="AE12" i="4"/>
  <c r="AE11" i="4"/>
  <c r="AE10" i="4"/>
  <c r="AE9" i="4"/>
  <c r="AE8" i="4"/>
  <c r="AE7" i="4"/>
  <c r="AE6" i="4"/>
  <c r="AE5" i="4"/>
  <c r="AE4" i="4"/>
  <c r="AA39" i="4" l="1"/>
  <c r="AA38" i="4"/>
  <c r="AA37" i="4"/>
  <c r="AA36" i="4"/>
  <c r="AA35" i="4"/>
  <c r="AA34" i="4"/>
  <c r="AA33" i="4"/>
  <c r="AA32" i="4"/>
  <c r="AA31" i="4"/>
  <c r="AA30" i="4"/>
  <c r="AA29" i="4"/>
  <c r="AA28" i="4"/>
  <c r="AA27" i="4"/>
  <c r="AA26" i="4"/>
  <c r="AA25" i="4"/>
  <c r="AA24" i="4"/>
  <c r="AA23" i="4"/>
  <c r="AA22" i="4"/>
  <c r="AA21" i="4"/>
  <c r="AA20" i="4"/>
  <c r="AA19" i="4"/>
  <c r="AA18" i="4"/>
  <c r="AA17" i="4"/>
  <c r="AA16" i="4"/>
  <c r="AA15" i="4"/>
  <c r="AA14" i="4"/>
  <c r="AA13" i="4"/>
  <c r="AA12" i="4"/>
  <c r="AA11" i="4"/>
  <c r="AA10" i="4"/>
  <c r="AA9" i="4"/>
  <c r="AA8" i="4"/>
  <c r="AA7" i="4"/>
  <c r="AA6" i="4"/>
  <c r="AA5" i="4"/>
  <c r="AA4" i="4"/>
  <c r="W54" i="4"/>
  <c r="W53" i="4"/>
  <c r="W52" i="4"/>
  <c r="W51" i="4"/>
  <c r="W39" i="4"/>
  <c r="W38" i="4"/>
  <c r="W37" i="4"/>
  <c r="W36" i="4"/>
  <c r="W35" i="4"/>
  <c r="W34" i="4"/>
  <c r="W33" i="4"/>
  <c r="W32" i="4"/>
  <c r="W31" i="4"/>
  <c r="W30" i="4"/>
  <c r="W29" i="4"/>
  <c r="W28" i="4"/>
  <c r="W27" i="4"/>
  <c r="W26" i="4"/>
  <c r="W25" i="4"/>
  <c r="W24" i="4"/>
  <c r="W23" i="4"/>
  <c r="W22" i="4"/>
  <c r="W21" i="4"/>
  <c r="W20" i="4"/>
  <c r="W19" i="4"/>
  <c r="W18" i="4"/>
  <c r="W17" i="4"/>
  <c r="W16" i="4"/>
  <c r="W15" i="4"/>
  <c r="W14" i="4"/>
  <c r="W12" i="4"/>
  <c r="W11" i="4"/>
  <c r="W10" i="4"/>
  <c r="W9" i="4"/>
  <c r="W8" i="4"/>
  <c r="W7" i="4"/>
  <c r="W6" i="4"/>
  <c r="W5" i="4"/>
  <c r="W4" i="4"/>
  <c r="S54" i="4"/>
  <c r="S53" i="4"/>
  <c r="S52" i="4"/>
  <c r="S51" i="4"/>
  <c r="S39" i="4"/>
  <c r="S38" i="4"/>
  <c r="S37" i="4"/>
  <c r="S36" i="4"/>
  <c r="S35" i="4"/>
  <c r="S34" i="4"/>
  <c r="S33" i="4"/>
  <c r="S32" i="4"/>
  <c r="S31" i="4"/>
  <c r="S30" i="4"/>
  <c r="S29" i="4"/>
  <c r="S28" i="4"/>
  <c r="S26" i="4"/>
  <c r="S25" i="4"/>
  <c r="S24" i="4"/>
  <c r="S23" i="4"/>
  <c r="S22" i="4"/>
  <c r="S21" i="4"/>
  <c r="S20" i="4"/>
  <c r="S19" i="4"/>
  <c r="S18" i="4"/>
  <c r="S17" i="4"/>
  <c r="S16" i="4"/>
  <c r="S15" i="4"/>
  <c r="S14" i="4"/>
  <c r="S13" i="4"/>
  <c r="S12" i="4"/>
  <c r="S10" i="4"/>
  <c r="S9" i="4"/>
  <c r="S8" i="4"/>
  <c r="S7" i="4"/>
  <c r="S6" i="4"/>
  <c r="S5" i="4"/>
  <c r="S4" i="4"/>
  <c r="O54" i="4"/>
  <c r="O53" i="4"/>
  <c r="O52" i="4"/>
  <c r="O51" i="4"/>
  <c r="O39" i="4"/>
  <c r="O38" i="4"/>
  <c r="O37" i="4"/>
  <c r="O36" i="4"/>
  <c r="O35" i="4"/>
  <c r="O34" i="4"/>
  <c r="O33" i="4"/>
  <c r="O32" i="4"/>
  <c r="O31" i="4"/>
  <c r="O30" i="4"/>
  <c r="O29" i="4"/>
  <c r="O28" i="4"/>
  <c r="O26" i="4"/>
  <c r="O25" i="4"/>
  <c r="O24" i="4"/>
  <c r="O23" i="4"/>
  <c r="O22" i="4"/>
  <c r="O21" i="4"/>
  <c r="O20" i="4"/>
  <c r="O19" i="4"/>
  <c r="O18" i="4"/>
  <c r="O17" i="4"/>
  <c r="O16" i="4"/>
  <c r="O15" i="4"/>
  <c r="O14" i="4"/>
  <c r="O12" i="4"/>
  <c r="O10" i="4"/>
  <c r="O9" i="4"/>
  <c r="O8" i="4"/>
  <c r="O7" i="4"/>
  <c r="O6" i="4"/>
  <c r="O5" i="4"/>
  <c r="K54" i="4" l="1"/>
  <c r="K53" i="4"/>
  <c r="K52" i="4"/>
  <c r="K51" i="4"/>
  <c r="K39" i="4"/>
  <c r="K38" i="4"/>
  <c r="K37" i="4"/>
  <c r="K36" i="4"/>
  <c r="K35" i="4"/>
  <c r="K34" i="4"/>
  <c r="K33" i="4"/>
  <c r="K32" i="4"/>
  <c r="K31" i="4"/>
  <c r="K30" i="4"/>
  <c r="K29" i="4"/>
  <c r="K28" i="4"/>
  <c r="K27" i="4"/>
  <c r="K26" i="4"/>
  <c r="K25" i="4"/>
  <c r="K24" i="4"/>
  <c r="K23" i="4"/>
  <c r="K22" i="4"/>
  <c r="K21" i="4"/>
  <c r="K20" i="4"/>
  <c r="K19" i="4"/>
  <c r="K18" i="4"/>
  <c r="K17" i="4"/>
  <c r="K16" i="4"/>
  <c r="K15" i="4"/>
  <c r="K14" i="4"/>
  <c r="K12" i="4"/>
  <c r="K11" i="4"/>
  <c r="K10" i="4"/>
  <c r="K9" i="4"/>
  <c r="K8" i="4"/>
  <c r="K7" i="4"/>
  <c r="K6" i="4"/>
  <c r="K5" i="4"/>
  <c r="K4" i="4"/>
  <c r="G54" i="4"/>
  <c r="G53" i="4"/>
  <c r="G52" i="4"/>
  <c r="G51" i="4"/>
  <c r="G39" i="4"/>
  <c r="G38" i="4"/>
  <c r="G37" i="4"/>
  <c r="G36" i="4"/>
  <c r="G35" i="4"/>
  <c r="G34" i="4"/>
  <c r="G33" i="4"/>
  <c r="G32" i="4"/>
  <c r="G31" i="4"/>
  <c r="G30" i="4"/>
  <c r="G29" i="4"/>
  <c r="G28" i="4"/>
  <c r="G27" i="4"/>
  <c r="G26" i="4"/>
  <c r="G25" i="4"/>
  <c r="G24" i="4"/>
  <c r="G23" i="4"/>
  <c r="G22" i="4"/>
  <c r="G21" i="4"/>
  <c r="G20" i="4"/>
  <c r="G19" i="4"/>
  <c r="G18" i="4"/>
  <c r="G17" i="4"/>
  <c r="G16" i="4"/>
  <c r="G15" i="4"/>
  <c r="G14" i="4"/>
  <c r="G12" i="4"/>
  <c r="G11" i="4"/>
  <c r="G10" i="4"/>
  <c r="G9" i="4"/>
  <c r="G8" i="4"/>
  <c r="G7" i="4"/>
  <c r="G6" i="4"/>
  <c r="G5" i="4"/>
  <c r="G4" i="4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S2" authorId="0" shapeId="0" xr:uid="{31EAC1E0-9670-431A-9F4B-5E2F76C497E7}">
      <text>
        <r>
          <rPr>
            <sz val="10"/>
            <color rgb="FF000000"/>
            <rFont val="Arial"/>
            <family val="2"/>
          </rPr>
          <t xml:space="preserve">Modifiqué este valor porque en el libro viene un alimento "carne de res (promedio)"
</t>
        </r>
        <r>
          <rPr>
            <sz val="10"/>
            <color rgb="FF000000"/>
            <rFont val="Arial"/>
            <family val="2"/>
          </rPr>
          <t xml:space="preserve">	-Rosy De la Fuente</t>
        </r>
      </text>
    </comment>
    <comment ref="O3" authorId="0" shapeId="0" xr:uid="{BA44C323-BDA7-4D1E-B7C9-F37AE3CC77A7}">
      <text>
        <r>
          <rPr>
            <sz val="10"/>
            <color rgb="FF000000"/>
            <rFont val="Arial"/>
            <family val="2"/>
          </rPr>
          <t xml:space="preserve">La carne de cerdo tiene menos grasa y más proteína que la de res :O OMG!
</t>
        </r>
        <r>
          <rPr>
            <sz val="10"/>
            <color rgb="FF000000"/>
            <rFont val="Arial"/>
            <family val="2"/>
          </rPr>
          <t xml:space="preserve">	-Rosy De la Fuente
</t>
        </r>
        <r>
          <rPr>
            <sz val="10"/>
            <color rgb="FF000000"/>
            <rFont val="Arial"/>
            <family val="2"/>
          </rPr>
          <t xml:space="preserve">:O qckeee?
</t>
        </r>
        <r>
          <rPr>
            <sz val="10"/>
            <color rgb="FF000000"/>
            <rFont val="Arial"/>
            <family val="2"/>
          </rPr>
          <t xml:space="preserve">	-Arii Hernández</t>
        </r>
      </text>
    </comment>
  </commentList>
</comments>
</file>

<file path=xl/sharedStrings.xml><?xml version="1.0" encoding="utf-8"?>
<sst xmlns="http://schemas.openxmlformats.org/spreadsheetml/2006/main" count="2021" uniqueCount="608">
  <si>
    <t>Datos encuestas para niños</t>
  </si>
  <si>
    <t>Cuestionario para las madres
acerca de sus hijos menores a 6 años</t>
  </si>
  <si>
    <t>Percepción del estado de 
salud y de problemas 
gastrointestinales y 
respiratorios para padres</t>
  </si>
  <si>
    <t>Padre (P)</t>
  </si>
  <si>
    <t>Madre (M)</t>
  </si>
  <si>
    <t>Hijo (H)</t>
  </si>
  <si>
    <t>Código de hijo</t>
  </si>
  <si>
    <t>Soraima Gabriela Campos Guerra</t>
  </si>
  <si>
    <t>Miranda Rodríguez Ramos</t>
  </si>
  <si>
    <t>U028H1F10</t>
  </si>
  <si>
    <t>X</t>
  </si>
  <si>
    <t>N/A</t>
  </si>
  <si>
    <t>Extras</t>
  </si>
  <si>
    <t>Alanís Rodríguez Campos</t>
  </si>
  <si>
    <t>U028H2F8</t>
  </si>
  <si>
    <t xml:space="preserve">Gatica </t>
  </si>
  <si>
    <t>Albina Morales Maurilio</t>
  </si>
  <si>
    <t>Matusalén Silverio Morales</t>
  </si>
  <si>
    <t>G046H1</t>
  </si>
  <si>
    <t>G046M</t>
  </si>
  <si>
    <t>Lista de alimentos 
ingeridos (diario y al mes)</t>
  </si>
  <si>
    <t>Cuestionario de la percepción del estado de salud para hijos</t>
  </si>
  <si>
    <t xml:space="preserve">Es la misma encuesta 
con algunos cambios 
en la redacción </t>
  </si>
  <si>
    <t>Formato de registro de mediciones antropométricas para padres</t>
  </si>
  <si>
    <t>Leche</t>
  </si>
  <si>
    <t>Yogurt</t>
  </si>
  <si>
    <t>Pollo</t>
  </si>
  <si>
    <t>Huevo</t>
  </si>
  <si>
    <t>Pescado</t>
  </si>
  <si>
    <t>Frijoles</t>
  </si>
  <si>
    <t>Encuesta incompleta en
base de datos</t>
  </si>
  <si>
    <t>P</t>
  </si>
  <si>
    <t>M</t>
  </si>
  <si>
    <t>H</t>
  </si>
  <si>
    <t>Teodosio Gatica Alberto</t>
  </si>
  <si>
    <t>Federico Gatica Alberto</t>
  </si>
  <si>
    <t xml:space="preserve">           </t>
  </si>
  <si>
    <t>Encuesta vacía</t>
  </si>
  <si>
    <t>G045H1</t>
  </si>
  <si>
    <t>Lorena Alberto Marcelo</t>
  </si>
  <si>
    <t>G045M</t>
  </si>
  <si>
    <t>Formato de registro de mediciones antropométricas para hijos</t>
  </si>
  <si>
    <t>Nicasio Gatica Alberto (2 años)</t>
  </si>
  <si>
    <t>Cael Gatic Alberto (4 años)</t>
  </si>
  <si>
    <t>Niños menores a 6 años</t>
  </si>
  <si>
    <t>Eugenia Santiago Morales</t>
  </si>
  <si>
    <t>Carlos Daniel Carranza Santiago</t>
  </si>
  <si>
    <t>Miguel Ángel Carranza Santiago</t>
  </si>
  <si>
    <t>Carlo Carranza Aurelio</t>
  </si>
  <si>
    <t xml:space="preserve">Cuestionario 
de la pecepción del estado de salud para padres </t>
  </si>
  <si>
    <t>Amairani Carranza Santiago (5 años)</t>
  </si>
  <si>
    <t>Oziel Carranza Santiago (3 años)</t>
  </si>
  <si>
    <t>Josemar Carranza Santiago (2 años)</t>
  </si>
  <si>
    <t>Villar Gatica García</t>
  </si>
  <si>
    <t>José Marcelo Morales</t>
  </si>
  <si>
    <t>Antonia Gatica García</t>
  </si>
  <si>
    <t>Jesús Marcelo Gatica</t>
  </si>
  <si>
    <t>G103H</t>
  </si>
  <si>
    <t>G030H1</t>
  </si>
  <si>
    <t>Eulalio Emiliano García</t>
  </si>
  <si>
    <t>Lázara Dircio Espinoza</t>
  </si>
  <si>
    <t>Iliana Emiliano Dircio</t>
  </si>
  <si>
    <t>G068H</t>
  </si>
  <si>
    <t>Olalio Emiliano Dircio</t>
  </si>
  <si>
    <t>G068H2</t>
  </si>
  <si>
    <t>Susana Nava Gil</t>
  </si>
  <si>
    <t>Héctor Ortega Nava</t>
  </si>
  <si>
    <t>Ángel Ortega Nava</t>
  </si>
  <si>
    <t>Gilberto Ortega Nava</t>
  </si>
  <si>
    <t>Ediberta Ortega Nava</t>
  </si>
  <si>
    <t>Horacio Ortega Nava</t>
  </si>
  <si>
    <t>G029H2</t>
  </si>
  <si>
    <t>G029H3</t>
  </si>
  <si>
    <t>G029M</t>
  </si>
  <si>
    <t>G029H1</t>
  </si>
  <si>
    <t>G029H4</t>
  </si>
  <si>
    <t>G029H5</t>
  </si>
  <si>
    <t>Lucía Saturnino Santiago</t>
  </si>
  <si>
    <t>G025M</t>
  </si>
  <si>
    <t>Elidia Neri Saturnino</t>
  </si>
  <si>
    <t>G025H3</t>
  </si>
  <si>
    <t>José Neri Mora</t>
  </si>
  <si>
    <t>Saturnina Neri Saturnino</t>
  </si>
  <si>
    <t>G025H1</t>
  </si>
  <si>
    <t>Rey</t>
  </si>
  <si>
    <t>G025H2</t>
  </si>
  <si>
    <t>antonia Neri Saturnino</t>
  </si>
  <si>
    <t>G025H4</t>
  </si>
  <si>
    <t>Naranjo</t>
  </si>
  <si>
    <t>Percepción del
estado de salud y de problemas gastrointestinales y respiratorios para padres</t>
  </si>
  <si>
    <t>Formato de 
registro de mediciones antropométricas para hijos</t>
  </si>
  <si>
    <t>Cuestionario de
 la percepción del estado de salud para hijos</t>
  </si>
  <si>
    <t>Marcelino Ruiz Rodríguez</t>
  </si>
  <si>
    <t>Regina Ramírez Espinoza</t>
  </si>
  <si>
    <t>N60P</t>
  </si>
  <si>
    <t>Ana Delia Ruiz Ramírez</t>
  </si>
  <si>
    <t>N060H1F8</t>
  </si>
  <si>
    <t>N060H3</t>
  </si>
  <si>
    <t>Eldes Ruiz Ramírez (2 años)</t>
  </si>
  <si>
    <t>Ermelinda Ruiz Ramírez</t>
  </si>
  <si>
    <t>N060H2</t>
  </si>
  <si>
    <t>Josefina Santiago García</t>
  </si>
  <si>
    <t>Reynalda Santiago García</t>
  </si>
  <si>
    <t>N056H1F9</t>
  </si>
  <si>
    <t>N056H2F5</t>
  </si>
  <si>
    <t>N056H3F5</t>
  </si>
  <si>
    <t>N055M</t>
  </si>
  <si>
    <t>Natalia Romigio Aurelio (abuela)</t>
  </si>
  <si>
    <t>Angelina García Espinosa</t>
  </si>
  <si>
    <t>N055H1</t>
  </si>
  <si>
    <t>José Luis García Espinosa</t>
  </si>
  <si>
    <t>N055H2</t>
  </si>
  <si>
    <t>Alicia García Espinosa</t>
  </si>
  <si>
    <t>N056M</t>
  </si>
  <si>
    <t>Cresenciana Santiago García (12 años)</t>
  </si>
  <si>
    <t>Laurentina Mateo Hilario</t>
  </si>
  <si>
    <t>Uriel Bolono Mateo</t>
  </si>
  <si>
    <t>050M</t>
  </si>
  <si>
    <t>050H1</t>
  </si>
  <si>
    <t>Lazara Bulaño Mateo</t>
  </si>
  <si>
    <t>050H</t>
  </si>
  <si>
    <t>Cervanda Bulaño Mateo</t>
  </si>
  <si>
    <t>N050H2</t>
  </si>
  <si>
    <t>Eugenia Bulaño Mateo</t>
  </si>
  <si>
    <t>Juana Santiago Dircio</t>
  </si>
  <si>
    <t>N066M</t>
  </si>
  <si>
    <t>N066H1</t>
  </si>
  <si>
    <t xml:space="preserve">Cándido Vázquez Santiago 
(En una encuesta dice 8 años y en otra 4)
</t>
  </si>
  <si>
    <t>Datos contradictorios o confusos</t>
  </si>
  <si>
    <t>UPN</t>
  </si>
  <si>
    <t xml:space="preserve">Percepción del
estado de salud y de problemas gastrointestinales y respiratorios para padres
</t>
  </si>
  <si>
    <t>Monserrat Pacheco Aceves</t>
  </si>
  <si>
    <t>U003M</t>
  </si>
  <si>
    <t>U003H1F6</t>
  </si>
  <si>
    <t>Brenda Alondra Martínez 
Pacheco (7 años en encuesta, 6 en código)</t>
  </si>
  <si>
    <t>Adriana Vázquez Rojas</t>
  </si>
  <si>
    <t>U002M</t>
  </si>
  <si>
    <t>Omara Yareid Sánchez Vázquez</t>
  </si>
  <si>
    <t>U002H3F6</t>
  </si>
  <si>
    <t>Guadalupe Sánchez Santos</t>
  </si>
  <si>
    <t>U004M</t>
  </si>
  <si>
    <t>Andrea Isabela Sánchez 
Santos (8 años)</t>
  </si>
  <si>
    <t>María Inés Núñez Velázquez</t>
  </si>
  <si>
    <t>U005M</t>
  </si>
  <si>
    <t>José Ángel Salgado Núñez</t>
  </si>
  <si>
    <t>U005H3M9</t>
  </si>
  <si>
    <t>María Isabel Hernández Rangel</t>
  </si>
  <si>
    <t>U006M</t>
  </si>
  <si>
    <t>Jessica Ramírez Hernández</t>
  </si>
  <si>
    <t>U006H1F9</t>
  </si>
  <si>
    <t>Erika Natalia Valdez Sánchez</t>
  </si>
  <si>
    <t>U007M</t>
  </si>
  <si>
    <t>Montserrat Miranda Valdez
(9 años)</t>
  </si>
  <si>
    <t>Maribel Cuevas Alvarado</t>
  </si>
  <si>
    <t>U011M</t>
  </si>
  <si>
    <t>Víctor Alexandro Feria Cuevas</t>
  </si>
  <si>
    <t>Alimentación durante el embarazo</t>
  </si>
  <si>
    <t>Lizette García García</t>
  </si>
  <si>
    <t>U012M</t>
  </si>
  <si>
    <t>María Fernanda Bobadilla 
García (9 años)</t>
  </si>
  <si>
    <t>U012H3M6</t>
  </si>
  <si>
    <t>Alejandro Bobadilla García</t>
  </si>
  <si>
    <t>Martha Hortencia Ávila Rodante</t>
  </si>
  <si>
    <t>U013M</t>
  </si>
  <si>
    <t>Stephanie María Contreras Ávila</t>
  </si>
  <si>
    <t>U013H3F9</t>
  </si>
  <si>
    <t xml:space="preserve">Laura Ferias Martínez </t>
  </si>
  <si>
    <t>U015M</t>
  </si>
  <si>
    <t>Yael Santiago Ferias</t>
  </si>
  <si>
    <t>U015H1</t>
  </si>
  <si>
    <t>Luz Noelia Arizmendi Ramírez</t>
  </si>
  <si>
    <t>U009H2F10</t>
  </si>
  <si>
    <t>Gatica P2</t>
  </si>
  <si>
    <t xml:space="preserve">
Percepción del
estado de salud y de problemas gastrointestinales y respiratorios para padres</t>
  </si>
  <si>
    <t>Apolonia Aurelio Alberto</t>
  </si>
  <si>
    <t>G006M1</t>
  </si>
  <si>
    <t>Código</t>
  </si>
  <si>
    <t>G006H2</t>
  </si>
  <si>
    <t>Heréndira Carranza 
Aurelio (6 años)</t>
  </si>
  <si>
    <t>Flora Espinoza Saldaña</t>
  </si>
  <si>
    <t>G013H2M10</t>
  </si>
  <si>
    <t>Francisco Cayetano Espinoza</t>
  </si>
  <si>
    <t>G013H4</t>
  </si>
  <si>
    <t>G013M</t>
  </si>
  <si>
    <t xml:space="preserve">Salvador Cayetano 
Espinoza </t>
  </si>
  <si>
    <t>Fátima Cayetano Espinoza</t>
  </si>
  <si>
    <t>G013H1</t>
  </si>
  <si>
    <t>Rigoberto Cayetano Espinoza</t>
  </si>
  <si>
    <t>G013H3</t>
  </si>
  <si>
    <t>G013H5</t>
  </si>
  <si>
    <t>Bertin Cayetano 
Espinoza (2 años)</t>
  </si>
  <si>
    <t>Idalia Santiago García</t>
  </si>
  <si>
    <t>G0102M</t>
  </si>
  <si>
    <t>Jazmín Araceli Dircio Santiago</t>
  </si>
  <si>
    <t>G0102H</t>
  </si>
  <si>
    <t>Honoria Mora Nava</t>
  </si>
  <si>
    <t>G042H1</t>
  </si>
  <si>
    <t>Norma Nava Calixto</t>
  </si>
  <si>
    <t>G042H4</t>
  </si>
  <si>
    <t>Martina Mora Nava</t>
  </si>
  <si>
    <t>G042H3</t>
  </si>
  <si>
    <t>Leuticio Mora Nava</t>
  </si>
  <si>
    <t>Adelita Mora Nava</t>
  </si>
  <si>
    <t>Sulma Mora Nava (4 años)</t>
  </si>
  <si>
    <t>G042H5</t>
  </si>
  <si>
    <t>Mardonia García Gatica</t>
  </si>
  <si>
    <t>G033M</t>
  </si>
  <si>
    <t>Azalea Berenice Nava García</t>
  </si>
  <si>
    <t>G033H1</t>
  </si>
  <si>
    <t>Edgar Nava García</t>
  </si>
  <si>
    <t>G033H2</t>
  </si>
  <si>
    <t>Deyanira Nava García</t>
  </si>
  <si>
    <t>G033H3</t>
  </si>
  <si>
    <t>Berenice Carranza Castro</t>
  </si>
  <si>
    <t>G020H3</t>
  </si>
  <si>
    <t>Soledad Carranza Castro</t>
  </si>
  <si>
    <t>G020H3 
(mismo número)</t>
  </si>
  <si>
    <t>Mariluz Castro Aviles</t>
  </si>
  <si>
    <t>X Hay dos 
encuestas con diferentes datos</t>
  </si>
  <si>
    <t>Héctor Carranza Castro (3 años)</t>
  </si>
  <si>
    <t>Arcángela Silverio Toribio</t>
  </si>
  <si>
    <t>G105H1</t>
  </si>
  <si>
    <t>Hugo Carranza Silverio</t>
  </si>
  <si>
    <t>Edith Carranza Silverio</t>
  </si>
  <si>
    <t>G105H2</t>
  </si>
  <si>
    <t>Naranjo P2</t>
  </si>
  <si>
    <t>N075M</t>
  </si>
  <si>
    <t>Giovani Ruiz Saturnino</t>
  </si>
  <si>
    <t>N075H1</t>
  </si>
  <si>
    <t>Marcela Saturnino Alyo</t>
  </si>
  <si>
    <t>Deny Ruiz Saturnino</t>
  </si>
  <si>
    <t>N075H2</t>
  </si>
  <si>
    <t>Leonel Ruiz Saturnino</t>
  </si>
  <si>
    <t>N075H3</t>
  </si>
  <si>
    <t>Griselda Ruiz Saturnino</t>
  </si>
  <si>
    <t>N078M</t>
  </si>
  <si>
    <t>Feliciano Santiago Patricio</t>
  </si>
  <si>
    <t>Mirna Santiago Zamora</t>
  </si>
  <si>
    <t>María Oliria Zamora (En las 
encuestas marca 74 años )</t>
  </si>
  <si>
    <t>N078P</t>
  </si>
  <si>
    <t>N078H1</t>
  </si>
  <si>
    <t>Epifanio Rodríguez Ruiz</t>
  </si>
  <si>
    <t>N075P</t>
  </si>
  <si>
    <t>Raúl Rodríguez Trinidad</t>
  </si>
  <si>
    <t>N079P</t>
  </si>
  <si>
    <t>N079H1</t>
  </si>
  <si>
    <t>N079H2</t>
  </si>
  <si>
    <t>Erika Rodríguez García (4)</t>
  </si>
  <si>
    <t>Maricela Rodríguez García (7)</t>
  </si>
  <si>
    <t>Isadora García Espinoza</t>
  </si>
  <si>
    <t>Isadora Santiago Dircio</t>
  </si>
  <si>
    <t>027M</t>
  </si>
  <si>
    <t>N054P</t>
  </si>
  <si>
    <t>N054H1</t>
  </si>
  <si>
    <t>Fausto Espinosa Santiago (4)</t>
  </si>
  <si>
    <t>Amador Espinosa Eulagio</t>
  </si>
  <si>
    <t>Ramón Santiago Zamora</t>
  </si>
  <si>
    <t>N073P</t>
  </si>
  <si>
    <t>Jovita Espinosa Morales</t>
  </si>
  <si>
    <t>N073M</t>
  </si>
  <si>
    <t>Leonor Santiago Espinoza</t>
  </si>
  <si>
    <t>N073H1</t>
  </si>
  <si>
    <t>Carmelo Santiago Espinosa</t>
  </si>
  <si>
    <t>N073H2</t>
  </si>
  <si>
    <t>Fausto Santiago Espinoza</t>
  </si>
  <si>
    <t>N073H3</t>
  </si>
  <si>
    <t>Extras UPN</t>
  </si>
  <si>
    <t>U028M</t>
  </si>
  <si>
    <t>Miranda Rodríguez Campos</t>
  </si>
  <si>
    <t>Janet Cervantes Coronel</t>
  </si>
  <si>
    <t>U029M</t>
  </si>
  <si>
    <t>Renata</t>
  </si>
  <si>
    <t>U029H3F7</t>
  </si>
  <si>
    <t>Guadalupe Beltrán Cortés</t>
  </si>
  <si>
    <t>U032M</t>
  </si>
  <si>
    <t>U032H3M8</t>
  </si>
  <si>
    <t>Arturo Hernández Beltrán</t>
  </si>
  <si>
    <t>Carmen Fonseca Romero</t>
  </si>
  <si>
    <t>U033M</t>
  </si>
  <si>
    <t>Miguel Ángel Leon Fonseca</t>
  </si>
  <si>
    <t>U033H2M8</t>
  </si>
  <si>
    <t>Paula Alejandra Del Razo Hernández</t>
  </si>
  <si>
    <t>U035M</t>
  </si>
  <si>
    <t>Axel Salvador del Razo Hernández</t>
  </si>
  <si>
    <t>Dulce Alexia del Razo Hernández</t>
  </si>
  <si>
    <t>U035H1M10</t>
  </si>
  <si>
    <t>U035H2M6 (no es F?)</t>
  </si>
  <si>
    <t>Ana Karen Macías Espinosa</t>
  </si>
  <si>
    <t>U036M</t>
  </si>
  <si>
    <t>Víctor Raymundo Salgado Guzmán</t>
  </si>
  <si>
    <t>Emiliano Salgado Macías</t>
  </si>
  <si>
    <t>U036H1M9</t>
  </si>
  <si>
    <t>Alejandra E Ruiz Contreras</t>
  </si>
  <si>
    <t>U037M</t>
  </si>
  <si>
    <t>Alexa Escobedo Ruiz</t>
  </si>
  <si>
    <t>U037H1F6</t>
  </si>
  <si>
    <t>?</t>
  </si>
  <si>
    <t>Alejandra Chavero Cabrera</t>
  </si>
  <si>
    <t>U034</t>
  </si>
  <si>
    <t>Violeta Ayala Mexicano</t>
  </si>
  <si>
    <t>U040M</t>
  </si>
  <si>
    <t>Carlos Alejandro Mejía Ayala</t>
  </si>
  <si>
    <t>040H1M8</t>
  </si>
  <si>
    <t>Francisco Javier García Balina</t>
  </si>
  <si>
    <t>U027P</t>
  </si>
  <si>
    <t>Angel Javier García Ballina</t>
  </si>
  <si>
    <t>Javier García Mandujano</t>
  </si>
  <si>
    <t>U027H1</t>
  </si>
  <si>
    <t>Linda Velázquez</t>
  </si>
  <si>
    <t>U025M</t>
  </si>
  <si>
    <t>Alondra Gisela Sosa Velázquez</t>
  </si>
  <si>
    <t>U025H1F7</t>
  </si>
  <si>
    <t>Yuridia Pamela Sosa Velázquez</t>
  </si>
  <si>
    <t>U025H2F7</t>
  </si>
  <si>
    <t>Rosalia Saucedo Téllez</t>
  </si>
  <si>
    <t>U026M</t>
  </si>
  <si>
    <t>Fernando Sandoval Saucedo</t>
  </si>
  <si>
    <t>U026H1F8</t>
  </si>
  <si>
    <t>Lia Fernanda Sandoval Saucedo</t>
  </si>
  <si>
    <t>Gerardo Segura Garay</t>
  </si>
  <si>
    <t>U017M</t>
  </si>
  <si>
    <t>María del Rocío Lara Núñez</t>
  </si>
  <si>
    <t>Regina Segura Lara</t>
  </si>
  <si>
    <t>U017P</t>
  </si>
  <si>
    <t>U018H1</t>
  </si>
  <si>
    <t>Ana Karenina Suaste Herrera</t>
  </si>
  <si>
    <t>Ana Sophia Islas Suaste</t>
  </si>
  <si>
    <t>U031H1F8</t>
  </si>
  <si>
    <t>Anel Núñez Viveros</t>
  </si>
  <si>
    <t>U018M</t>
  </si>
  <si>
    <t>Pamela</t>
  </si>
  <si>
    <t>U018H1F10</t>
  </si>
  <si>
    <t>Leonardo</t>
  </si>
  <si>
    <t>U018H2M7</t>
  </si>
  <si>
    <t>X (durante 
embarazo y normal)</t>
  </si>
  <si>
    <t>Veronica Castillo García</t>
  </si>
  <si>
    <t>U021M</t>
  </si>
  <si>
    <t>Ángel Ugalde Hernández</t>
  </si>
  <si>
    <t>Saúl Ugalde Castillo</t>
  </si>
  <si>
    <t>U021H2M8</t>
  </si>
  <si>
    <t>María Cristina Perez Agüero</t>
  </si>
  <si>
    <t>U022M</t>
  </si>
  <si>
    <t>U022H1</t>
  </si>
  <si>
    <t>Saúl Roman Aguilar Perez</t>
  </si>
  <si>
    <t>U022H2</t>
  </si>
  <si>
    <t>Aldo Emiliano Aguilar Perez</t>
  </si>
  <si>
    <t>Miguel Tapia</t>
  </si>
  <si>
    <t>U023</t>
  </si>
  <si>
    <t>Abril Aldama Soliz</t>
  </si>
  <si>
    <t>Miguel Khalid Tapia Aldama</t>
  </si>
  <si>
    <t>Claudia Susana Correa Roán</t>
  </si>
  <si>
    <t>U024M</t>
  </si>
  <si>
    <t>Ricardo Edgar González Pulido</t>
  </si>
  <si>
    <t>Christopher Thomas Yamil</t>
  </si>
  <si>
    <t>U024H2M9</t>
  </si>
  <si>
    <t>Nadia Saraí Peña Pacheco</t>
  </si>
  <si>
    <t>U038M</t>
  </si>
  <si>
    <t>Francisco Javier Cortes Escobar</t>
  </si>
  <si>
    <t>Abigail Cortes Peña</t>
  </si>
  <si>
    <t>U038H2F7</t>
  </si>
  <si>
    <t>Carmen Magallón Cabrera</t>
  </si>
  <si>
    <t>U039</t>
  </si>
  <si>
    <t>Edgar García Hideroa</t>
  </si>
  <si>
    <t>Carlos Enrique Sánchez Magallón</t>
  </si>
  <si>
    <t>X (incompleta)</t>
  </si>
  <si>
    <t>Nayeli Ávila López</t>
  </si>
  <si>
    <t>U030M</t>
  </si>
  <si>
    <t>Sofía Hernández Ávila</t>
  </si>
  <si>
    <t>Omar Hernández Ávila</t>
  </si>
  <si>
    <t>U030H2M10</t>
  </si>
  <si>
    <t>U030H3F7</t>
  </si>
  <si>
    <t>Sonia Castillo García</t>
  </si>
  <si>
    <t>U019M</t>
  </si>
  <si>
    <t>Daniel García Rodarte</t>
  </si>
  <si>
    <t>Natalia García Castillo</t>
  </si>
  <si>
    <t>Montserrat García Castillo</t>
  </si>
  <si>
    <t>Georgina Ugalde Hernández</t>
  </si>
  <si>
    <t>U020M</t>
  </si>
  <si>
    <t>Uriel Fernando Ortega Ugalde</t>
  </si>
  <si>
    <t>Incompleta</t>
  </si>
  <si>
    <t>U020H1M10</t>
  </si>
  <si>
    <t>Nombre</t>
  </si>
  <si>
    <t>Edad</t>
  </si>
  <si>
    <t>Días de la semana</t>
  </si>
  <si>
    <t>Veces al día</t>
  </si>
  <si>
    <t>Veces al mes</t>
  </si>
  <si>
    <t>g. Proteínas</t>
  </si>
  <si>
    <t>Carne de puerco</t>
  </si>
  <si>
    <t>Bistec chico (55g)</t>
  </si>
  <si>
    <t>Carne de res</t>
  </si>
  <si>
    <t>1 bistec chico (55g)</t>
  </si>
  <si>
    <t>1 pieza (90g)</t>
  </si>
  <si>
    <t>1 pieza entera (62g)</t>
  </si>
  <si>
    <t>Mes</t>
  </si>
  <si>
    <t xml:space="preserve">1/2 filete mediano (45g)
</t>
  </si>
  <si>
    <t>TOTAL</t>
  </si>
  <si>
    <t>1 taza (100g)</t>
  </si>
  <si>
    <t>Lentejas,
garbanzo, habas, alubias</t>
  </si>
  <si>
    <t>Casillas vacías en encuesta</t>
  </si>
  <si>
    <t>U017H1F7</t>
  </si>
  <si>
    <t>Datos de 
alimentación durante embarazo</t>
  </si>
  <si>
    <t>Lentejas, garbanzo, 
habas, alubias</t>
  </si>
  <si>
    <t>1/2 filete mediano
 (45g)</t>
  </si>
  <si>
    <t xml:space="preserve">g. Proteínas </t>
  </si>
  <si>
    <t>g. Proteína</t>
  </si>
  <si>
    <t>Pamela Montserrat Núñez Viveros</t>
  </si>
  <si>
    <t>Leonardo Carbajal Núñez</t>
  </si>
  <si>
    <t>U018H1M7</t>
  </si>
  <si>
    <t>Leonardo Núñez Viveros</t>
  </si>
  <si>
    <t>U019H1F10</t>
  </si>
  <si>
    <t>U019H2F6</t>
  </si>
  <si>
    <t>Monserrat García Castillo</t>
  </si>
  <si>
    <t>Faltan:</t>
  </si>
  <si>
    <t xml:space="preserve">Uriel Fernando Ortega Ugalde (sólo está de su mamá)
</t>
  </si>
  <si>
    <t>Aldo Emiliano Aguilar Pérez</t>
  </si>
  <si>
    <t>U023H1M6</t>
  </si>
  <si>
    <t>Miguel Khalid Aldama Tapia</t>
  </si>
  <si>
    <t>Lia Fernanda Sandoval S.</t>
  </si>
  <si>
    <t>Javier García Mandujano
(está de su papá y tiene "14" en días de la semana)</t>
  </si>
  <si>
    <t>Renata Guadarrama Cervantes</t>
  </si>
  <si>
    <t>Sophia Islas Suaste</t>
  </si>
  <si>
    <t>Arturo Hernández Beltran</t>
  </si>
  <si>
    <t>Miguel Ángel León Fonseca</t>
  </si>
  <si>
    <t>Axel Salvador Campo del Razo</t>
  </si>
  <si>
    <t>U035H2M6</t>
  </si>
  <si>
    <t>Dulce Alexia Campo del Razo</t>
  </si>
  <si>
    <t>AlexaEscobedo Ruiz</t>
  </si>
  <si>
    <t>Abigail Cortés Peña</t>
  </si>
  <si>
    <t>U029 (incompleta)</t>
  </si>
  <si>
    <t>Carlos Enrique Sánchez
Magallón</t>
  </si>
  <si>
    <t>U040H1M8</t>
  </si>
  <si>
    <t>Carlos A. Mejía Ayala</t>
  </si>
  <si>
    <t>U011H2M6</t>
  </si>
  <si>
    <t>Víctor Alexandro Ferias 
Cuevas (incompleta)</t>
  </si>
  <si>
    <t>U012H2M6</t>
  </si>
  <si>
    <t>U012H2M9</t>
  </si>
  <si>
    <t xml:space="preserve">Lizette García García </t>
  </si>
  <si>
    <t>Alejandro Bobadillo García</t>
  </si>
  <si>
    <t>U007F9</t>
  </si>
  <si>
    <t>Monserrat Miranda Valdéz</t>
  </si>
  <si>
    <t>U004H1F7</t>
  </si>
  <si>
    <t>Andrea Isabela Sánchez Santos</t>
  </si>
  <si>
    <t>U015H1M6</t>
  </si>
  <si>
    <t>Yael Santiago Feria</t>
  </si>
  <si>
    <t>Yael Saniago Ferias</t>
  </si>
  <si>
    <t>Brenda Alondra Martínez Pacheco</t>
  </si>
  <si>
    <t>g. lípidos</t>
  </si>
  <si>
    <t>N047H2</t>
  </si>
  <si>
    <t>YOLANDA GARCIA ZAMORA</t>
  </si>
  <si>
    <t>N050H1</t>
  </si>
  <si>
    <t>EUGENIA BOLAÑOS MATEO</t>
  </si>
  <si>
    <t>N050H3</t>
  </si>
  <si>
    <t>LAZARO BOLAÑOS MATEO</t>
  </si>
  <si>
    <t>ANGELINA GARCIA ESPINOSA</t>
  </si>
  <si>
    <t>JOSE LUIS GARCIA ESPINOSA</t>
  </si>
  <si>
    <t>N056H1</t>
  </si>
  <si>
    <t xml:space="preserve">RESENCIANA SANTIAGO GARCIA </t>
  </si>
  <si>
    <t>N056H2</t>
  </si>
  <si>
    <t>REYNALDA SANTIAGO GARCIA</t>
  </si>
  <si>
    <t>N056H3</t>
  </si>
  <si>
    <t>JOSEFINA SANTIAGO GARCIA</t>
  </si>
  <si>
    <t>N060H1</t>
  </si>
  <si>
    <t>ANA DELIA RUIZ RAMIREZ</t>
  </si>
  <si>
    <t xml:space="preserve">Cándido Vázquez Santiago </t>
  </si>
  <si>
    <t>LEONOR SANTIAGO ESPINOZA</t>
  </si>
  <si>
    <t>GIOVANI RUIZ SATURNINO</t>
  </si>
  <si>
    <t>DENY RUIZ SATURNINO</t>
  </si>
  <si>
    <t>LEONEL RUIZ SATURNINO</t>
  </si>
  <si>
    <t>MIRNA SANTIAGO ZAMORA</t>
  </si>
  <si>
    <t>MARICELA RODRIGUEZ GARCIA</t>
  </si>
  <si>
    <t>N073H2M6</t>
  </si>
  <si>
    <t>FAUSTO SANTIAGO ESPINOZA</t>
  </si>
  <si>
    <t>N066H1M8</t>
  </si>
  <si>
    <t>CANDIDO VÁZQUEZ SANTIAGO</t>
  </si>
  <si>
    <t>PLAN DE GATICA</t>
  </si>
  <si>
    <t>G006H1</t>
  </si>
  <si>
    <t>GALILEA CARRANZA AURELIO</t>
  </si>
  <si>
    <t xml:space="preserve">HERENDIRA CARRAZA AURELIO </t>
  </si>
  <si>
    <t>SALVADOR CAYETANO ESPINOZA</t>
  </si>
  <si>
    <t>FRANCISCO CAYETANO ESPINOZA</t>
  </si>
  <si>
    <t>SOLEDAD CARRANZA CASTRO</t>
  </si>
  <si>
    <t>G020H4</t>
  </si>
  <si>
    <t>BERENICE CARRANZA CASTRO</t>
  </si>
  <si>
    <t xml:space="preserve">ELIDIA NERI SATURNINO </t>
  </si>
  <si>
    <t>CARLOS DANIEL CARRANZA SANTIAGO</t>
  </si>
  <si>
    <t>G030H2</t>
  </si>
  <si>
    <t>MIGUEL ANGEL CARRANZA SANTIAGO</t>
  </si>
  <si>
    <t>G030H3</t>
  </si>
  <si>
    <t>AMAIRANI CARRANZA SANTIAGO</t>
  </si>
  <si>
    <t>AZALEA BERENICE NAVA GARCIA</t>
  </si>
  <si>
    <t>G042H2</t>
  </si>
  <si>
    <t>HONORIA MORA NAVA</t>
  </si>
  <si>
    <t>MARTINA NORMA NAVA</t>
  </si>
  <si>
    <t>ADELITA NORMA NAVA</t>
  </si>
  <si>
    <t>TEODOSIO GATICA ALBERTO</t>
  </si>
  <si>
    <t>G045H2</t>
  </si>
  <si>
    <t>FEDERICO GATICA ALBERTO</t>
  </si>
  <si>
    <t>MATUSALEN SILVERIO MORALES</t>
  </si>
  <si>
    <t>HUGO CARRANZA SILVERIO</t>
  </si>
  <si>
    <t>EDITH CARRANZA SILVERIO</t>
  </si>
  <si>
    <t>Yogurth</t>
  </si>
  <si>
    <t>½ filete mediano (45g)</t>
  </si>
  <si>
    <t>g. proteínas</t>
  </si>
  <si>
    <t>2 al año</t>
  </si>
  <si>
    <t>3 al año</t>
  </si>
  <si>
    <t>4 al año</t>
  </si>
  <si>
    <t>1 al año</t>
  </si>
  <si>
    <t>1 cada dos meses</t>
  </si>
  <si>
    <t>1 cada 2 meses</t>
  </si>
  <si>
    <t>5 al año</t>
  </si>
  <si>
    <t>2 cada 2 meses</t>
  </si>
  <si>
    <t>6 al año</t>
  </si>
  <si>
    <t>3 cada 2 meses</t>
  </si>
  <si>
    <t>1 al mes</t>
  </si>
  <si>
    <t>1 al  mes por familia</t>
  </si>
  <si>
    <t xml:space="preserve">1 cada 3 semanas </t>
  </si>
  <si>
    <t>1 vaso(240ml)</t>
  </si>
  <si>
    <t>1 envase (250 ml)</t>
  </si>
  <si>
    <t xml:space="preserve">1 cada 2 meses </t>
  </si>
  <si>
    <t>1 cada dos semanas</t>
  </si>
  <si>
    <t xml:space="preserve">1 cada dos semanas </t>
  </si>
  <si>
    <t>cada dos meses</t>
  </si>
  <si>
    <t>2 al mes</t>
  </si>
  <si>
    <t>2 veces al mes</t>
  </si>
  <si>
    <t>cada 2 semanas</t>
  </si>
  <si>
    <t>Plan de gatica</t>
  </si>
  <si>
    <t xml:space="preserve">Naranjo </t>
  </si>
  <si>
    <t>Gatica</t>
  </si>
  <si>
    <t>Aguacate de pellejo</t>
  </si>
  <si>
    <t xml:space="preserve">temporada </t>
  </si>
  <si>
    <t xml:space="preserve">Manteca </t>
  </si>
  <si>
    <t xml:space="preserve">1 cda. </t>
  </si>
  <si>
    <t>1 cda (10 g)</t>
  </si>
  <si>
    <t>gr.lipidos</t>
  </si>
  <si>
    <t>gr. al día</t>
  </si>
  <si>
    <t>g NETO</t>
  </si>
  <si>
    <t xml:space="preserve">2 al año </t>
  </si>
  <si>
    <t>1 al mes por familia</t>
  </si>
  <si>
    <t>diario en temporada</t>
  </si>
  <si>
    <t>temporada(2 meses al año)</t>
  </si>
  <si>
    <t>4 semana</t>
  </si>
  <si>
    <t>5 semana</t>
  </si>
  <si>
    <t xml:space="preserve">1 al mes </t>
  </si>
  <si>
    <t>3 al mes</t>
  </si>
  <si>
    <t>1 semana</t>
  </si>
  <si>
    <t>temporada (2 meses)</t>
  </si>
  <si>
    <t>1 mes</t>
  </si>
  <si>
    <t>2 semana</t>
  </si>
  <si>
    <t>Promedio</t>
  </si>
  <si>
    <t>xi-X</t>
  </si>
  <si>
    <t>No. De datos</t>
  </si>
  <si>
    <t>(xi-X)2</t>
  </si>
  <si>
    <t xml:space="preserve">Sumatoria
de (xi-X)2 </t>
  </si>
  <si>
    <t>Desviación
estándar</t>
  </si>
  <si>
    <t xml:space="preserve">No. De datos </t>
  </si>
  <si>
    <t>(xi-X)^2</t>
  </si>
  <si>
    <t>Sumatoria</t>
  </si>
  <si>
    <t>No. De Datos</t>
  </si>
  <si>
    <t>Prmedio</t>
  </si>
  <si>
    <t>Consumo al mes (g/día)</t>
  </si>
  <si>
    <t xml:space="preserve">Sumatoria
</t>
  </si>
  <si>
    <t>xi - X</t>
  </si>
  <si>
    <t>Pomedio</t>
  </si>
  <si>
    <t>Registro</t>
  </si>
  <si>
    <t>Estatura</t>
  </si>
  <si>
    <t>Peso</t>
  </si>
  <si>
    <t>Perímetro Cefálico</t>
  </si>
  <si>
    <t>Braquial</t>
  </si>
  <si>
    <t>IMC</t>
  </si>
  <si>
    <t>U002H3</t>
  </si>
  <si>
    <t>U003H1</t>
  </si>
  <si>
    <t>U004H1</t>
  </si>
  <si>
    <t>U005H3</t>
  </si>
  <si>
    <t>U006H1</t>
  </si>
  <si>
    <t>U007H1</t>
  </si>
  <si>
    <t>Monserrat Miranda Valdez</t>
  </si>
  <si>
    <t>U011H2</t>
  </si>
  <si>
    <t>U012H1</t>
  </si>
  <si>
    <t>María Fernanda Bobadilla García</t>
  </si>
  <si>
    <t>U012H2</t>
  </si>
  <si>
    <t>U013H</t>
  </si>
  <si>
    <t>U014H1</t>
  </si>
  <si>
    <t>Lucía López Velázquez</t>
  </si>
  <si>
    <t>U015H</t>
  </si>
  <si>
    <t>U016H1</t>
  </si>
  <si>
    <t>Alejandro Galicia Martínez</t>
  </si>
  <si>
    <t>U016H2</t>
  </si>
  <si>
    <t>Gael Galicia Martínez</t>
  </si>
  <si>
    <t>U017H1</t>
  </si>
  <si>
    <t>Pamela Nuñez Viveros</t>
  </si>
  <si>
    <t>U018H2</t>
  </si>
  <si>
    <t>Leonardo Carbajal Nuñez</t>
  </si>
  <si>
    <t>U022H1M7</t>
  </si>
  <si>
    <t>Christopher Thomas Yamil Correa Roan</t>
  </si>
  <si>
    <t>Alondra Gisela Sosa Veláquez</t>
  </si>
  <si>
    <t>U027H1M9</t>
  </si>
  <si>
    <t>Ángel Javier García Mandujano</t>
  </si>
  <si>
    <t>Alanis Rodríguez Campo</t>
  </si>
  <si>
    <t xml:space="preserve">Sophia Islas Suaste </t>
  </si>
  <si>
    <t xml:space="preserve">Arturo Hernández Beltran </t>
  </si>
  <si>
    <t xml:space="preserve">Axel Salvador Campo del Razo </t>
  </si>
  <si>
    <t>U035H2F6</t>
  </si>
  <si>
    <t>Altura</t>
  </si>
  <si>
    <t>Desviación 
estándar</t>
  </si>
  <si>
    <t>Perímetro
cefálico</t>
  </si>
  <si>
    <t>(Xi-X)^2</t>
  </si>
  <si>
    <t>Desviación estándar</t>
  </si>
  <si>
    <t>No de datos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</si>
</sst>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rgb="FF000000"/>
      <name val="Arial"/>
      <family val="2"/>
    </font>
    <font>
      <sz val="10"/>
      <name val="Arial"/>
    </font>
    <font>
      <b/>
      <sz val="10"/>
      <name val="Arial"/>
    </font>
    <font>
      <sz val="11"/>
      <color rgb="FF000000"/>
      <name val="Calibri"/>
    </font>
    <font>
      <sz val="11"/>
      <color rgb="FF006100"/>
      <name val="Calibri"/>
    </font>
    <font>
      <sz val="11"/>
      <name val="Calibri"/>
    </font>
    <font>
      <sz val="8"/>
      <color rgb="FF000000"/>
      <name val="Calibri"/>
    </font>
    <font>
      <sz val="10"/>
      <color rgb="FF000000"/>
      <name val="Arial"/>
    </font>
    <font>
      <b/>
      <sz val="10"/>
      <name val="Arial"/>
      <family val="2"/>
    </font>
  </fonts>
  <fills count="22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7" tint="-0.499984740745262"/>
        <bgColor indexed="64"/>
      </patternFill>
    </fill>
    <fill>
      <patternFill patternType="solid">
        <fgColor rgb="FFC6EFCE"/>
        <bgColor rgb="FFC6EFCE"/>
      </patternFill>
    </fill>
    <fill>
      <patternFill patternType="solid">
        <fgColor rgb="FFFF0000"/>
        <bgColor rgb="FFFF0000"/>
      </patternFill>
    </fill>
    <fill>
      <patternFill patternType="solid">
        <fgColor rgb="FFCFE2F3"/>
        <bgColor rgb="FFCFE2F3"/>
      </patternFill>
    </fill>
    <fill>
      <patternFill patternType="solid">
        <fgColor rgb="FFFF9900"/>
        <bgColor rgb="FFFF9900"/>
      </patternFill>
    </fill>
    <fill>
      <patternFill patternType="solid">
        <fgColor rgb="FFFFFF00"/>
        <bgColor rgb="FFFFFF00"/>
      </patternFill>
    </fill>
    <fill>
      <patternFill patternType="solid">
        <fgColor rgb="FFEAD1DC"/>
        <bgColor rgb="FFEAD1DC"/>
      </patternFill>
    </fill>
    <fill>
      <patternFill patternType="solid">
        <fgColor rgb="FFFBE4D5"/>
        <bgColor rgb="FFFBE4D5"/>
      </patternFill>
    </fill>
    <fill>
      <patternFill patternType="solid">
        <fgColor rgb="FFD9E2F3"/>
        <bgColor rgb="FFD9E2F3"/>
      </patternFill>
    </fill>
    <fill>
      <patternFill patternType="solid">
        <fgColor rgb="FFB6D7A8"/>
        <bgColor rgb="FFB6D7A8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3300"/>
        <bgColor indexed="64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</borders>
  <cellStyleXfs count="1">
    <xf numFmtId="0" fontId="0" fillId="0" borderId="0"/>
  </cellStyleXfs>
  <cellXfs count="112">
    <xf numFmtId="0" fontId="0" fillId="0" borderId="0" xfId="0"/>
    <xf numFmtId="0" fontId="1" fillId="0" borderId="0" xfId="0" applyFont="1"/>
    <xf numFmtId="0" fontId="0" fillId="0" borderId="0" xfId="0" applyAlignment="1">
      <alignment wrapText="1"/>
    </xf>
    <xf numFmtId="0" fontId="0" fillId="0" borderId="0" xfId="0" applyAlignment="1">
      <alignment horizontal="center"/>
    </xf>
    <xf numFmtId="0" fontId="0" fillId="2" borderId="0" xfId="0" applyFill="1" applyAlignment="1">
      <alignment wrapText="1"/>
    </xf>
    <xf numFmtId="0" fontId="0" fillId="2" borderId="0" xfId="0" applyFill="1"/>
    <xf numFmtId="0" fontId="0" fillId="3" borderId="0" xfId="0" applyFill="1"/>
    <xf numFmtId="0" fontId="0" fillId="3" borderId="0" xfId="0" applyFill="1" applyAlignment="1">
      <alignment wrapText="1"/>
    </xf>
    <xf numFmtId="0" fontId="0" fillId="3" borderId="0" xfId="0" applyFill="1" applyAlignment="1">
      <alignment horizontal="center"/>
    </xf>
    <xf numFmtId="0" fontId="0" fillId="4" borderId="0" xfId="0" applyFill="1"/>
    <xf numFmtId="0" fontId="0" fillId="5" borderId="0" xfId="0" applyFill="1"/>
    <xf numFmtId="0" fontId="0" fillId="4" borderId="0" xfId="0" applyFill="1" applyAlignment="1">
      <alignment horizontal="center"/>
    </xf>
    <xf numFmtId="0" fontId="0" fillId="6" borderId="0" xfId="0" applyFill="1" applyAlignment="1">
      <alignment horizontal="center"/>
    </xf>
    <xf numFmtId="0" fontId="0" fillId="0" borderId="0" xfId="0" applyFill="1"/>
    <xf numFmtId="0" fontId="0" fillId="0" borderId="0" xfId="0" applyFont="1"/>
    <xf numFmtId="0" fontId="0" fillId="4" borderId="0" xfId="0" applyFill="1" applyAlignment="1">
      <alignment wrapText="1"/>
    </xf>
    <xf numFmtId="0" fontId="0" fillId="7" borderId="0" xfId="0" applyFill="1"/>
    <xf numFmtId="0" fontId="0" fillId="7" borderId="0" xfId="0" applyFill="1" applyAlignment="1">
      <alignment wrapText="1"/>
    </xf>
    <xf numFmtId="0" fontId="0" fillId="0" borderId="0" xfId="0" applyAlignment="1">
      <alignment horizontal="center" wrapText="1"/>
    </xf>
    <xf numFmtId="0" fontId="0" fillId="3" borderId="0" xfId="0" applyFill="1" applyAlignment="1">
      <alignment horizontal="center" wrapText="1"/>
    </xf>
    <xf numFmtId="0" fontId="0" fillId="8" borderId="0" xfId="0" applyFill="1" applyAlignment="1">
      <alignment horizontal="center"/>
    </xf>
    <xf numFmtId="0" fontId="0" fillId="5" borderId="0" xfId="0" applyFill="1" applyAlignment="1">
      <alignment wrapText="1"/>
    </xf>
    <xf numFmtId="0" fontId="0" fillId="0" borderId="0" xfId="0" applyFill="1" applyAlignment="1">
      <alignment wrapText="1"/>
    </xf>
    <xf numFmtId="0" fontId="0" fillId="9" borderId="0" xfId="0" applyFill="1"/>
    <xf numFmtId="0" fontId="0" fillId="9" borderId="0" xfId="0" applyFill="1" applyAlignment="1">
      <alignment wrapText="1"/>
    </xf>
    <xf numFmtId="0" fontId="1" fillId="0" borderId="0" xfId="0" applyFont="1" applyAlignment="1">
      <alignment wrapText="1"/>
    </xf>
    <xf numFmtId="0" fontId="0" fillId="0" borderId="0" xfId="0" applyFont="1" applyAlignment="1">
      <alignment horizontal="left"/>
    </xf>
    <xf numFmtId="0" fontId="3" fillId="0" borderId="1" xfId="0" applyFont="1" applyBorder="1"/>
    <xf numFmtId="0" fontId="4" fillId="0" borderId="1" xfId="0" applyFont="1" applyBorder="1"/>
    <xf numFmtId="0" fontId="5" fillId="10" borderId="2" xfId="0" applyFont="1" applyFill="1" applyBorder="1"/>
    <xf numFmtId="0" fontId="5" fillId="10" borderId="3" xfId="0" applyFont="1" applyFill="1" applyBorder="1"/>
    <xf numFmtId="0" fontId="3" fillId="10" borderId="4" xfId="0" applyFont="1" applyFill="1" applyBorder="1"/>
    <xf numFmtId="0" fontId="6" fillId="10" borderId="5" xfId="0" applyFont="1" applyFill="1" applyBorder="1"/>
    <xf numFmtId="0" fontId="6" fillId="10" borderId="1" xfId="0" applyFont="1" applyFill="1" applyBorder="1"/>
    <xf numFmtId="0" fontId="6" fillId="10" borderId="6" xfId="0" applyFont="1" applyFill="1" applyBorder="1" applyAlignment="1">
      <alignment horizontal="right"/>
    </xf>
    <xf numFmtId="0" fontId="5" fillId="11" borderId="5" xfId="0" applyFont="1" applyFill="1" applyBorder="1"/>
    <xf numFmtId="0" fontId="5" fillId="11" borderId="1" xfId="0" applyFont="1" applyFill="1" applyBorder="1"/>
    <xf numFmtId="0" fontId="5" fillId="11" borderId="6" xfId="0" applyFont="1" applyFill="1" applyBorder="1" applyAlignment="1">
      <alignment horizontal="right"/>
    </xf>
    <xf numFmtId="0" fontId="6" fillId="12" borderId="5" xfId="0" applyFont="1" applyFill="1" applyBorder="1"/>
    <xf numFmtId="0" fontId="6" fillId="12" borderId="1" xfId="0" applyFont="1" applyFill="1" applyBorder="1"/>
    <xf numFmtId="0" fontId="6" fillId="12" borderId="6" xfId="0" applyFont="1" applyFill="1" applyBorder="1" applyAlignment="1">
      <alignment horizontal="right"/>
    </xf>
    <xf numFmtId="0" fontId="6" fillId="10" borderId="6" xfId="0" applyFont="1" applyFill="1" applyBorder="1"/>
    <xf numFmtId="0" fontId="7" fillId="13" borderId="5" xfId="0" applyFont="1" applyFill="1" applyBorder="1"/>
    <xf numFmtId="0" fontId="5" fillId="13" borderId="1" xfId="0" applyFont="1" applyFill="1" applyBorder="1"/>
    <xf numFmtId="0" fontId="3" fillId="13" borderId="6" xfId="0" applyFont="1" applyFill="1" applyBorder="1"/>
    <xf numFmtId="0" fontId="5" fillId="10" borderId="5" xfId="0" applyFont="1" applyFill="1" applyBorder="1"/>
    <xf numFmtId="0" fontId="5" fillId="10" borderId="1" xfId="0" applyFont="1" applyFill="1" applyBorder="1"/>
    <xf numFmtId="0" fontId="5" fillId="10" borderId="6" xfId="0" applyFont="1" applyFill="1" applyBorder="1" applyAlignment="1">
      <alignment horizontal="right"/>
    </xf>
    <xf numFmtId="0" fontId="5" fillId="12" borderId="5" xfId="0" applyFont="1" applyFill="1" applyBorder="1"/>
    <xf numFmtId="0" fontId="5" fillId="12" borderId="1" xfId="0" applyFont="1" applyFill="1" applyBorder="1"/>
    <xf numFmtId="0" fontId="5" fillId="12" borderId="6" xfId="0" applyFont="1" applyFill="1" applyBorder="1" applyAlignment="1">
      <alignment horizontal="right"/>
    </xf>
    <xf numFmtId="0" fontId="3" fillId="0" borderId="0" xfId="0" applyFont="1"/>
    <xf numFmtId="0" fontId="5" fillId="0" borderId="5" xfId="0" applyFont="1" applyBorder="1"/>
    <xf numFmtId="0" fontId="5" fillId="0" borderId="1" xfId="0" applyFont="1" applyBorder="1"/>
    <xf numFmtId="0" fontId="5" fillId="0" borderId="6" xfId="0" applyFont="1" applyBorder="1"/>
    <xf numFmtId="0" fontId="3" fillId="0" borderId="5" xfId="0" applyFont="1" applyBorder="1"/>
    <xf numFmtId="0" fontId="3" fillId="0" borderId="6" xfId="0" applyFont="1" applyBorder="1"/>
    <xf numFmtId="0" fontId="6" fillId="12" borderId="6" xfId="0" applyFont="1" applyFill="1" applyBorder="1"/>
    <xf numFmtId="0" fontId="5" fillId="11" borderId="6" xfId="0" applyFont="1" applyFill="1" applyBorder="1"/>
    <xf numFmtId="0" fontId="6" fillId="12" borderId="7" xfId="0" applyFont="1" applyFill="1" applyBorder="1"/>
    <xf numFmtId="0" fontId="6" fillId="12" borderId="8" xfId="0" applyFont="1" applyFill="1" applyBorder="1"/>
    <xf numFmtId="0" fontId="6" fillId="12" borderId="9" xfId="0" applyFont="1" applyFill="1" applyBorder="1" applyAlignment="1">
      <alignment horizontal="right"/>
    </xf>
    <xf numFmtId="0" fontId="5" fillId="0" borderId="0" xfId="0" applyFont="1"/>
    <xf numFmtId="0" fontId="3" fillId="14" borderId="0" xfId="0" applyFont="1" applyFill="1"/>
    <xf numFmtId="0" fontId="8" fillId="0" borderId="1" xfId="0" applyFont="1" applyBorder="1" applyAlignment="1">
      <alignment wrapText="1"/>
    </xf>
    <xf numFmtId="0" fontId="5" fillId="15" borderId="1" xfId="0" applyFont="1" applyFill="1" applyBorder="1"/>
    <xf numFmtId="0" fontId="3" fillId="15" borderId="1" xfId="0" applyFont="1" applyFill="1" applyBorder="1"/>
    <xf numFmtId="0" fontId="8" fillId="15" borderId="1" xfId="0" applyFont="1" applyFill="1" applyBorder="1" applyAlignment="1">
      <alignment wrapText="1"/>
    </xf>
    <xf numFmtId="0" fontId="8" fillId="0" borderId="2" xfId="0" applyFont="1" applyBorder="1" applyAlignment="1">
      <alignment wrapText="1"/>
    </xf>
    <xf numFmtId="0" fontId="5" fillId="0" borderId="2" xfId="0" applyFont="1" applyBorder="1"/>
    <xf numFmtId="0" fontId="5" fillId="15" borderId="0" xfId="0" applyFont="1" applyFill="1"/>
    <xf numFmtId="0" fontId="5" fillId="15" borderId="2" xfId="0" applyFont="1" applyFill="1" applyBorder="1"/>
    <xf numFmtId="0" fontId="8" fillId="15" borderId="2" xfId="0" applyFont="1" applyFill="1" applyBorder="1" applyAlignment="1">
      <alignment wrapText="1"/>
    </xf>
    <xf numFmtId="0" fontId="7" fillId="15" borderId="0" xfId="0" applyFont="1" applyFill="1"/>
    <xf numFmtId="0" fontId="3" fillId="15" borderId="0" xfId="0" applyFont="1" applyFill="1"/>
    <xf numFmtId="0" fontId="8" fillId="16" borderId="1" xfId="0" applyFont="1" applyFill="1" applyBorder="1" applyAlignment="1">
      <alignment wrapText="1"/>
    </xf>
    <xf numFmtId="0" fontId="8" fillId="17" borderId="1" xfId="0" applyFont="1" applyFill="1" applyBorder="1" applyAlignment="1">
      <alignment wrapText="1"/>
    </xf>
    <xf numFmtId="0" fontId="8" fillId="15" borderId="1" xfId="0" applyFont="1" applyFill="1" applyBorder="1"/>
    <xf numFmtId="0" fontId="8" fillId="15" borderId="1" xfId="0" applyFont="1" applyFill="1" applyBorder="1" applyAlignment="1">
      <alignment horizontal="left"/>
    </xf>
    <xf numFmtId="0" fontId="3" fillId="18" borderId="1" xfId="0" applyFont="1" applyFill="1" applyBorder="1"/>
    <xf numFmtId="0" fontId="3" fillId="18" borderId="0" xfId="0" applyFont="1" applyFill="1"/>
    <xf numFmtId="0" fontId="9" fillId="15" borderId="0" xfId="0" applyFont="1" applyFill="1"/>
    <xf numFmtId="0" fontId="3" fillId="13" borderId="0" xfId="0" applyFont="1" applyFill="1"/>
    <xf numFmtId="0" fontId="9" fillId="13" borderId="0" xfId="0" applyFont="1" applyFill="1"/>
    <xf numFmtId="0" fontId="7" fillId="15" borderId="1" xfId="0" applyFont="1" applyFill="1" applyBorder="1"/>
    <xf numFmtId="0" fontId="0" fillId="0" borderId="0" xfId="0" applyFont="1" applyFill="1" applyAlignment="1">
      <alignment wrapText="1"/>
    </xf>
    <xf numFmtId="0" fontId="0" fillId="0" borderId="0" xfId="0" applyFont="1" applyFill="1"/>
    <xf numFmtId="0" fontId="4" fillId="0" borderId="0" xfId="0" applyFont="1"/>
    <xf numFmtId="0" fontId="8" fillId="16" borderId="0" xfId="0" applyFont="1" applyFill="1" applyAlignment="1">
      <alignment wrapText="1"/>
    </xf>
    <xf numFmtId="0" fontId="5" fillId="0" borderId="0" xfId="0" applyFont="1" applyAlignment="1">
      <alignment horizontal="right"/>
    </xf>
    <xf numFmtId="0" fontId="5" fillId="0" borderId="0" xfId="0" applyNumberFormat="1" applyFont="1" applyAlignment="1">
      <alignment horizontal="right"/>
    </xf>
    <xf numFmtId="2" fontId="5" fillId="0" borderId="0" xfId="0" applyNumberFormat="1" applyFont="1" applyAlignment="1">
      <alignment horizontal="right"/>
    </xf>
    <xf numFmtId="0" fontId="1" fillId="2" borderId="0" xfId="0" applyFont="1" applyFill="1"/>
    <xf numFmtId="0" fontId="5" fillId="0" borderId="0" xfId="0" applyNumberFormat="1" applyFont="1"/>
    <xf numFmtId="2" fontId="0" fillId="0" borderId="0" xfId="0" applyNumberFormat="1"/>
    <xf numFmtId="0" fontId="0" fillId="19" borderId="0" xfId="0" applyFill="1"/>
    <xf numFmtId="0" fontId="0" fillId="19" borderId="0" xfId="0" applyNumberFormat="1" applyFill="1"/>
    <xf numFmtId="0" fontId="0" fillId="19" borderId="0" xfId="0" applyFill="1" applyAlignment="1">
      <alignment wrapText="1"/>
    </xf>
    <xf numFmtId="0" fontId="1" fillId="19" borderId="0" xfId="0" applyFont="1" applyFill="1"/>
    <xf numFmtId="0" fontId="10" fillId="0" borderId="0" xfId="0" applyFont="1"/>
    <xf numFmtId="2" fontId="0" fillId="20" borderId="0" xfId="0" applyNumberFormat="1" applyFill="1"/>
    <xf numFmtId="0" fontId="0" fillId="20" borderId="0" xfId="0" applyFill="1"/>
    <xf numFmtId="0" fontId="0" fillId="20" borderId="0" xfId="0" applyFill="1" applyAlignment="1">
      <alignment wrapText="1"/>
    </xf>
    <xf numFmtId="0" fontId="1" fillId="20" borderId="0" xfId="0" applyFont="1" applyFill="1" applyAlignment="1">
      <alignment wrapText="1"/>
    </xf>
    <xf numFmtId="0" fontId="0" fillId="0" borderId="0" xfId="0" applyNumberFormat="1"/>
    <xf numFmtId="0" fontId="0" fillId="21" borderId="0" xfId="0" applyFill="1"/>
    <xf numFmtId="0" fontId="1" fillId="21" borderId="0" xfId="0" applyFont="1" applyFill="1"/>
    <xf numFmtId="0" fontId="3" fillId="0" borderId="0" xfId="0" applyNumberFormat="1" applyFont="1"/>
    <xf numFmtId="0" fontId="0" fillId="4" borderId="0" xfId="0" applyNumberFormat="1" applyFill="1"/>
    <xf numFmtId="0" fontId="3" fillId="4" borderId="0" xfId="0" applyFont="1" applyFill="1"/>
    <xf numFmtId="0" fontId="0" fillId="4" borderId="0" xfId="0" applyNumberFormat="1" applyFill="1" applyAlignment="1">
      <alignment wrapText="1"/>
    </xf>
    <xf numFmtId="0" fontId="1" fillId="4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33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F7A6C6-BAEA-4948-8774-E6EFF077AFDC}">
  <dimension ref="A1:K407"/>
  <sheetViews>
    <sheetView zoomScaleNormal="100" workbookViewId="0">
      <selection activeCell="C205" sqref="C205"/>
    </sheetView>
  </sheetViews>
  <sheetFormatPr baseColWidth="10" defaultRowHeight="15" x14ac:dyDescent="0.2"/>
  <cols>
    <col min="1" max="1" width="27.1640625" customWidth="1"/>
    <col min="2" max="2" width="29.5" customWidth="1"/>
    <col min="3" max="3" width="15.5" customWidth="1"/>
    <col min="4" max="4" width="14.33203125" customWidth="1"/>
    <col min="5" max="5" width="15.6640625" customWidth="1"/>
    <col min="6" max="6" width="15.1640625" style="6" customWidth="1"/>
    <col min="7" max="7" width="16.5" customWidth="1"/>
    <col min="8" max="8" width="13.83203125" customWidth="1"/>
    <col min="9" max="9" width="13.33203125" customWidth="1"/>
    <col min="10" max="10" width="12.33203125" customWidth="1"/>
  </cols>
  <sheetData>
    <row r="1" spans="1:10" x14ac:dyDescent="0.2">
      <c r="A1" t="s">
        <v>0</v>
      </c>
    </row>
    <row r="2" spans="1:10" x14ac:dyDescent="0.2">
      <c r="A2" s="1" t="s">
        <v>12</v>
      </c>
    </row>
    <row r="3" spans="1:10" ht="120.75" customHeight="1" x14ac:dyDescent="0.2">
      <c r="C3" t="s">
        <v>6</v>
      </c>
      <c r="D3" s="2" t="s">
        <v>2</v>
      </c>
      <c r="E3" s="4" t="s">
        <v>1</v>
      </c>
      <c r="F3" s="7" t="s">
        <v>20</v>
      </c>
      <c r="G3" s="2" t="s">
        <v>41</v>
      </c>
      <c r="H3" s="4" t="s">
        <v>21</v>
      </c>
      <c r="I3" s="2" t="s">
        <v>23</v>
      </c>
      <c r="J3" s="2" t="s">
        <v>49</v>
      </c>
    </row>
    <row r="4" spans="1:10" x14ac:dyDescent="0.2">
      <c r="A4" t="s">
        <v>3</v>
      </c>
      <c r="C4" s="3" t="s">
        <v>11</v>
      </c>
    </row>
    <row r="5" spans="1:10" x14ac:dyDescent="0.2">
      <c r="A5" t="s">
        <v>4</v>
      </c>
      <c r="B5" t="s">
        <v>7</v>
      </c>
      <c r="D5" s="3" t="s">
        <v>10</v>
      </c>
      <c r="E5" s="3" t="s">
        <v>10</v>
      </c>
    </row>
    <row r="6" spans="1:10" x14ac:dyDescent="0.2">
      <c r="A6" t="s">
        <v>5</v>
      </c>
      <c r="B6" t="s">
        <v>8</v>
      </c>
      <c r="C6" t="s">
        <v>9</v>
      </c>
      <c r="F6" s="8" t="s">
        <v>10</v>
      </c>
      <c r="G6" s="3" t="s">
        <v>10</v>
      </c>
    </row>
    <row r="7" spans="1:10" x14ac:dyDescent="0.2">
      <c r="B7" t="s">
        <v>13</v>
      </c>
      <c r="C7" t="s">
        <v>14</v>
      </c>
      <c r="F7" s="8" t="s">
        <v>10</v>
      </c>
    </row>
    <row r="10" spans="1:10" x14ac:dyDescent="0.2">
      <c r="A10" s="1" t="s">
        <v>15</v>
      </c>
    </row>
    <row r="11" spans="1:10" x14ac:dyDescent="0.2">
      <c r="A11" s="1"/>
    </row>
    <row r="12" spans="1:10" x14ac:dyDescent="0.2">
      <c r="A12" s="14" t="s">
        <v>31</v>
      </c>
      <c r="B12" t="s">
        <v>81</v>
      </c>
    </row>
    <row r="13" spans="1:10" x14ac:dyDescent="0.2">
      <c r="A13" s="14" t="s">
        <v>32</v>
      </c>
      <c r="B13" t="s">
        <v>77</v>
      </c>
      <c r="C13" t="s">
        <v>78</v>
      </c>
      <c r="D13" t="s">
        <v>10</v>
      </c>
      <c r="E13" t="s">
        <v>10</v>
      </c>
      <c r="H13" t="s">
        <v>10</v>
      </c>
      <c r="I13" t="s">
        <v>10</v>
      </c>
    </row>
    <row r="14" spans="1:10" x14ac:dyDescent="0.2">
      <c r="A14" s="14" t="s">
        <v>33</v>
      </c>
      <c r="B14" t="s">
        <v>79</v>
      </c>
      <c r="C14" t="s">
        <v>80</v>
      </c>
      <c r="F14" s="6" t="s">
        <v>10</v>
      </c>
      <c r="G14" t="s">
        <v>10</v>
      </c>
    </row>
    <row r="15" spans="1:10" x14ac:dyDescent="0.2">
      <c r="A15" s="14"/>
      <c r="B15" t="s">
        <v>82</v>
      </c>
      <c r="C15" t="s">
        <v>83</v>
      </c>
      <c r="G15" t="s">
        <v>10</v>
      </c>
    </row>
    <row r="16" spans="1:10" x14ac:dyDescent="0.2">
      <c r="A16" s="14"/>
      <c r="B16" t="s">
        <v>84</v>
      </c>
      <c r="C16" t="s">
        <v>85</v>
      </c>
      <c r="G16" t="s">
        <v>10</v>
      </c>
    </row>
    <row r="17" spans="1:11" x14ac:dyDescent="0.2">
      <c r="A17" s="14"/>
      <c r="B17" t="s">
        <v>86</v>
      </c>
      <c r="C17" t="s">
        <v>87</v>
      </c>
      <c r="G17" t="s">
        <v>10</v>
      </c>
    </row>
    <row r="18" spans="1:11" x14ac:dyDescent="0.2">
      <c r="A18" s="1"/>
    </row>
    <row r="19" spans="1:11" x14ac:dyDescent="0.2">
      <c r="A19" s="1"/>
      <c r="D19" s="3"/>
      <c r="E19" s="3"/>
      <c r="F19" s="8"/>
      <c r="G19" s="3"/>
      <c r="H19" s="3"/>
      <c r="I19" s="3"/>
    </row>
    <row r="20" spans="1:11" x14ac:dyDescent="0.2">
      <c r="A20" s="14" t="s">
        <v>31</v>
      </c>
      <c r="D20" s="3"/>
      <c r="E20" s="3"/>
      <c r="F20" s="8"/>
      <c r="G20" s="3"/>
      <c r="H20" s="3"/>
      <c r="I20" s="3"/>
    </row>
    <row r="21" spans="1:11" x14ac:dyDescent="0.2">
      <c r="A21" s="14" t="s">
        <v>32</v>
      </c>
      <c r="B21" t="s">
        <v>65</v>
      </c>
      <c r="C21" t="s">
        <v>73</v>
      </c>
      <c r="D21" s="3" t="s">
        <v>10</v>
      </c>
      <c r="E21" s="3" t="s">
        <v>10</v>
      </c>
      <c r="F21" s="8"/>
      <c r="G21" s="3"/>
      <c r="H21" s="3"/>
      <c r="I21" s="3" t="s">
        <v>10</v>
      </c>
    </row>
    <row r="22" spans="1:11" x14ac:dyDescent="0.2">
      <c r="A22" s="14" t="s">
        <v>33</v>
      </c>
      <c r="B22" t="s">
        <v>66</v>
      </c>
      <c r="C22" t="s">
        <v>75</v>
      </c>
      <c r="D22" s="3"/>
      <c r="E22" s="3"/>
      <c r="F22" s="8"/>
      <c r="G22" s="3" t="s">
        <v>10</v>
      </c>
      <c r="H22" s="3"/>
      <c r="I22" s="3"/>
    </row>
    <row r="23" spans="1:11" x14ac:dyDescent="0.2">
      <c r="A23" s="14"/>
      <c r="B23" t="s">
        <v>67</v>
      </c>
      <c r="C23" t="s">
        <v>76</v>
      </c>
      <c r="D23" s="3"/>
      <c r="E23" s="3"/>
      <c r="F23" s="8"/>
      <c r="G23" s="3" t="s">
        <v>10</v>
      </c>
      <c r="H23" s="3"/>
      <c r="I23" s="3"/>
    </row>
    <row r="24" spans="1:11" x14ac:dyDescent="0.2">
      <c r="A24" s="14"/>
      <c r="B24" t="s">
        <v>68</v>
      </c>
      <c r="C24" t="s">
        <v>74</v>
      </c>
      <c r="D24" s="3"/>
      <c r="E24" s="3"/>
      <c r="F24" s="8"/>
      <c r="G24" s="3" t="s">
        <v>10</v>
      </c>
      <c r="H24" s="3" t="s">
        <v>10</v>
      </c>
      <c r="I24" s="3"/>
    </row>
    <row r="25" spans="1:11" x14ac:dyDescent="0.2">
      <c r="A25" s="14"/>
      <c r="B25" t="s">
        <v>69</v>
      </c>
      <c r="C25" t="s">
        <v>71</v>
      </c>
      <c r="D25" s="3"/>
      <c r="E25" s="3"/>
      <c r="F25" s="8"/>
      <c r="G25" s="3"/>
      <c r="H25" s="3"/>
      <c r="I25" s="3"/>
    </row>
    <row r="26" spans="1:11" x14ac:dyDescent="0.2">
      <c r="A26" s="14"/>
      <c r="B26" t="s">
        <v>70</v>
      </c>
      <c r="C26" t="s">
        <v>72</v>
      </c>
      <c r="D26" s="3"/>
      <c r="E26" s="3"/>
      <c r="F26" s="8"/>
      <c r="G26" s="3"/>
      <c r="H26" s="3"/>
      <c r="I26" s="3"/>
    </row>
    <row r="27" spans="1:11" x14ac:dyDescent="0.2">
      <c r="A27" s="1"/>
    </row>
    <row r="28" spans="1:11" x14ac:dyDescent="0.2">
      <c r="D28" s="3"/>
      <c r="E28" s="3"/>
      <c r="F28" s="8"/>
      <c r="G28" s="3"/>
      <c r="H28" s="3"/>
      <c r="I28" s="3"/>
      <c r="J28" s="3"/>
      <c r="K28" s="3"/>
    </row>
    <row r="29" spans="1:11" x14ac:dyDescent="0.2">
      <c r="A29" t="s">
        <v>3</v>
      </c>
      <c r="B29" t="s">
        <v>53</v>
      </c>
      <c r="D29" s="3" t="s">
        <v>10</v>
      </c>
      <c r="E29" s="3"/>
      <c r="F29" s="8"/>
      <c r="G29" s="3"/>
      <c r="H29" s="3"/>
      <c r="I29" s="3" t="s">
        <v>10</v>
      </c>
      <c r="J29" s="3"/>
      <c r="K29" s="3"/>
    </row>
    <row r="30" spans="1:11" x14ac:dyDescent="0.2">
      <c r="A30" t="s">
        <v>4</v>
      </c>
      <c r="B30" t="s">
        <v>16</v>
      </c>
      <c r="C30" t="s">
        <v>19</v>
      </c>
      <c r="D30" s="3" t="s">
        <v>10</v>
      </c>
      <c r="E30" s="3" t="s">
        <v>10</v>
      </c>
      <c r="F30" s="8"/>
      <c r="G30" s="3" t="s">
        <v>10</v>
      </c>
      <c r="H30" s="3"/>
      <c r="I30" s="3" t="s">
        <v>10</v>
      </c>
      <c r="J30" s="3"/>
      <c r="K30" s="3"/>
    </row>
    <row r="31" spans="1:11" x14ac:dyDescent="0.2">
      <c r="A31" t="s">
        <v>5</v>
      </c>
      <c r="B31" t="s">
        <v>17</v>
      </c>
      <c r="C31" t="s">
        <v>18</v>
      </c>
      <c r="D31" s="3"/>
      <c r="E31" s="3"/>
      <c r="F31" s="8" t="s">
        <v>10</v>
      </c>
      <c r="G31" s="3" t="s">
        <v>10</v>
      </c>
      <c r="H31" s="3" t="s">
        <v>10</v>
      </c>
      <c r="I31" s="3"/>
    </row>
    <row r="34" spans="1:10" x14ac:dyDescent="0.2">
      <c r="A34" t="s">
        <v>31</v>
      </c>
      <c r="D34" s="3"/>
      <c r="E34" s="3"/>
      <c r="F34" s="8"/>
      <c r="G34" s="3"/>
      <c r="H34" s="3"/>
      <c r="I34" s="3"/>
    </row>
    <row r="35" spans="1:10" x14ac:dyDescent="0.2">
      <c r="A35" t="s">
        <v>32</v>
      </c>
      <c r="B35" t="s">
        <v>39</v>
      </c>
      <c r="C35" t="s">
        <v>40</v>
      </c>
      <c r="D35" s="3"/>
      <c r="E35" s="3"/>
      <c r="F35" s="8"/>
      <c r="G35" s="3"/>
      <c r="H35" s="3"/>
      <c r="I35" s="3" t="s">
        <v>10</v>
      </c>
    </row>
    <row r="36" spans="1:10" x14ac:dyDescent="0.2">
      <c r="A36" t="s">
        <v>33</v>
      </c>
      <c r="B36" t="s">
        <v>34</v>
      </c>
      <c r="C36" t="s">
        <v>38</v>
      </c>
      <c r="D36" s="3"/>
      <c r="E36" s="3"/>
      <c r="F36" s="8" t="s">
        <v>10</v>
      </c>
      <c r="G36" s="3" t="s">
        <v>10</v>
      </c>
      <c r="H36" s="3" t="s">
        <v>10</v>
      </c>
      <c r="I36" s="3"/>
    </row>
    <row r="37" spans="1:10" x14ac:dyDescent="0.2">
      <c r="B37" s="9" t="s">
        <v>35</v>
      </c>
      <c r="D37" s="3"/>
      <c r="E37" s="3"/>
      <c r="F37" s="11" t="s">
        <v>36</v>
      </c>
      <c r="G37" s="3" t="s">
        <v>10</v>
      </c>
      <c r="H37" s="3"/>
      <c r="I37" s="3"/>
    </row>
    <row r="38" spans="1:10" x14ac:dyDescent="0.2">
      <c r="B38" s="10" t="s">
        <v>42</v>
      </c>
      <c r="D38" s="3"/>
      <c r="E38" s="3"/>
      <c r="F38" s="8"/>
      <c r="G38" s="3" t="s">
        <v>10</v>
      </c>
      <c r="H38" s="3"/>
      <c r="I38" s="3"/>
      <c r="J38" s="3"/>
    </row>
    <row r="39" spans="1:10" x14ac:dyDescent="0.2">
      <c r="B39" s="10" t="s">
        <v>43</v>
      </c>
      <c r="D39" s="3"/>
      <c r="E39" s="3"/>
      <c r="F39" s="8"/>
      <c r="G39" s="3" t="s">
        <v>10</v>
      </c>
      <c r="H39" s="3"/>
      <c r="I39" s="3"/>
      <c r="J39" s="3"/>
    </row>
    <row r="40" spans="1:10" x14ac:dyDescent="0.2">
      <c r="D40" s="3"/>
      <c r="E40" s="3"/>
      <c r="F40" s="8"/>
      <c r="G40" s="3"/>
      <c r="H40" s="3"/>
      <c r="I40" s="3"/>
      <c r="J40" s="3"/>
    </row>
    <row r="41" spans="1:10" x14ac:dyDescent="0.2">
      <c r="D41" s="3"/>
      <c r="E41" s="3"/>
      <c r="F41" s="8"/>
      <c r="G41" s="3"/>
      <c r="H41" s="3"/>
      <c r="I41" s="3"/>
      <c r="J41" s="3"/>
    </row>
    <row r="42" spans="1:10" x14ac:dyDescent="0.2">
      <c r="A42" t="s">
        <v>31</v>
      </c>
      <c r="B42" t="s">
        <v>48</v>
      </c>
      <c r="D42" s="3"/>
      <c r="E42" s="3"/>
      <c r="F42" s="8"/>
      <c r="G42" s="3"/>
      <c r="H42" s="3"/>
      <c r="I42" s="3" t="s">
        <v>10</v>
      </c>
      <c r="J42" s="3" t="s">
        <v>10</v>
      </c>
    </row>
    <row r="43" spans="1:10" x14ac:dyDescent="0.2">
      <c r="A43" t="s">
        <v>32</v>
      </c>
      <c r="B43" t="s">
        <v>45</v>
      </c>
      <c r="D43" s="3"/>
      <c r="E43" s="3"/>
      <c r="F43" s="8"/>
      <c r="G43" s="3"/>
      <c r="H43" s="3" t="s">
        <v>10</v>
      </c>
      <c r="I43" s="3" t="s">
        <v>10</v>
      </c>
      <c r="J43" s="3" t="s">
        <v>10</v>
      </c>
    </row>
    <row r="44" spans="1:10" x14ac:dyDescent="0.2">
      <c r="A44" t="s">
        <v>33</v>
      </c>
      <c r="B44" t="s">
        <v>46</v>
      </c>
      <c r="C44" t="s">
        <v>58</v>
      </c>
      <c r="D44" s="3"/>
      <c r="E44" s="3"/>
      <c r="F44" s="8" t="s">
        <v>10</v>
      </c>
      <c r="G44" s="3" t="s">
        <v>10</v>
      </c>
      <c r="H44" s="3" t="s">
        <v>10</v>
      </c>
      <c r="I44" s="3"/>
      <c r="J44" s="3"/>
    </row>
    <row r="45" spans="1:10" x14ac:dyDescent="0.2">
      <c r="B45" s="10" t="s">
        <v>50</v>
      </c>
      <c r="D45" s="3"/>
      <c r="E45" s="3"/>
      <c r="F45" s="12"/>
      <c r="G45" s="3" t="s">
        <v>10</v>
      </c>
      <c r="H45" s="3"/>
      <c r="I45" s="3"/>
      <c r="J45" s="3"/>
    </row>
    <row r="46" spans="1:10" x14ac:dyDescent="0.2">
      <c r="B46" t="s">
        <v>47</v>
      </c>
      <c r="D46" s="3"/>
      <c r="E46" s="3"/>
      <c r="F46" s="12"/>
      <c r="G46" s="3" t="s">
        <v>10</v>
      </c>
      <c r="H46" s="3"/>
      <c r="I46" s="3"/>
      <c r="J46" s="3"/>
    </row>
    <row r="47" spans="1:10" x14ac:dyDescent="0.2">
      <c r="B47" s="10" t="s">
        <v>51</v>
      </c>
      <c r="D47" s="3"/>
      <c r="E47" s="3"/>
      <c r="F47" s="8"/>
      <c r="G47" s="3" t="s">
        <v>10</v>
      </c>
      <c r="H47" s="3"/>
      <c r="I47" s="3"/>
      <c r="J47" s="3"/>
    </row>
    <row r="48" spans="1:10" x14ac:dyDescent="0.2">
      <c r="B48" s="10" t="s">
        <v>52</v>
      </c>
      <c r="D48" s="3"/>
      <c r="E48" s="3"/>
      <c r="F48" s="8"/>
      <c r="G48" s="3" t="s">
        <v>10</v>
      </c>
      <c r="H48" s="3"/>
      <c r="I48" s="3"/>
      <c r="J48" s="3"/>
    </row>
    <row r="49" spans="1:10" x14ac:dyDescent="0.2">
      <c r="B49" s="13"/>
      <c r="D49" s="3"/>
      <c r="E49" s="3"/>
      <c r="F49" s="8"/>
      <c r="G49" s="3"/>
      <c r="H49" s="3"/>
      <c r="I49" s="3"/>
      <c r="J49" s="3"/>
    </row>
    <row r="50" spans="1:10" x14ac:dyDescent="0.2">
      <c r="B50" s="13"/>
      <c r="D50" s="3"/>
      <c r="E50" s="3"/>
      <c r="F50" s="8"/>
      <c r="G50" s="3"/>
      <c r="H50" s="3"/>
      <c r="I50" s="3"/>
      <c r="J50" s="3"/>
    </row>
    <row r="51" spans="1:10" x14ac:dyDescent="0.2">
      <c r="A51" t="s">
        <v>31</v>
      </c>
      <c r="B51" s="13" t="s">
        <v>59</v>
      </c>
      <c r="D51" s="3"/>
      <c r="E51" s="3"/>
      <c r="F51" s="8"/>
      <c r="G51" s="3"/>
      <c r="H51" s="3"/>
      <c r="I51" s="3"/>
      <c r="J51" s="3"/>
    </row>
    <row r="52" spans="1:10" x14ac:dyDescent="0.2">
      <c r="A52" t="s">
        <v>32</v>
      </c>
      <c r="B52" s="13" t="s">
        <v>60</v>
      </c>
      <c r="D52" s="3" t="s">
        <v>10</v>
      </c>
      <c r="E52" s="3" t="s">
        <v>10</v>
      </c>
      <c r="F52" s="8"/>
      <c r="G52" s="3"/>
      <c r="H52" s="3" t="s">
        <v>10</v>
      </c>
      <c r="I52" s="3" t="s">
        <v>10</v>
      </c>
      <c r="J52" s="3"/>
    </row>
    <row r="53" spans="1:10" x14ac:dyDescent="0.2">
      <c r="A53" t="s">
        <v>33</v>
      </c>
      <c r="B53" s="13" t="s">
        <v>61</v>
      </c>
      <c r="C53" t="s">
        <v>62</v>
      </c>
      <c r="D53" s="3"/>
      <c r="E53" s="3"/>
      <c r="F53" s="8"/>
      <c r="G53" s="3" t="s">
        <v>10</v>
      </c>
      <c r="H53" s="3" t="s">
        <v>10</v>
      </c>
      <c r="I53" s="3"/>
      <c r="J53" s="3"/>
    </row>
    <row r="54" spans="1:10" x14ac:dyDescent="0.2">
      <c r="B54" s="13" t="s">
        <v>63</v>
      </c>
      <c r="C54" t="s">
        <v>64</v>
      </c>
      <c r="D54" s="3"/>
      <c r="E54" s="3"/>
      <c r="F54" s="8"/>
      <c r="G54" s="3" t="s">
        <v>10</v>
      </c>
      <c r="H54" s="3"/>
      <c r="I54" s="3"/>
      <c r="J54" s="3"/>
    </row>
    <row r="55" spans="1:10" x14ac:dyDescent="0.2">
      <c r="B55" s="13"/>
      <c r="D55" s="3"/>
      <c r="E55" s="3"/>
      <c r="F55" s="8"/>
      <c r="G55" s="3"/>
      <c r="H55" s="3"/>
      <c r="I55" s="3"/>
      <c r="J55" s="3"/>
    </row>
    <row r="56" spans="1:10" x14ac:dyDescent="0.2">
      <c r="D56" s="3"/>
      <c r="E56" s="3"/>
      <c r="F56" s="8"/>
      <c r="G56" s="3"/>
      <c r="H56" s="3"/>
      <c r="I56" s="3"/>
      <c r="J56" s="3"/>
    </row>
    <row r="57" spans="1:10" x14ac:dyDescent="0.2">
      <c r="D57" s="3"/>
      <c r="E57" s="3"/>
      <c r="F57" s="8"/>
      <c r="G57" s="3"/>
      <c r="H57" s="3"/>
      <c r="I57" s="3"/>
      <c r="J57" s="3"/>
    </row>
    <row r="58" spans="1:10" x14ac:dyDescent="0.2">
      <c r="A58" t="s">
        <v>31</v>
      </c>
      <c r="B58" t="s">
        <v>54</v>
      </c>
      <c r="D58" s="3"/>
      <c r="E58" s="3"/>
      <c r="F58" s="8"/>
      <c r="G58" s="3"/>
      <c r="H58" s="3"/>
      <c r="I58" s="3" t="s">
        <v>10</v>
      </c>
      <c r="J58" s="3" t="s">
        <v>10</v>
      </c>
    </row>
    <row r="59" spans="1:10" x14ac:dyDescent="0.2">
      <c r="A59" t="s">
        <v>32</v>
      </c>
      <c r="B59" t="s">
        <v>55</v>
      </c>
      <c r="H59" s="3"/>
      <c r="I59" s="3" t="s">
        <v>10</v>
      </c>
      <c r="J59" s="3" t="s">
        <v>10</v>
      </c>
    </row>
    <row r="60" spans="1:10" x14ac:dyDescent="0.2">
      <c r="A60" t="s">
        <v>33</v>
      </c>
      <c r="B60" t="s">
        <v>56</v>
      </c>
      <c r="C60" t="s">
        <v>57</v>
      </c>
      <c r="H60" s="3" t="s">
        <v>10</v>
      </c>
      <c r="I60" s="3"/>
      <c r="J60" s="3"/>
    </row>
    <row r="73" spans="1:2" ht="45.75" customHeight="1" x14ac:dyDescent="0.2">
      <c r="A73" s="5"/>
      <c r="B73" s="2" t="s">
        <v>22</v>
      </c>
    </row>
    <row r="74" spans="1:2" ht="32" x14ac:dyDescent="0.2">
      <c r="A74" s="6"/>
      <c r="B74" s="2" t="s">
        <v>30</v>
      </c>
    </row>
    <row r="75" spans="1:2" x14ac:dyDescent="0.2">
      <c r="A75" s="9"/>
      <c r="B75" t="s">
        <v>37</v>
      </c>
    </row>
    <row r="76" spans="1:2" x14ac:dyDescent="0.2">
      <c r="A76" s="10"/>
      <c r="B76" t="s">
        <v>44</v>
      </c>
    </row>
    <row r="80" spans="1:2" x14ac:dyDescent="0.2">
      <c r="A80" s="1" t="s">
        <v>88</v>
      </c>
    </row>
    <row r="81" spans="1:10" ht="96" x14ac:dyDescent="0.2">
      <c r="A81" s="1"/>
      <c r="C81" t="s">
        <v>6</v>
      </c>
      <c r="D81" s="2" t="s">
        <v>89</v>
      </c>
      <c r="E81" s="2" t="s">
        <v>1</v>
      </c>
      <c r="F81" s="7" t="s">
        <v>20</v>
      </c>
      <c r="G81" s="2" t="s">
        <v>90</v>
      </c>
      <c r="H81" s="2" t="s">
        <v>91</v>
      </c>
      <c r="I81" s="2" t="s">
        <v>23</v>
      </c>
      <c r="J81" s="2" t="s">
        <v>49</v>
      </c>
    </row>
    <row r="82" spans="1:10" x14ac:dyDescent="0.2">
      <c r="A82" s="1"/>
      <c r="D82" s="2"/>
      <c r="E82" s="2"/>
      <c r="F82" s="7"/>
      <c r="G82" s="2"/>
      <c r="H82" s="2"/>
      <c r="I82" s="2"/>
      <c r="J82" s="2"/>
    </row>
    <row r="83" spans="1:10" x14ac:dyDescent="0.2">
      <c r="A83" s="14" t="s">
        <v>31</v>
      </c>
      <c r="D83" s="2"/>
      <c r="E83" s="2"/>
      <c r="F83" s="7"/>
      <c r="G83" s="2"/>
      <c r="H83" s="2"/>
      <c r="I83" s="2"/>
      <c r="J83" s="2"/>
    </row>
    <row r="84" spans="1:10" ht="16" x14ac:dyDescent="0.2">
      <c r="A84" s="14" t="s">
        <v>32</v>
      </c>
      <c r="B84" t="s">
        <v>115</v>
      </c>
      <c r="C84" t="s">
        <v>117</v>
      </c>
      <c r="D84" s="2" t="s">
        <v>10</v>
      </c>
      <c r="E84" s="2"/>
      <c r="F84" s="7"/>
      <c r="G84" s="2"/>
      <c r="H84" s="2"/>
      <c r="I84" s="2" t="s">
        <v>10</v>
      </c>
      <c r="J84" s="2"/>
    </row>
    <row r="85" spans="1:10" ht="16" x14ac:dyDescent="0.2">
      <c r="A85" s="14" t="s">
        <v>33</v>
      </c>
      <c r="B85" s="10" t="s">
        <v>116</v>
      </c>
      <c r="C85" t="s">
        <v>118</v>
      </c>
      <c r="D85" s="2"/>
      <c r="E85" s="2" t="s">
        <v>10</v>
      </c>
      <c r="F85" s="7"/>
      <c r="G85" s="2" t="s">
        <v>10</v>
      </c>
      <c r="H85" s="2"/>
      <c r="I85" s="2"/>
      <c r="J85" s="2"/>
    </row>
    <row r="86" spans="1:10" ht="16" x14ac:dyDescent="0.2">
      <c r="A86" s="14"/>
      <c r="B86" s="10" t="s">
        <v>119</v>
      </c>
      <c r="C86" t="s">
        <v>120</v>
      </c>
      <c r="D86" s="2"/>
      <c r="E86" s="2" t="s">
        <v>10</v>
      </c>
      <c r="F86" s="7"/>
      <c r="G86" s="2"/>
      <c r="H86" s="2"/>
      <c r="I86" s="2" t="s">
        <v>10</v>
      </c>
      <c r="J86" s="2"/>
    </row>
    <row r="87" spans="1:10" ht="16" x14ac:dyDescent="0.2">
      <c r="A87" s="14"/>
      <c r="B87" s="13" t="s">
        <v>121</v>
      </c>
      <c r="C87" t="s">
        <v>122</v>
      </c>
      <c r="D87" s="2"/>
      <c r="E87" s="2"/>
      <c r="F87" s="7" t="s">
        <v>10</v>
      </c>
      <c r="G87" s="2" t="s">
        <v>10</v>
      </c>
      <c r="H87" s="2"/>
      <c r="I87" s="2"/>
      <c r="J87" s="2"/>
    </row>
    <row r="88" spans="1:10" ht="16" x14ac:dyDescent="0.2">
      <c r="A88" s="14"/>
      <c r="B88" s="13" t="s">
        <v>123</v>
      </c>
      <c r="D88" s="2"/>
      <c r="E88" s="2"/>
      <c r="F88" s="7"/>
      <c r="G88" s="2" t="s">
        <v>10</v>
      </c>
      <c r="H88" s="2"/>
      <c r="I88" s="2"/>
      <c r="J88" s="2"/>
    </row>
    <row r="89" spans="1:10" x14ac:dyDescent="0.2">
      <c r="A89" s="1"/>
      <c r="D89" s="2"/>
      <c r="E89" s="2"/>
      <c r="F89" s="7"/>
      <c r="G89" s="2"/>
      <c r="H89" s="2"/>
      <c r="I89" s="2"/>
      <c r="J89" s="2"/>
    </row>
    <row r="90" spans="1:10" x14ac:dyDescent="0.2">
      <c r="A90" s="1"/>
      <c r="D90" s="2"/>
      <c r="E90" s="2"/>
      <c r="F90" s="7"/>
      <c r="G90" s="2"/>
      <c r="H90" s="2"/>
      <c r="I90" s="2"/>
      <c r="J90" s="2"/>
    </row>
    <row r="91" spans="1:10" x14ac:dyDescent="0.2">
      <c r="A91" s="14" t="s">
        <v>31</v>
      </c>
      <c r="D91" s="2"/>
      <c r="E91" s="2"/>
      <c r="F91" s="7"/>
      <c r="G91" s="2"/>
      <c r="H91" s="2"/>
      <c r="I91" s="2"/>
      <c r="J91" s="2"/>
    </row>
    <row r="92" spans="1:10" ht="16" x14ac:dyDescent="0.2">
      <c r="A92" s="14" t="s">
        <v>32</v>
      </c>
      <c r="B92" t="s">
        <v>107</v>
      </c>
      <c r="C92" t="s">
        <v>106</v>
      </c>
      <c r="D92" s="2" t="s">
        <v>10</v>
      </c>
      <c r="E92" s="2" t="s">
        <v>10</v>
      </c>
      <c r="F92" s="7"/>
      <c r="G92" s="2"/>
      <c r="H92" s="2"/>
      <c r="I92" s="2" t="s">
        <v>10</v>
      </c>
      <c r="J92" s="2" t="s">
        <v>10</v>
      </c>
    </row>
    <row r="93" spans="1:10" ht="16" x14ac:dyDescent="0.2">
      <c r="A93" s="14" t="s">
        <v>33</v>
      </c>
      <c r="B93" t="s">
        <v>108</v>
      </c>
      <c r="C93" t="s">
        <v>109</v>
      </c>
      <c r="D93" s="2"/>
      <c r="E93" s="2"/>
      <c r="F93" s="7" t="s">
        <v>10</v>
      </c>
      <c r="G93" s="2" t="s">
        <v>10</v>
      </c>
      <c r="H93" s="2"/>
      <c r="I93" s="2"/>
      <c r="J93" s="2"/>
    </row>
    <row r="94" spans="1:10" ht="16" x14ac:dyDescent="0.2">
      <c r="A94" s="14"/>
      <c r="B94" t="s">
        <v>110</v>
      </c>
      <c r="C94" t="s">
        <v>111</v>
      </c>
      <c r="D94" s="2"/>
      <c r="E94" s="2"/>
      <c r="F94" s="7" t="s">
        <v>10</v>
      </c>
      <c r="G94" s="2" t="s">
        <v>10</v>
      </c>
      <c r="H94" s="2"/>
      <c r="I94" s="2"/>
      <c r="J94" s="2"/>
    </row>
    <row r="95" spans="1:10" x14ac:dyDescent="0.2">
      <c r="A95" s="1"/>
      <c r="D95" s="2"/>
      <c r="E95" s="2"/>
      <c r="F95" s="7"/>
      <c r="G95" s="2"/>
      <c r="H95" s="2"/>
      <c r="I95" s="2"/>
      <c r="J95" s="2"/>
    </row>
    <row r="96" spans="1:10" x14ac:dyDescent="0.2">
      <c r="A96" s="1"/>
      <c r="D96" s="2"/>
      <c r="E96" s="2"/>
      <c r="F96" s="7"/>
      <c r="G96" s="2"/>
      <c r="H96" s="2"/>
      <c r="I96" s="2"/>
      <c r="J96" s="2"/>
    </row>
    <row r="97" spans="1:10" x14ac:dyDescent="0.2">
      <c r="A97" s="14" t="s">
        <v>31</v>
      </c>
      <c r="D97" s="2"/>
      <c r="E97" s="2"/>
      <c r="F97" s="7"/>
      <c r="G97" s="2"/>
      <c r="H97" s="2"/>
      <c r="I97" s="2"/>
      <c r="J97" s="2"/>
    </row>
    <row r="98" spans="1:10" ht="16" x14ac:dyDescent="0.2">
      <c r="A98" s="14" t="s">
        <v>32</v>
      </c>
      <c r="B98" t="s">
        <v>112</v>
      </c>
      <c r="C98" t="s">
        <v>113</v>
      </c>
      <c r="D98" s="2" t="s">
        <v>10</v>
      </c>
      <c r="E98" s="2" t="s">
        <v>10</v>
      </c>
      <c r="F98" s="7"/>
      <c r="G98" s="2"/>
      <c r="H98" s="2"/>
      <c r="I98" s="2"/>
      <c r="J98" s="2" t="s">
        <v>10</v>
      </c>
    </row>
    <row r="99" spans="1:10" ht="16" x14ac:dyDescent="0.2">
      <c r="A99" s="14" t="s">
        <v>33</v>
      </c>
      <c r="B99" t="s">
        <v>101</v>
      </c>
      <c r="C99" t="s">
        <v>105</v>
      </c>
      <c r="D99" s="2"/>
      <c r="E99" s="2"/>
      <c r="F99" s="7"/>
      <c r="G99" s="2" t="s">
        <v>10</v>
      </c>
      <c r="H99" s="2"/>
      <c r="I99" s="2"/>
      <c r="J99" s="2"/>
    </row>
    <row r="100" spans="1:10" ht="16" x14ac:dyDescent="0.2">
      <c r="A100" s="14"/>
      <c r="B100" s="10" t="s">
        <v>102</v>
      </c>
      <c r="C100" t="s">
        <v>104</v>
      </c>
      <c r="D100" s="2"/>
      <c r="E100" s="2" t="s">
        <v>10</v>
      </c>
      <c r="F100" s="15"/>
      <c r="G100" s="2" t="s">
        <v>10</v>
      </c>
      <c r="H100" s="2"/>
      <c r="I100" s="2"/>
      <c r="J100" s="2"/>
    </row>
    <row r="101" spans="1:10" ht="16" x14ac:dyDescent="0.2">
      <c r="A101" s="14"/>
      <c r="B101" t="s">
        <v>114</v>
      </c>
      <c r="C101" t="s">
        <v>103</v>
      </c>
      <c r="D101" s="2"/>
      <c r="E101" s="2" t="s">
        <v>10</v>
      </c>
      <c r="F101" s="7" t="s">
        <v>10</v>
      </c>
      <c r="G101" s="2" t="s">
        <v>10</v>
      </c>
      <c r="H101" s="2"/>
      <c r="I101" s="2"/>
      <c r="J101" s="2"/>
    </row>
    <row r="102" spans="1:10" x14ac:dyDescent="0.2">
      <c r="A102" s="1"/>
      <c r="D102" s="2"/>
      <c r="E102" s="2"/>
      <c r="F102" s="7"/>
      <c r="G102" s="2"/>
      <c r="H102" s="2"/>
      <c r="I102" s="2"/>
      <c r="J102" s="2"/>
    </row>
    <row r="104" spans="1:10" x14ac:dyDescent="0.2">
      <c r="A104" t="s">
        <v>31</v>
      </c>
      <c r="B104" t="s">
        <v>92</v>
      </c>
      <c r="C104" t="s">
        <v>94</v>
      </c>
      <c r="I104" t="s">
        <v>10</v>
      </c>
      <c r="J104" t="s">
        <v>10</v>
      </c>
    </row>
    <row r="105" spans="1:10" x14ac:dyDescent="0.2">
      <c r="A105" t="s">
        <v>32</v>
      </c>
      <c r="B105" t="s">
        <v>93</v>
      </c>
      <c r="D105" t="s">
        <v>10</v>
      </c>
      <c r="E105" t="s">
        <v>10</v>
      </c>
      <c r="I105" t="s">
        <v>10</v>
      </c>
      <c r="J105" t="s">
        <v>10</v>
      </c>
    </row>
    <row r="106" spans="1:10" x14ac:dyDescent="0.2">
      <c r="A106" t="s">
        <v>33</v>
      </c>
      <c r="B106" t="s">
        <v>95</v>
      </c>
      <c r="C106" t="s">
        <v>96</v>
      </c>
      <c r="F106" s="6" t="s">
        <v>10</v>
      </c>
      <c r="G106" t="s">
        <v>10</v>
      </c>
    </row>
    <row r="107" spans="1:10" x14ac:dyDescent="0.2">
      <c r="B107" s="10" t="s">
        <v>98</v>
      </c>
      <c r="C107" t="s">
        <v>97</v>
      </c>
      <c r="G107" t="s">
        <v>10</v>
      </c>
    </row>
    <row r="108" spans="1:10" x14ac:dyDescent="0.2">
      <c r="B108" t="s">
        <v>99</v>
      </c>
      <c r="C108" t="s">
        <v>100</v>
      </c>
      <c r="G108" t="s">
        <v>10</v>
      </c>
    </row>
    <row r="111" spans="1:10" x14ac:dyDescent="0.2">
      <c r="A111" t="s">
        <v>31</v>
      </c>
    </row>
    <row r="112" spans="1:10" x14ac:dyDescent="0.2">
      <c r="A112" t="s">
        <v>32</v>
      </c>
      <c r="B112" t="s">
        <v>124</v>
      </c>
      <c r="C112" t="s">
        <v>125</v>
      </c>
      <c r="D112" t="s">
        <v>10</v>
      </c>
      <c r="I112" t="s">
        <v>10</v>
      </c>
      <c r="J112" t="s">
        <v>10</v>
      </c>
    </row>
    <row r="113" spans="1:10" ht="64" x14ac:dyDescent="0.2">
      <c r="A113" t="s">
        <v>33</v>
      </c>
      <c r="B113" s="17" t="s">
        <v>127</v>
      </c>
      <c r="C113" t="s">
        <v>126</v>
      </c>
      <c r="E113" t="s">
        <v>10</v>
      </c>
      <c r="F113" s="6" t="s">
        <v>10</v>
      </c>
    </row>
    <row r="121" spans="1:10" x14ac:dyDescent="0.2">
      <c r="A121" s="16"/>
      <c r="B121" t="s">
        <v>128</v>
      </c>
    </row>
    <row r="126" spans="1:10" x14ac:dyDescent="0.2">
      <c r="A126" s="1" t="s">
        <v>129</v>
      </c>
    </row>
    <row r="127" spans="1:10" ht="112" x14ac:dyDescent="0.2">
      <c r="C127" t="s">
        <v>6</v>
      </c>
      <c r="D127" s="2" t="s">
        <v>130</v>
      </c>
      <c r="E127" s="2" t="s">
        <v>1</v>
      </c>
      <c r="F127" s="7" t="s">
        <v>20</v>
      </c>
      <c r="G127" s="2" t="s">
        <v>90</v>
      </c>
      <c r="H127" s="2" t="s">
        <v>91</v>
      </c>
      <c r="I127" s="2" t="s">
        <v>23</v>
      </c>
      <c r="J127" s="2" t="s">
        <v>49</v>
      </c>
    </row>
    <row r="128" spans="1:10" x14ac:dyDescent="0.2">
      <c r="D128" s="2"/>
      <c r="E128" s="2"/>
      <c r="F128" s="7"/>
      <c r="G128" s="2"/>
      <c r="H128" s="2"/>
      <c r="I128" s="2"/>
      <c r="J128" s="2"/>
    </row>
    <row r="129" spans="1:10" x14ac:dyDescent="0.2">
      <c r="A129" t="s">
        <v>31</v>
      </c>
      <c r="D129" s="2"/>
      <c r="E129" s="2"/>
      <c r="F129" s="7"/>
      <c r="G129" s="2"/>
      <c r="H129" s="2"/>
      <c r="I129" s="2"/>
      <c r="J129" s="2"/>
    </row>
    <row r="130" spans="1:10" ht="16" x14ac:dyDescent="0.2">
      <c r="A130" t="s">
        <v>32</v>
      </c>
      <c r="B130" t="s">
        <v>135</v>
      </c>
      <c r="C130" t="s">
        <v>136</v>
      </c>
      <c r="D130" s="18" t="s">
        <v>10</v>
      </c>
      <c r="E130" s="18" t="s">
        <v>10</v>
      </c>
      <c r="F130" s="19" t="s">
        <v>10</v>
      </c>
      <c r="G130" s="18"/>
      <c r="H130" s="2"/>
      <c r="I130" s="2"/>
      <c r="J130" s="2"/>
    </row>
    <row r="131" spans="1:10" ht="16" x14ac:dyDescent="0.2">
      <c r="A131" t="s">
        <v>33</v>
      </c>
      <c r="B131" t="s">
        <v>137</v>
      </c>
      <c r="C131" t="s">
        <v>138</v>
      </c>
      <c r="D131" s="18"/>
      <c r="E131" s="18" t="s">
        <v>10</v>
      </c>
      <c r="F131" s="19" t="s">
        <v>10</v>
      </c>
      <c r="G131" s="18" t="s">
        <v>10</v>
      </c>
      <c r="H131" s="2"/>
      <c r="I131" s="2"/>
      <c r="J131" s="2"/>
    </row>
    <row r="132" spans="1:10" x14ac:dyDescent="0.2">
      <c r="D132" s="18"/>
      <c r="E132" s="18"/>
      <c r="F132" s="19"/>
      <c r="G132" s="18"/>
      <c r="H132" s="2"/>
      <c r="I132" s="2"/>
      <c r="J132" s="2"/>
    </row>
    <row r="133" spans="1:10" x14ac:dyDescent="0.2">
      <c r="D133" s="3"/>
      <c r="E133" s="3"/>
      <c r="F133" s="8"/>
      <c r="G133" s="3"/>
    </row>
    <row r="134" spans="1:10" x14ac:dyDescent="0.2">
      <c r="A134" t="s">
        <v>31</v>
      </c>
      <c r="D134" s="3"/>
      <c r="E134" s="3"/>
      <c r="F134" s="8"/>
      <c r="G134" s="3"/>
    </row>
    <row r="135" spans="1:10" x14ac:dyDescent="0.2">
      <c r="A135" t="s">
        <v>32</v>
      </c>
      <c r="B135" t="s">
        <v>131</v>
      </c>
      <c r="C135" t="s">
        <v>132</v>
      </c>
      <c r="D135" s="3" t="s">
        <v>10</v>
      </c>
      <c r="E135" s="3"/>
      <c r="F135" s="8" t="s">
        <v>10</v>
      </c>
      <c r="G135" s="3"/>
    </row>
    <row r="136" spans="1:10" ht="48" x14ac:dyDescent="0.2">
      <c r="A136" t="s">
        <v>33</v>
      </c>
      <c r="B136" s="17" t="s">
        <v>134</v>
      </c>
      <c r="C136" t="s">
        <v>133</v>
      </c>
      <c r="D136" s="3"/>
      <c r="E136" s="3" t="s">
        <v>10</v>
      </c>
      <c r="F136" s="8" t="s">
        <v>10</v>
      </c>
      <c r="G136" s="3" t="s">
        <v>10</v>
      </c>
    </row>
    <row r="137" spans="1:10" x14ac:dyDescent="0.2">
      <c r="D137" s="3"/>
      <c r="E137" s="3"/>
      <c r="F137" s="8"/>
      <c r="G137" s="3"/>
    </row>
    <row r="138" spans="1:10" x14ac:dyDescent="0.2">
      <c r="D138" s="3"/>
      <c r="E138" s="3"/>
      <c r="F138" s="8"/>
      <c r="G138" s="3"/>
    </row>
    <row r="139" spans="1:10" x14ac:dyDescent="0.2">
      <c r="A139" t="s">
        <v>31</v>
      </c>
      <c r="D139" s="3"/>
      <c r="E139" s="3"/>
      <c r="F139" s="8"/>
      <c r="G139" s="3"/>
    </row>
    <row r="140" spans="1:10" x14ac:dyDescent="0.2">
      <c r="A140" t="s">
        <v>32</v>
      </c>
      <c r="B140" t="s">
        <v>139</v>
      </c>
      <c r="C140" t="s">
        <v>140</v>
      </c>
      <c r="D140" s="3" t="s">
        <v>10</v>
      </c>
      <c r="E140" s="3" t="s">
        <v>10</v>
      </c>
      <c r="F140" s="8" t="s">
        <v>10</v>
      </c>
      <c r="G140" s="3"/>
    </row>
    <row r="141" spans="1:10" ht="32" x14ac:dyDescent="0.2">
      <c r="A141" t="s">
        <v>33</v>
      </c>
      <c r="B141" s="2" t="s">
        <v>141</v>
      </c>
      <c r="D141" s="3"/>
      <c r="E141" s="3"/>
      <c r="F141" s="8" t="s">
        <v>10</v>
      </c>
      <c r="G141" s="3" t="s">
        <v>10</v>
      </c>
    </row>
    <row r="142" spans="1:10" x14ac:dyDescent="0.2">
      <c r="D142" s="3"/>
      <c r="E142" s="3"/>
      <c r="F142" s="8"/>
      <c r="G142" s="3"/>
    </row>
    <row r="143" spans="1:10" x14ac:dyDescent="0.2">
      <c r="D143" s="3"/>
      <c r="E143" s="3"/>
      <c r="F143" s="8"/>
      <c r="G143" s="3"/>
    </row>
    <row r="144" spans="1:10" x14ac:dyDescent="0.2">
      <c r="A144" t="s">
        <v>31</v>
      </c>
      <c r="D144" s="3"/>
      <c r="E144" s="3"/>
      <c r="F144" s="8"/>
      <c r="G144" s="3"/>
    </row>
    <row r="145" spans="1:7" x14ac:dyDescent="0.2">
      <c r="A145" t="s">
        <v>32</v>
      </c>
      <c r="B145" t="s">
        <v>142</v>
      </c>
      <c r="C145" t="s">
        <v>143</v>
      </c>
      <c r="D145" s="3" t="s">
        <v>10</v>
      </c>
      <c r="E145" s="3" t="s">
        <v>10</v>
      </c>
      <c r="F145" s="20" t="s">
        <v>10</v>
      </c>
      <c r="G145" s="3"/>
    </row>
    <row r="146" spans="1:7" x14ac:dyDescent="0.2">
      <c r="A146" t="s">
        <v>33</v>
      </c>
      <c r="B146" t="s">
        <v>144</v>
      </c>
      <c r="C146" t="s">
        <v>145</v>
      </c>
      <c r="D146" s="3"/>
      <c r="E146" s="3" t="s">
        <v>10</v>
      </c>
      <c r="F146" s="8" t="s">
        <v>10</v>
      </c>
      <c r="G146" s="3" t="s">
        <v>10</v>
      </c>
    </row>
    <row r="147" spans="1:7" x14ac:dyDescent="0.2">
      <c r="D147" s="3"/>
      <c r="E147" s="3"/>
      <c r="F147" s="8"/>
      <c r="G147" s="3"/>
    </row>
    <row r="148" spans="1:7" x14ac:dyDescent="0.2">
      <c r="D148" s="3"/>
      <c r="E148" s="3"/>
      <c r="F148" s="8"/>
      <c r="G148" s="3"/>
    </row>
    <row r="149" spans="1:7" x14ac:dyDescent="0.2">
      <c r="A149" t="s">
        <v>31</v>
      </c>
      <c r="D149" s="3"/>
      <c r="E149" s="3"/>
      <c r="F149" s="8"/>
      <c r="G149" s="3"/>
    </row>
    <row r="150" spans="1:7" x14ac:dyDescent="0.2">
      <c r="A150" t="s">
        <v>32</v>
      </c>
      <c r="B150" t="s">
        <v>146</v>
      </c>
      <c r="C150" t="s">
        <v>147</v>
      </c>
      <c r="D150" s="3" t="s">
        <v>10</v>
      </c>
      <c r="E150" s="3" t="s">
        <v>10</v>
      </c>
      <c r="F150" s="20" t="s">
        <v>10</v>
      </c>
      <c r="G150" s="3"/>
    </row>
    <row r="151" spans="1:7" x14ac:dyDescent="0.2">
      <c r="A151" t="s">
        <v>33</v>
      </c>
      <c r="B151" t="s">
        <v>148</v>
      </c>
      <c r="C151" t="s">
        <v>149</v>
      </c>
      <c r="D151" s="3"/>
      <c r="E151" s="3" t="s">
        <v>10</v>
      </c>
      <c r="F151" s="8" t="s">
        <v>10</v>
      </c>
      <c r="G151" s="3" t="s">
        <v>10</v>
      </c>
    </row>
    <row r="152" spans="1:7" x14ac:dyDescent="0.2">
      <c r="D152" s="3"/>
      <c r="E152" s="3"/>
      <c r="F152" s="8"/>
      <c r="G152" s="3"/>
    </row>
    <row r="153" spans="1:7" x14ac:dyDescent="0.2">
      <c r="D153" s="3"/>
      <c r="E153" s="3"/>
      <c r="F153" s="8"/>
      <c r="G153" s="3"/>
    </row>
    <row r="154" spans="1:7" x14ac:dyDescent="0.2">
      <c r="A154" t="s">
        <v>31</v>
      </c>
      <c r="D154" s="3"/>
      <c r="E154" s="3"/>
      <c r="F154" s="8"/>
      <c r="G154" s="3"/>
    </row>
    <row r="155" spans="1:7" x14ac:dyDescent="0.2">
      <c r="A155" t="s">
        <v>32</v>
      </c>
      <c r="B155" t="s">
        <v>150</v>
      </c>
      <c r="C155" t="s">
        <v>151</v>
      </c>
      <c r="D155" s="3" t="s">
        <v>10</v>
      </c>
      <c r="E155" s="3" t="s">
        <v>10</v>
      </c>
      <c r="F155" s="20" t="s">
        <v>10</v>
      </c>
      <c r="G155" s="3"/>
    </row>
    <row r="156" spans="1:7" ht="32" x14ac:dyDescent="0.2">
      <c r="A156" t="s">
        <v>33</v>
      </c>
      <c r="B156" s="2" t="s">
        <v>152</v>
      </c>
      <c r="D156" s="3"/>
      <c r="E156" s="3" t="s">
        <v>10</v>
      </c>
      <c r="F156" s="8" t="s">
        <v>10</v>
      </c>
      <c r="G156" s="3" t="s">
        <v>10</v>
      </c>
    </row>
    <row r="157" spans="1:7" x14ac:dyDescent="0.2">
      <c r="D157" s="3"/>
      <c r="E157" s="3"/>
      <c r="F157" s="8"/>
      <c r="G157" s="3"/>
    </row>
    <row r="158" spans="1:7" x14ac:dyDescent="0.2">
      <c r="D158" s="3"/>
      <c r="E158" s="3"/>
      <c r="F158" s="8"/>
      <c r="G158" s="3"/>
    </row>
    <row r="159" spans="1:7" x14ac:dyDescent="0.2">
      <c r="A159" t="s">
        <v>31</v>
      </c>
      <c r="D159" s="3"/>
      <c r="E159" s="3"/>
      <c r="F159" s="8"/>
      <c r="G159" s="3"/>
    </row>
    <row r="160" spans="1:7" x14ac:dyDescent="0.2">
      <c r="A160" t="s">
        <v>32</v>
      </c>
      <c r="B160" t="s">
        <v>153</v>
      </c>
      <c r="C160" t="s">
        <v>154</v>
      </c>
      <c r="D160" s="3" t="s">
        <v>10</v>
      </c>
      <c r="E160" s="3" t="s">
        <v>10</v>
      </c>
      <c r="F160" s="20" t="s">
        <v>10</v>
      </c>
      <c r="G160" s="3"/>
    </row>
    <row r="161" spans="1:7" x14ac:dyDescent="0.2">
      <c r="A161" t="s">
        <v>33</v>
      </c>
      <c r="B161" t="s">
        <v>155</v>
      </c>
      <c r="D161" s="3"/>
      <c r="E161" s="3" t="s">
        <v>10</v>
      </c>
      <c r="F161" s="8" t="s">
        <v>10</v>
      </c>
      <c r="G161" s="3" t="s">
        <v>10</v>
      </c>
    </row>
    <row r="162" spans="1:7" x14ac:dyDescent="0.2">
      <c r="D162" s="3"/>
      <c r="E162" s="3"/>
      <c r="F162" s="8"/>
      <c r="G162" s="3"/>
    </row>
    <row r="163" spans="1:7" x14ac:dyDescent="0.2">
      <c r="D163" s="3"/>
      <c r="E163" s="3"/>
      <c r="F163" s="8"/>
      <c r="G163" s="3"/>
    </row>
    <row r="164" spans="1:7" x14ac:dyDescent="0.2">
      <c r="A164" t="s">
        <v>31</v>
      </c>
      <c r="D164" s="3"/>
      <c r="E164" s="3"/>
      <c r="F164" s="8"/>
      <c r="G164" s="3"/>
    </row>
    <row r="165" spans="1:7" x14ac:dyDescent="0.2">
      <c r="A165" t="s">
        <v>32</v>
      </c>
      <c r="B165" t="s">
        <v>157</v>
      </c>
      <c r="C165" t="s">
        <v>158</v>
      </c>
      <c r="D165" s="3" t="s">
        <v>10</v>
      </c>
      <c r="E165" s="3" t="s">
        <v>10</v>
      </c>
      <c r="F165" s="8" t="s">
        <v>10</v>
      </c>
      <c r="G165" s="3"/>
    </row>
    <row r="166" spans="1:7" ht="32" x14ac:dyDescent="0.2">
      <c r="A166" t="s">
        <v>33</v>
      </c>
      <c r="B166" s="2" t="s">
        <v>159</v>
      </c>
      <c r="C166" t="s">
        <v>160</v>
      </c>
      <c r="D166" s="3"/>
      <c r="E166" s="3" t="s">
        <v>10</v>
      </c>
      <c r="F166" s="8" t="s">
        <v>10</v>
      </c>
      <c r="G166" s="3" t="s">
        <v>10</v>
      </c>
    </row>
    <row r="167" spans="1:7" x14ac:dyDescent="0.2">
      <c r="B167" t="s">
        <v>161</v>
      </c>
      <c r="C167" t="s">
        <v>160</v>
      </c>
      <c r="D167" s="3"/>
      <c r="E167" s="3"/>
      <c r="F167" s="8" t="s">
        <v>10</v>
      </c>
      <c r="G167" s="3" t="s">
        <v>10</v>
      </c>
    </row>
    <row r="168" spans="1:7" x14ac:dyDescent="0.2">
      <c r="D168" s="3"/>
      <c r="E168" s="3"/>
      <c r="F168" s="8"/>
      <c r="G168" s="3"/>
    </row>
    <row r="169" spans="1:7" x14ac:dyDescent="0.2">
      <c r="D169" s="3"/>
      <c r="E169" s="3"/>
      <c r="F169" s="8"/>
      <c r="G169" s="3"/>
    </row>
    <row r="170" spans="1:7" x14ac:dyDescent="0.2">
      <c r="A170" t="s">
        <v>31</v>
      </c>
      <c r="D170" s="3"/>
      <c r="E170" s="3"/>
      <c r="F170" s="8"/>
      <c r="G170" s="3"/>
    </row>
    <row r="171" spans="1:7" x14ac:dyDescent="0.2">
      <c r="A171" t="s">
        <v>32</v>
      </c>
      <c r="B171" t="s">
        <v>162</v>
      </c>
      <c r="C171" t="s">
        <v>163</v>
      </c>
      <c r="D171" s="3" t="s">
        <v>10</v>
      </c>
      <c r="E171" s="3" t="s">
        <v>10</v>
      </c>
      <c r="F171" s="8" t="s">
        <v>10</v>
      </c>
      <c r="G171" s="3"/>
    </row>
    <row r="172" spans="1:7" x14ac:dyDescent="0.2">
      <c r="A172" t="s">
        <v>33</v>
      </c>
      <c r="B172" t="s">
        <v>164</v>
      </c>
      <c r="C172" t="s">
        <v>165</v>
      </c>
      <c r="D172" s="3"/>
      <c r="E172" s="3" t="s">
        <v>10</v>
      </c>
      <c r="F172" s="8" t="s">
        <v>10</v>
      </c>
      <c r="G172" s="3" t="s">
        <v>10</v>
      </c>
    </row>
    <row r="173" spans="1:7" x14ac:dyDescent="0.2">
      <c r="D173" s="3"/>
      <c r="E173" s="3"/>
      <c r="F173" s="8"/>
      <c r="G173" s="3"/>
    </row>
    <row r="174" spans="1:7" x14ac:dyDescent="0.2">
      <c r="D174" s="3"/>
      <c r="E174" s="3"/>
      <c r="F174" s="8"/>
      <c r="G174" s="3"/>
    </row>
    <row r="175" spans="1:7" x14ac:dyDescent="0.2">
      <c r="A175" t="s">
        <v>31</v>
      </c>
      <c r="D175" s="3"/>
      <c r="E175" s="3"/>
      <c r="F175" s="8"/>
      <c r="G175" s="3"/>
    </row>
    <row r="176" spans="1:7" x14ac:dyDescent="0.2">
      <c r="A176" t="s">
        <v>32</v>
      </c>
      <c r="B176" t="s">
        <v>166</v>
      </c>
      <c r="C176" t="s">
        <v>167</v>
      </c>
      <c r="D176" s="3" t="s">
        <v>10</v>
      </c>
      <c r="E176" s="3" t="s">
        <v>10</v>
      </c>
      <c r="F176" s="20" t="s">
        <v>10</v>
      </c>
      <c r="G176" s="3"/>
    </row>
    <row r="177" spans="1:7" x14ac:dyDescent="0.2">
      <c r="A177" t="s">
        <v>33</v>
      </c>
      <c r="B177" t="s">
        <v>168</v>
      </c>
      <c r="C177" t="s">
        <v>169</v>
      </c>
      <c r="D177" s="3"/>
      <c r="E177" s="3" t="s">
        <v>10</v>
      </c>
      <c r="F177" s="8" t="s">
        <v>10</v>
      </c>
      <c r="G177" s="3" t="s">
        <v>10</v>
      </c>
    </row>
    <row r="178" spans="1:7" x14ac:dyDescent="0.2">
      <c r="D178" s="3"/>
      <c r="E178" s="3"/>
      <c r="F178" s="8"/>
      <c r="G178" s="3"/>
    </row>
    <row r="179" spans="1:7" x14ac:dyDescent="0.2">
      <c r="D179" s="3"/>
      <c r="E179" s="3"/>
      <c r="F179" s="8"/>
      <c r="G179" s="3"/>
    </row>
    <row r="180" spans="1:7" x14ac:dyDescent="0.2">
      <c r="A180" t="s">
        <v>31</v>
      </c>
      <c r="D180" s="3"/>
      <c r="E180" s="3"/>
      <c r="F180" s="8"/>
      <c r="G180" s="3"/>
    </row>
    <row r="181" spans="1:7" x14ac:dyDescent="0.2">
      <c r="A181" t="s">
        <v>32</v>
      </c>
      <c r="D181" s="3"/>
      <c r="E181" s="3"/>
      <c r="F181" s="8"/>
      <c r="G181" s="3"/>
    </row>
    <row r="182" spans="1:7" x14ac:dyDescent="0.2">
      <c r="A182" t="s">
        <v>33</v>
      </c>
      <c r="B182" t="s">
        <v>170</v>
      </c>
      <c r="C182" t="s">
        <v>171</v>
      </c>
      <c r="D182" s="3"/>
      <c r="E182" s="3"/>
      <c r="F182" s="8"/>
      <c r="G182" s="3" t="s">
        <v>10</v>
      </c>
    </row>
    <row r="184" spans="1:7" x14ac:dyDescent="0.2">
      <c r="A184" s="1" t="s">
        <v>266</v>
      </c>
    </row>
    <row r="185" spans="1:7" x14ac:dyDescent="0.2">
      <c r="A185" s="1"/>
    </row>
    <row r="186" spans="1:7" x14ac:dyDescent="0.2">
      <c r="A186" s="14" t="s">
        <v>31</v>
      </c>
      <c r="B186" t="s">
        <v>319</v>
      </c>
      <c r="C186" t="s">
        <v>323</v>
      </c>
      <c r="D186" t="s">
        <v>10</v>
      </c>
      <c r="F186" s="6" t="s">
        <v>10</v>
      </c>
    </row>
    <row r="187" spans="1:7" x14ac:dyDescent="0.2">
      <c r="A187" s="14" t="s">
        <v>32</v>
      </c>
      <c r="B187" t="s">
        <v>321</v>
      </c>
      <c r="C187" t="s">
        <v>320</v>
      </c>
      <c r="E187" t="s">
        <v>10</v>
      </c>
    </row>
    <row r="188" spans="1:7" x14ac:dyDescent="0.2">
      <c r="A188" s="14" t="s">
        <v>33</v>
      </c>
      <c r="B188" t="s">
        <v>322</v>
      </c>
      <c r="C188" t="s">
        <v>324</v>
      </c>
      <c r="E188" t="s">
        <v>10</v>
      </c>
      <c r="F188" s="6" t="s">
        <v>10</v>
      </c>
      <c r="G188" t="s">
        <v>10</v>
      </c>
    </row>
    <row r="189" spans="1:7" x14ac:dyDescent="0.2">
      <c r="A189" s="1"/>
    </row>
    <row r="190" spans="1:7" x14ac:dyDescent="0.2">
      <c r="A190" s="1"/>
    </row>
    <row r="191" spans="1:7" x14ac:dyDescent="0.2">
      <c r="A191" s="14" t="s">
        <v>31</v>
      </c>
    </row>
    <row r="192" spans="1:7" x14ac:dyDescent="0.2">
      <c r="A192" s="14" t="s">
        <v>32</v>
      </c>
      <c r="B192" t="s">
        <v>328</v>
      </c>
      <c r="C192" t="s">
        <v>329</v>
      </c>
      <c r="D192" t="s">
        <v>10</v>
      </c>
      <c r="E192" t="s">
        <v>10</v>
      </c>
    </row>
    <row r="193" spans="1:10" x14ac:dyDescent="0.2">
      <c r="A193" s="14" t="s">
        <v>33</v>
      </c>
      <c r="B193" t="s">
        <v>330</v>
      </c>
      <c r="C193" t="s">
        <v>331</v>
      </c>
      <c r="E193" t="s">
        <v>10</v>
      </c>
      <c r="F193" s="6" t="s">
        <v>10</v>
      </c>
      <c r="G193" t="s">
        <v>10</v>
      </c>
    </row>
    <row r="194" spans="1:10" ht="48" x14ac:dyDescent="0.2">
      <c r="A194" s="14"/>
      <c r="B194" t="s">
        <v>332</v>
      </c>
      <c r="C194" t="s">
        <v>333</v>
      </c>
      <c r="E194" t="s">
        <v>10</v>
      </c>
      <c r="F194" s="24" t="s">
        <v>334</v>
      </c>
      <c r="G194" t="s">
        <v>10</v>
      </c>
    </row>
    <row r="195" spans="1:10" x14ac:dyDescent="0.2">
      <c r="A195" s="14"/>
      <c r="F195" s="7"/>
    </row>
    <row r="196" spans="1:10" x14ac:dyDescent="0.2">
      <c r="A196" s="14"/>
      <c r="F196" s="7"/>
    </row>
    <row r="197" spans="1:10" x14ac:dyDescent="0.2">
      <c r="A197" s="14" t="s">
        <v>31</v>
      </c>
      <c r="B197" t="s">
        <v>373</v>
      </c>
      <c r="F197" s="7"/>
    </row>
    <row r="198" spans="1:10" x14ac:dyDescent="0.2">
      <c r="A198" s="14" t="s">
        <v>32</v>
      </c>
      <c r="B198" t="s">
        <v>371</v>
      </c>
      <c r="C198" t="s">
        <v>372</v>
      </c>
      <c r="E198" t="s">
        <v>10</v>
      </c>
      <c r="F198" s="7"/>
      <c r="I198" t="s">
        <v>10</v>
      </c>
      <c r="J198" t="s">
        <v>10</v>
      </c>
    </row>
    <row r="199" spans="1:10" ht="16" x14ac:dyDescent="0.2">
      <c r="A199" s="14" t="s">
        <v>33</v>
      </c>
      <c r="B199" t="s">
        <v>374</v>
      </c>
      <c r="E199" t="s">
        <v>10</v>
      </c>
      <c r="F199" s="7" t="s">
        <v>10</v>
      </c>
      <c r="G199" t="s">
        <v>10</v>
      </c>
    </row>
    <row r="200" spans="1:10" x14ac:dyDescent="0.2">
      <c r="A200" s="14"/>
      <c r="B200" t="s">
        <v>375</v>
      </c>
      <c r="F200" s="7"/>
      <c r="G200" t="s">
        <v>10</v>
      </c>
    </row>
    <row r="201" spans="1:10" x14ac:dyDescent="0.2">
      <c r="A201" s="14"/>
      <c r="F201" s="7"/>
    </row>
    <row r="202" spans="1:10" x14ac:dyDescent="0.2">
      <c r="A202" s="14"/>
      <c r="F202" s="7"/>
    </row>
    <row r="203" spans="1:10" x14ac:dyDescent="0.2">
      <c r="A203" s="14" t="s">
        <v>31</v>
      </c>
      <c r="F203" s="7"/>
    </row>
    <row r="204" spans="1:10" x14ac:dyDescent="0.2">
      <c r="A204" s="14" t="s">
        <v>32</v>
      </c>
      <c r="B204" t="s">
        <v>376</v>
      </c>
      <c r="C204" t="s">
        <v>377</v>
      </c>
      <c r="E204" t="s">
        <v>10</v>
      </c>
      <c r="F204" s="7"/>
      <c r="J204" t="s">
        <v>10</v>
      </c>
    </row>
    <row r="205" spans="1:10" ht="16" x14ac:dyDescent="0.2">
      <c r="A205" s="14" t="s">
        <v>33</v>
      </c>
      <c r="B205" t="s">
        <v>378</v>
      </c>
      <c r="C205" t="s">
        <v>380</v>
      </c>
      <c r="E205" t="s">
        <v>10</v>
      </c>
      <c r="F205" s="7" t="s">
        <v>379</v>
      </c>
      <c r="G205" t="s">
        <v>10</v>
      </c>
    </row>
    <row r="206" spans="1:10" x14ac:dyDescent="0.2">
      <c r="A206" s="14"/>
      <c r="F206" s="7"/>
    </row>
    <row r="207" spans="1:10" x14ac:dyDescent="0.2">
      <c r="A207" s="14"/>
      <c r="F207" s="7"/>
    </row>
    <row r="208" spans="1:10" x14ac:dyDescent="0.2">
      <c r="A208" s="14" t="s">
        <v>31</v>
      </c>
      <c r="B208" t="s">
        <v>337</v>
      </c>
      <c r="F208" s="7"/>
    </row>
    <row r="209" spans="1:9" ht="16" x14ac:dyDescent="0.2">
      <c r="A209" s="14" t="s">
        <v>32</v>
      </c>
      <c r="B209" t="s">
        <v>335</v>
      </c>
      <c r="C209" t="s">
        <v>336</v>
      </c>
      <c r="D209" t="s">
        <v>10</v>
      </c>
      <c r="E209" t="s">
        <v>10</v>
      </c>
      <c r="F209" s="7" t="s">
        <v>10</v>
      </c>
      <c r="I209" t="s">
        <v>10</v>
      </c>
    </row>
    <row r="210" spans="1:9" x14ac:dyDescent="0.2">
      <c r="A210" s="14" t="s">
        <v>33</v>
      </c>
      <c r="B210" t="s">
        <v>338</v>
      </c>
      <c r="C210" t="s">
        <v>339</v>
      </c>
      <c r="E210" t="s">
        <v>10</v>
      </c>
      <c r="F210" s="7"/>
      <c r="G210" t="s">
        <v>10</v>
      </c>
    </row>
    <row r="211" spans="1:9" x14ac:dyDescent="0.2">
      <c r="A211" s="14"/>
      <c r="F211" s="7"/>
    </row>
    <row r="212" spans="1:9" x14ac:dyDescent="0.2">
      <c r="A212" s="14"/>
      <c r="F212" s="7"/>
    </row>
    <row r="213" spans="1:9" x14ac:dyDescent="0.2">
      <c r="A213" s="14" t="s">
        <v>31</v>
      </c>
      <c r="F213" s="7"/>
    </row>
    <row r="214" spans="1:9" x14ac:dyDescent="0.2">
      <c r="A214" s="14" t="s">
        <v>32</v>
      </c>
      <c r="B214" t="s">
        <v>340</v>
      </c>
      <c r="C214" t="s">
        <v>341</v>
      </c>
      <c r="D214" t="s">
        <v>10</v>
      </c>
      <c r="E214" t="s">
        <v>10</v>
      </c>
      <c r="F214" s="7"/>
    </row>
    <row r="215" spans="1:9" ht="16" x14ac:dyDescent="0.2">
      <c r="A215" s="14" t="s">
        <v>33</v>
      </c>
      <c r="B215" t="s">
        <v>345</v>
      </c>
      <c r="C215" t="s">
        <v>342</v>
      </c>
      <c r="E215" t="s">
        <v>10</v>
      </c>
      <c r="F215" s="7" t="s">
        <v>10</v>
      </c>
      <c r="G215" t="s">
        <v>10</v>
      </c>
    </row>
    <row r="216" spans="1:9" x14ac:dyDescent="0.2">
      <c r="A216" s="14"/>
      <c r="B216" t="s">
        <v>343</v>
      </c>
      <c r="C216" t="s">
        <v>344</v>
      </c>
      <c r="E216" t="s">
        <v>10</v>
      </c>
      <c r="F216" s="7"/>
      <c r="G216" t="s">
        <v>10</v>
      </c>
    </row>
    <row r="217" spans="1:9" x14ac:dyDescent="0.2">
      <c r="A217" s="14"/>
      <c r="F217" s="7"/>
    </row>
    <row r="218" spans="1:9" x14ac:dyDescent="0.2">
      <c r="A218" s="14" t="s">
        <v>31</v>
      </c>
      <c r="B218" t="s">
        <v>346</v>
      </c>
      <c r="F218" s="7"/>
    </row>
    <row r="219" spans="1:9" x14ac:dyDescent="0.2">
      <c r="A219" s="14" t="s">
        <v>32</v>
      </c>
      <c r="B219" t="s">
        <v>348</v>
      </c>
      <c r="C219" t="s">
        <v>347</v>
      </c>
      <c r="D219" t="s">
        <v>10</v>
      </c>
      <c r="E219" t="s">
        <v>10</v>
      </c>
      <c r="F219" s="7"/>
    </row>
    <row r="220" spans="1:9" ht="16" x14ac:dyDescent="0.2">
      <c r="A220" s="14" t="s">
        <v>33</v>
      </c>
      <c r="B220" t="s">
        <v>349</v>
      </c>
      <c r="E220" t="s">
        <v>10</v>
      </c>
      <c r="F220" s="7" t="s">
        <v>10</v>
      </c>
      <c r="G220" t="s">
        <v>10</v>
      </c>
    </row>
    <row r="221" spans="1:9" x14ac:dyDescent="0.2">
      <c r="A221" s="14"/>
      <c r="F221" s="7"/>
    </row>
    <row r="222" spans="1:9" x14ac:dyDescent="0.2">
      <c r="A222" s="14"/>
      <c r="F222" s="7"/>
    </row>
    <row r="223" spans="1:9" x14ac:dyDescent="0.2">
      <c r="A223" s="14" t="s">
        <v>31</v>
      </c>
      <c r="B223" t="s">
        <v>352</v>
      </c>
      <c r="F223" s="7"/>
    </row>
    <row r="224" spans="1:9" x14ac:dyDescent="0.2">
      <c r="A224" s="14" t="s">
        <v>32</v>
      </c>
      <c r="B224" t="s">
        <v>350</v>
      </c>
      <c r="C224" t="s">
        <v>351</v>
      </c>
      <c r="D224" t="s">
        <v>10</v>
      </c>
      <c r="E224" t="s">
        <v>10</v>
      </c>
      <c r="F224" s="7"/>
    </row>
    <row r="225" spans="1:7" ht="16" x14ac:dyDescent="0.2">
      <c r="A225" s="14" t="s">
        <v>33</v>
      </c>
      <c r="B225" t="s">
        <v>353</v>
      </c>
      <c r="C225" t="s">
        <v>354</v>
      </c>
      <c r="F225" s="7" t="s">
        <v>10</v>
      </c>
      <c r="G225" t="s">
        <v>10</v>
      </c>
    </row>
    <row r="226" spans="1:7" x14ac:dyDescent="0.2">
      <c r="A226" s="1"/>
    </row>
    <row r="227" spans="1:7" x14ac:dyDescent="0.2">
      <c r="A227" s="1"/>
    </row>
    <row r="228" spans="1:7" x14ac:dyDescent="0.2">
      <c r="A228" s="14" t="s">
        <v>31</v>
      </c>
    </row>
    <row r="229" spans="1:7" x14ac:dyDescent="0.2">
      <c r="A229" s="14" t="s">
        <v>32</v>
      </c>
      <c r="B229" t="s">
        <v>308</v>
      </c>
      <c r="C229" t="s">
        <v>309</v>
      </c>
      <c r="D229" t="s">
        <v>10</v>
      </c>
      <c r="E229" t="s">
        <v>10</v>
      </c>
    </row>
    <row r="230" spans="1:7" x14ac:dyDescent="0.2">
      <c r="A230" s="14" t="s">
        <v>33</v>
      </c>
      <c r="B230" t="s">
        <v>312</v>
      </c>
      <c r="C230" t="s">
        <v>313</v>
      </c>
      <c r="E230" t="s">
        <v>10</v>
      </c>
    </row>
    <row r="231" spans="1:7" x14ac:dyDescent="0.2">
      <c r="A231" s="14"/>
      <c r="B231" t="s">
        <v>310</v>
      </c>
      <c r="C231" t="s">
        <v>311</v>
      </c>
      <c r="F231" s="6" t="s">
        <v>10</v>
      </c>
      <c r="G231" t="s">
        <v>10</v>
      </c>
    </row>
    <row r="232" spans="1:7" x14ac:dyDescent="0.2">
      <c r="A232" s="14"/>
    </row>
    <row r="233" spans="1:7" x14ac:dyDescent="0.2">
      <c r="A233" s="14"/>
    </row>
    <row r="234" spans="1:7" x14ac:dyDescent="0.2">
      <c r="A234" s="14" t="s">
        <v>31</v>
      </c>
    </row>
    <row r="235" spans="1:7" x14ac:dyDescent="0.2">
      <c r="A235" s="14" t="s">
        <v>32</v>
      </c>
      <c r="B235" t="s">
        <v>314</v>
      </c>
      <c r="C235" t="s">
        <v>315</v>
      </c>
      <c r="D235" t="s">
        <v>10</v>
      </c>
      <c r="E235" t="s">
        <v>10</v>
      </c>
    </row>
    <row r="236" spans="1:7" x14ac:dyDescent="0.2">
      <c r="A236" s="14" t="s">
        <v>33</v>
      </c>
      <c r="B236" t="s">
        <v>316</v>
      </c>
      <c r="C236" t="s">
        <v>317</v>
      </c>
    </row>
    <row r="237" spans="1:7" x14ac:dyDescent="0.2">
      <c r="A237" s="14"/>
      <c r="B237" t="s">
        <v>318</v>
      </c>
      <c r="E237" t="s">
        <v>10</v>
      </c>
      <c r="F237" s="6" t="s">
        <v>10</v>
      </c>
      <c r="G237" t="s">
        <v>10</v>
      </c>
    </row>
    <row r="238" spans="1:7" x14ac:dyDescent="0.2">
      <c r="A238" s="1"/>
    </row>
    <row r="239" spans="1:7" x14ac:dyDescent="0.2">
      <c r="A239" s="1"/>
    </row>
    <row r="240" spans="1:7" x14ac:dyDescent="0.2">
      <c r="A240" s="14" t="s">
        <v>31</v>
      </c>
      <c r="B240" t="s">
        <v>303</v>
      </c>
      <c r="C240" t="s">
        <v>304</v>
      </c>
      <c r="D240" t="s">
        <v>10</v>
      </c>
    </row>
    <row r="241" spans="1:9" x14ac:dyDescent="0.2">
      <c r="A241" s="14" t="s">
        <v>32</v>
      </c>
    </row>
    <row r="242" spans="1:9" x14ac:dyDescent="0.2">
      <c r="A242" s="14" t="s">
        <v>33</v>
      </c>
      <c r="B242" t="s">
        <v>305</v>
      </c>
      <c r="F242" s="6" t="s">
        <v>10</v>
      </c>
    </row>
    <row r="243" spans="1:9" x14ac:dyDescent="0.2">
      <c r="A243" s="14"/>
      <c r="B243" t="s">
        <v>306</v>
      </c>
      <c r="C243" t="s">
        <v>307</v>
      </c>
      <c r="I243" t="s">
        <v>10</v>
      </c>
    </row>
    <row r="244" spans="1:9" x14ac:dyDescent="0.2">
      <c r="A244" s="1"/>
    </row>
    <row r="245" spans="1:9" x14ac:dyDescent="0.2">
      <c r="A245" s="1"/>
    </row>
    <row r="246" spans="1:9" x14ac:dyDescent="0.2">
      <c r="A246" s="14" t="s">
        <v>31</v>
      </c>
    </row>
    <row r="247" spans="1:9" x14ac:dyDescent="0.2">
      <c r="A247" s="14" t="s">
        <v>32</v>
      </c>
      <c r="B247" t="s">
        <v>7</v>
      </c>
      <c r="C247" t="s">
        <v>267</v>
      </c>
      <c r="D247" t="s">
        <v>10</v>
      </c>
      <c r="E247" t="s">
        <v>10</v>
      </c>
    </row>
    <row r="248" spans="1:9" x14ac:dyDescent="0.2">
      <c r="A248" s="14" t="s">
        <v>33</v>
      </c>
      <c r="B248" t="s">
        <v>268</v>
      </c>
      <c r="C248" t="s">
        <v>9</v>
      </c>
      <c r="F248" s="6" t="s">
        <v>10</v>
      </c>
      <c r="G248" t="s">
        <v>10</v>
      </c>
    </row>
    <row r="249" spans="1:9" x14ac:dyDescent="0.2">
      <c r="A249" s="14"/>
      <c r="B249" t="s">
        <v>13</v>
      </c>
      <c r="C249" t="s">
        <v>14</v>
      </c>
      <c r="F249" s="6" t="s">
        <v>10</v>
      </c>
    </row>
    <row r="250" spans="1:9" x14ac:dyDescent="0.2">
      <c r="A250" s="1"/>
    </row>
    <row r="251" spans="1:9" x14ac:dyDescent="0.2">
      <c r="A251" s="1"/>
    </row>
    <row r="252" spans="1:9" x14ac:dyDescent="0.2">
      <c r="A252" s="14" t="s">
        <v>31</v>
      </c>
    </row>
    <row r="253" spans="1:9" x14ac:dyDescent="0.2">
      <c r="A253" s="14" t="s">
        <v>32</v>
      </c>
      <c r="B253" t="s">
        <v>269</v>
      </c>
      <c r="C253" t="s">
        <v>270</v>
      </c>
      <c r="D253" t="s">
        <v>10</v>
      </c>
      <c r="E253" t="s">
        <v>10</v>
      </c>
      <c r="I253" t="s">
        <v>10</v>
      </c>
    </row>
    <row r="254" spans="1:9" x14ac:dyDescent="0.2">
      <c r="A254" s="14" t="s">
        <v>33</v>
      </c>
      <c r="B254" t="s">
        <v>271</v>
      </c>
      <c r="C254" t="s">
        <v>272</v>
      </c>
      <c r="F254" s="6" t="s">
        <v>10</v>
      </c>
      <c r="I254" t="s">
        <v>10</v>
      </c>
    </row>
    <row r="255" spans="1:9" x14ac:dyDescent="0.2">
      <c r="A255" s="14"/>
    </row>
    <row r="256" spans="1:9" x14ac:dyDescent="0.2">
      <c r="A256" s="14"/>
    </row>
    <row r="257" spans="1:10" x14ac:dyDescent="0.2">
      <c r="A257" s="14" t="s">
        <v>31</v>
      </c>
    </row>
    <row r="258" spans="1:10" x14ac:dyDescent="0.2">
      <c r="A258" s="14" t="s">
        <v>32</v>
      </c>
      <c r="B258" t="s">
        <v>365</v>
      </c>
      <c r="C258" t="s">
        <v>366</v>
      </c>
      <c r="E258" t="s">
        <v>10</v>
      </c>
      <c r="I258" t="s">
        <v>10</v>
      </c>
      <c r="J258" t="s">
        <v>10</v>
      </c>
    </row>
    <row r="259" spans="1:10" x14ac:dyDescent="0.2">
      <c r="A259" s="14" t="s">
        <v>33</v>
      </c>
      <c r="B259" t="s">
        <v>367</v>
      </c>
      <c r="C259" t="s">
        <v>370</v>
      </c>
      <c r="E259" t="s">
        <v>10</v>
      </c>
      <c r="F259" s="6" t="s">
        <v>10</v>
      </c>
    </row>
    <row r="260" spans="1:10" x14ac:dyDescent="0.2">
      <c r="A260" s="14"/>
      <c r="B260" t="s">
        <v>368</v>
      </c>
      <c r="C260" t="s">
        <v>369</v>
      </c>
      <c r="E260" t="s">
        <v>10</v>
      </c>
      <c r="F260" s="6" t="s">
        <v>10</v>
      </c>
    </row>
    <row r="261" spans="1:10" x14ac:dyDescent="0.2">
      <c r="A261" s="1"/>
    </row>
    <row r="262" spans="1:10" x14ac:dyDescent="0.2">
      <c r="A262" s="1"/>
    </row>
    <row r="263" spans="1:10" x14ac:dyDescent="0.2">
      <c r="A263" s="14" t="s">
        <v>31</v>
      </c>
    </row>
    <row r="264" spans="1:10" x14ac:dyDescent="0.2">
      <c r="A264" s="14" t="s">
        <v>32</v>
      </c>
      <c r="B264" t="s">
        <v>325</v>
      </c>
      <c r="C264" t="s">
        <v>163</v>
      </c>
      <c r="D264" t="s">
        <v>10</v>
      </c>
      <c r="E264" t="s">
        <v>10</v>
      </c>
    </row>
    <row r="265" spans="1:10" x14ac:dyDescent="0.2">
      <c r="A265" s="14" t="s">
        <v>33</v>
      </c>
      <c r="B265" t="s">
        <v>326</v>
      </c>
      <c r="C265" t="s">
        <v>327</v>
      </c>
      <c r="E265" t="s">
        <v>10</v>
      </c>
      <c r="F265" s="6" t="s">
        <v>10</v>
      </c>
    </row>
    <row r="266" spans="1:10" x14ac:dyDescent="0.2">
      <c r="A266" s="1"/>
    </row>
    <row r="267" spans="1:10" x14ac:dyDescent="0.2">
      <c r="A267" s="1"/>
    </row>
    <row r="268" spans="1:10" x14ac:dyDescent="0.2">
      <c r="A268" s="14" t="s">
        <v>31</v>
      </c>
      <c r="B268" t="s">
        <v>273</v>
      </c>
      <c r="C268" t="s">
        <v>274</v>
      </c>
      <c r="D268" t="s">
        <v>10</v>
      </c>
      <c r="E268" t="s">
        <v>10</v>
      </c>
    </row>
    <row r="269" spans="1:10" x14ac:dyDescent="0.2">
      <c r="A269" s="14" t="s">
        <v>32</v>
      </c>
      <c r="B269" t="s">
        <v>276</v>
      </c>
      <c r="C269" t="s">
        <v>275</v>
      </c>
      <c r="F269" s="6" t="s">
        <v>10</v>
      </c>
      <c r="G269" t="s">
        <v>10</v>
      </c>
      <c r="I269" t="s">
        <v>10</v>
      </c>
    </row>
    <row r="270" spans="1:10" x14ac:dyDescent="0.2">
      <c r="A270" s="14" t="s">
        <v>33</v>
      </c>
    </row>
    <row r="271" spans="1:10" x14ac:dyDescent="0.2">
      <c r="A271" s="14"/>
    </row>
    <row r="272" spans="1:10" x14ac:dyDescent="0.2">
      <c r="A272" s="14"/>
    </row>
    <row r="273" spans="1:9" x14ac:dyDescent="0.2">
      <c r="A273" s="14" t="s">
        <v>31</v>
      </c>
      <c r="B273" t="s">
        <v>277</v>
      </c>
      <c r="C273" t="s">
        <v>278</v>
      </c>
      <c r="D273" t="s">
        <v>10</v>
      </c>
      <c r="E273" t="s">
        <v>10</v>
      </c>
    </row>
    <row r="274" spans="1:9" x14ac:dyDescent="0.2">
      <c r="A274" s="14" t="s">
        <v>32</v>
      </c>
      <c r="B274" t="s">
        <v>279</v>
      </c>
      <c r="C274" t="s">
        <v>280</v>
      </c>
      <c r="E274" t="s">
        <v>10</v>
      </c>
      <c r="F274" s="6" t="s">
        <v>10</v>
      </c>
      <c r="G274" t="s">
        <v>10</v>
      </c>
      <c r="I274" t="s">
        <v>10</v>
      </c>
    </row>
    <row r="275" spans="1:9" x14ac:dyDescent="0.2">
      <c r="A275" s="14" t="s">
        <v>33</v>
      </c>
    </row>
    <row r="276" spans="1:9" x14ac:dyDescent="0.2">
      <c r="A276" s="14"/>
    </row>
    <row r="277" spans="1:9" x14ac:dyDescent="0.2">
      <c r="A277" s="14"/>
      <c r="B277" t="s">
        <v>297</v>
      </c>
      <c r="C277" t="s">
        <v>298</v>
      </c>
      <c r="I277" t="s">
        <v>10</v>
      </c>
    </row>
    <row r="278" spans="1:9" x14ac:dyDescent="0.2">
      <c r="A278" s="14" t="s">
        <v>296</v>
      </c>
    </row>
    <row r="279" spans="1:9" x14ac:dyDescent="0.2">
      <c r="A279" s="14"/>
    </row>
    <row r="280" spans="1:9" x14ac:dyDescent="0.2">
      <c r="A280" s="14"/>
    </row>
    <row r="281" spans="1:9" x14ac:dyDescent="0.2">
      <c r="A281" s="14" t="s">
        <v>31</v>
      </c>
      <c r="B281" t="s">
        <v>281</v>
      </c>
      <c r="C281" t="s">
        <v>282</v>
      </c>
      <c r="D281" t="s">
        <v>10</v>
      </c>
      <c r="E281" t="s">
        <v>10</v>
      </c>
      <c r="I281" t="s">
        <v>10</v>
      </c>
    </row>
    <row r="282" spans="1:9" x14ac:dyDescent="0.2">
      <c r="A282" s="14" t="s">
        <v>32</v>
      </c>
      <c r="B282" t="s">
        <v>283</v>
      </c>
      <c r="C282" t="s">
        <v>285</v>
      </c>
      <c r="E282" t="s">
        <v>10</v>
      </c>
      <c r="F282" s="6" t="s">
        <v>10</v>
      </c>
      <c r="G282" t="s">
        <v>10</v>
      </c>
    </row>
    <row r="283" spans="1:9" x14ac:dyDescent="0.2">
      <c r="A283" s="14" t="s">
        <v>33</v>
      </c>
      <c r="B283" t="s">
        <v>284</v>
      </c>
      <c r="C283" t="s">
        <v>286</v>
      </c>
      <c r="E283" t="s">
        <v>10</v>
      </c>
      <c r="F283" s="6" t="s">
        <v>10</v>
      </c>
    </row>
    <row r="284" spans="1:9" x14ac:dyDescent="0.2">
      <c r="A284" s="1"/>
    </row>
    <row r="285" spans="1:9" x14ac:dyDescent="0.2">
      <c r="A285" s="1"/>
    </row>
    <row r="286" spans="1:9" x14ac:dyDescent="0.2">
      <c r="A286" s="1"/>
      <c r="B286" t="s">
        <v>289</v>
      </c>
    </row>
    <row r="287" spans="1:9" x14ac:dyDescent="0.2">
      <c r="A287" s="14" t="s">
        <v>31</v>
      </c>
      <c r="B287" t="s">
        <v>287</v>
      </c>
      <c r="C287" t="s">
        <v>288</v>
      </c>
      <c r="D287" t="s">
        <v>10</v>
      </c>
      <c r="E287" t="s">
        <v>10</v>
      </c>
      <c r="I287" t="s">
        <v>10</v>
      </c>
    </row>
    <row r="288" spans="1:9" x14ac:dyDescent="0.2">
      <c r="A288" s="14" t="s">
        <v>32</v>
      </c>
      <c r="B288" t="s">
        <v>290</v>
      </c>
      <c r="C288" t="s">
        <v>291</v>
      </c>
      <c r="E288" t="s">
        <v>10</v>
      </c>
      <c r="F288" s="6" t="s">
        <v>10</v>
      </c>
      <c r="G288" t="s">
        <v>10</v>
      </c>
    </row>
    <row r="289" spans="1:10" x14ac:dyDescent="0.2">
      <c r="A289" s="14" t="s">
        <v>33</v>
      </c>
    </row>
    <row r="290" spans="1:10" x14ac:dyDescent="0.2">
      <c r="A290" s="14"/>
    </row>
    <row r="291" spans="1:10" x14ac:dyDescent="0.2">
      <c r="A291" s="14"/>
    </row>
    <row r="292" spans="1:10" x14ac:dyDescent="0.2">
      <c r="A292" s="14" t="s">
        <v>31</v>
      </c>
      <c r="B292" t="s">
        <v>292</v>
      </c>
      <c r="C292" t="s">
        <v>293</v>
      </c>
      <c r="D292" t="s">
        <v>10</v>
      </c>
      <c r="E292" t="s">
        <v>10</v>
      </c>
    </row>
    <row r="293" spans="1:10" x14ac:dyDescent="0.2">
      <c r="A293" s="14" t="s">
        <v>32</v>
      </c>
      <c r="B293" t="s">
        <v>294</v>
      </c>
      <c r="C293" t="s">
        <v>295</v>
      </c>
      <c r="E293" t="s">
        <v>10</v>
      </c>
      <c r="F293" s="6" t="s">
        <v>10</v>
      </c>
      <c r="G293" t="s">
        <v>10</v>
      </c>
    </row>
    <row r="294" spans="1:10" x14ac:dyDescent="0.2">
      <c r="A294" s="14" t="s">
        <v>33</v>
      </c>
    </row>
    <row r="295" spans="1:10" x14ac:dyDescent="0.2">
      <c r="A295" s="14"/>
    </row>
    <row r="296" spans="1:10" x14ac:dyDescent="0.2">
      <c r="A296" s="14"/>
    </row>
    <row r="297" spans="1:10" x14ac:dyDescent="0.2">
      <c r="A297" s="14" t="s">
        <v>31</v>
      </c>
      <c r="B297" t="s">
        <v>357</v>
      </c>
    </row>
    <row r="298" spans="1:10" x14ac:dyDescent="0.2">
      <c r="A298" s="14" t="s">
        <v>32</v>
      </c>
      <c r="B298" t="s">
        <v>355</v>
      </c>
      <c r="C298" t="s">
        <v>356</v>
      </c>
      <c r="E298" t="s">
        <v>10</v>
      </c>
      <c r="I298" t="s">
        <v>10</v>
      </c>
      <c r="J298" t="s">
        <v>10</v>
      </c>
    </row>
    <row r="299" spans="1:10" x14ac:dyDescent="0.2">
      <c r="A299" s="14" t="s">
        <v>33</v>
      </c>
      <c r="B299" t="s">
        <v>358</v>
      </c>
      <c r="C299" t="s">
        <v>359</v>
      </c>
      <c r="F299" s="6" t="s">
        <v>10</v>
      </c>
      <c r="G299" t="s">
        <v>10</v>
      </c>
    </row>
    <row r="300" spans="1:10" x14ac:dyDescent="0.2">
      <c r="A300" s="14"/>
    </row>
    <row r="301" spans="1:10" x14ac:dyDescent="0.2">
      <c r="A301" s="14"/>
    </row>
    <row r="302" spans="1:10" x14ac:dyDescent="0.2">
      <c r="A302" s="14" t="s">
        <v>31</v>
      </c>
      <c r="B302" t="s">
        <v>362</v>
      </c>
    </row>
    <row r="303" spans="1:10" x14ac:dyDescent="0.2">
      <c r="A303" s="14" t="s">
        <v>32</v>
      </c>
      <c r="B303" t="s">
        <v>360</v>
      </c>
      <c r="C303" t="s">
        <v>361</v>
      </c>
      <c r="E303" t="s">
        <v>10</v>
      </c>
      <c r="J303" t="s">
        <v>10</v>
      </c>
    </row>
    <row r="304" spans="1:10" x14ac:dyDescent="0.2">
      <c r="A304" s="14" t="s">
        <v>33</v>
      </c>
      <c r="B304" t="s">
        <v>363</v>
      </c>
      <c r="E304" t="s">
        <v>10</v>
      </c>
      <c r="F304" s="6" t="s">
        <v>364</v>
      </c>
      <c r="G304" t="s">
        <v>10</v>
      </c>
    </row>
    <row r="305" spans="1:10" x14ac:dyDescent="0.2">
      <c r="A305" s="1"/>
    </row>
    <row r="306" spans="1:10" x14ac:dyDescent="0.2">
      <c r="A306" s="1"/>
    </row>
    <row r="307" spans="1:10" x14ac:dyDescent="0.2">
      <c r="A307" s="14" t="s">
        <v>31</v>
      </c>
      <c r="B307" t="s">
        <v>299</v>
      </c>
      <c r="C307" t="s">
        <v>300</v>
      </c>
      <c r="D307" t="s">
        <v>10</v>
      </c>
      <c r="E307" t="s">
        <v>10</v>
      </c>
      <c r="I307" t="s">
        <v>10</v>
      </c>
    </row>
    <row r="308" spans="1:10" x14ac:dyDescent="0.2">
      <c r="A308" s="14" t="s">
        <v>32</v>
      </c>
      <c r="B308" t="s">
        <v>301</v>
      </c>
      <c r="C308" t="s">
        <v>302</v>
      </c>
      <c r="E308" t="s">
        <v>10</v>
      </c>
      <c r="F308" s="6" t="s">
        <v>10</v>
      </c>
      <c r="G308" t="s">
        <v>10</v>
      </c>
    </row>
    <row r="309" spans="1:10" x14ac:dyDescent="0.2">
      <c r="A309" s="14" t="s">
        <v>33</v>
      </c>
    </row>
    <row r="310" spans="1:10" x14ac:dyDescent="0.2">
      <c r="A310" s="1"/>
    </row>
    <row r="311" spans="1:10" x14ac:dyDescent="0.2">
      <c r="A311" s="23"/>
      <c r="B311" t="s">
        <v>156</v>
      </c>
    </row>
    <row r="312" spans="1:10" x14ac:dyDescent="0.2">
      <c r="A312" s="13"/>
    </row>
    <row r="317" spans="1:10" ht="112" x14ac:dyDescent="0.2">
      <c r="A317" s="1" t="s">
        <v>172</v>
      </c>
      <c r="C317" t="s">
        <v>176</v>
      </c>
      <c r="D317" s="2" t="s">
        <v>173</v>
      </c>
      <c r="E317" s="2" t="s">
        <v>1</v>
      </c>
      <c r="F317" s="7" t="s">
        <v>20</v>
      </c>
      <c r="G317" s="2" t="s">
        <v>90</v>
      </c>
      <c r="H317" s="2" t="s">
        <v>91</v>
      </c>
      <c r="I317" s="2" t="s">
        <v>23</v>
      </c>
      <c r="J317" s="2" t="s">
        <v>49</v>
      </c>
    </row>
    <row r="320" spans="1:10" x14ac:dyDescent="0.2">
      <c r="A320" t="s">
        <v>31</v>
      </c>
      <c r="B320" t="s">
        <v>174</v>
      </c>
      <c r="C320" t="s">
        <v>175</v>
      </c>
      <c r="D320" t="s">
        <v>10</v>
      </c>
      <c r="E320" t="s">
        <v>10</v>
      </c>
      <c r="F320" s="6" t="s">
        <v>10</v>
      </c>
      <c r="I320" t="s">
        <v>10</v>
      </c>
    </row>
    <row r="321" spans="1:10" ht="32" x14ac:dyDescent="0.2">
      <c r="A321" t="s">
        <v>32</v>
      </c>
      <c r="B321" s="2" t="s">
        <v>178</v>
      </c>
      <c r="C321" t="s">
        <v>177</v>
      </c>
      <c r="E321" t="s">
        <v>10</v>
      </c>
      <c r="F321" s="6" t="s">
        <v>10</v>
      </c>
    </row>
    <row r="322" spans="1:10" x14ac:dyDescent="0.2">
      <c r="A322" t="s">
        <v>33</v>
      </c>
    </row>
    <row r="325" spans="1:10" x14ac:dyDescent="0.2">
      <c r="A325" t="s">
        <v>31</v>
      </c>
      <c r="B325" t="s">
        <v>191</v>
      </c>
      <c r="C325" t="s">
        <v>192</v>
      </c>
      <c r="E325" t="s">
        <v>10</v>
      </c>
      <c r="J325" t="s">
        <v>10</v>
      </c>
    </row>
    <row r="326" spans="1:10" x14ac:dyDescent="0.2">
      <c r="A326" t="s">
        <v>32</v>
      </c>
      <c r="B326" t="s">
        <v>193</v>
      </c>
      <c r="C326" t="s">
        <v>194</v>
      </c>
      <c r="E326" t="s">
        <v>10</v>
      </c>
    </row>
    <row r="327" spans="1:10" x14ac:dyDescent="0.2">
      <c r="A327" t="s">
        <v>33</v>
      </c>
    </row>
    <row r="330" spans="1:10" x14ac:dyDescent="0.2">
      <c r="A330" t="s">
        <v>31</v>
      </c>
      <c r="B330" t="s">
        <v>179</v>
      </c>
      <c r="C330" t="s">
        <v>183</v>
      </c>
      <c r="I330" t="s">
        <v>10</v>
      </c>
      <c r="J330" t="s">
        <v>10</v>
      </c>
    </row>
    <row r="331" spans="1:10" ht="32" x14ac:dyDescent="0.2">
      <c r="A331" t="s">
        <v>32</v>
      </c>
      <c r="B331" s="2" t="s">
        <v>184</v>
      </c>
      <c r="C331" t="s">
        <v>180</v>
      </c>
      <c r="F331" s="6" t="s">
        <v>10</v>
      </c>
      <c r="G331" t="s">
        <v>10</v>
      </c>
      <c r="H331" t="s">
        <v>10</v>
      </c>
    </row>
    <row r="332" spans="1:10" x14ac:dyDescent="0.2">
      <c r="A332" t="s">
        <v>33</v>
      </c>
      <c r="B332" t="s">
        <v>181</v>
      </c>
      <c r="C332" t="s">
        <v>182</v>
      </c>
      <c r="F332" s="6" t="s">
        <v>10</v>
      </c>
      <c r="G332" t="s">
        <v>10</v>
      </c>
    </row>
    <row r="333" spans="1:10" x14ac:dyDescent="0.2">
      <c r="B333" t="s">
        <v>185</v>
      </c>
      <c r="C333" t="s">
        <v>186</v>
      </c>
      <c r="G333" t="s">
        <v>10</v>
      </c>
    </row>
    <row r="334" spans="1:10" x14ac:dyDescent="0.2">
      <c r="B334" t="s">
        <v>187</v>
      </c>
      <c r="C334" t="s">
        <v>188</v>
      </c>
      <c r="G334" t="s">
        <v>10</v>
      </c>
    </row>
    <row r="335" spans="1:10" ht="32" x14ac:dyDescent="0.2">
      <c r="B335" s="21" t="s">
        <v>190</v>
      </c>
      <c r="C335" t="s">
        <v>189</v>
      </c>
      <c r="G335" t="s">
        <v>10</v>
      </c>
    </row>
    <row r="336" spans="1:10" x14ac:dyDescent="0.2">
      <c r="B336" s="22"/>
    </row>
    <row r="337" spans="1:9" x14ac:dyDescent="0.2">
      <c r="B337" s="22"/>
    </row>
    <row r="338" spans="1:9" x14ac:dyDescent="0.2">
      <c r="B338" s="22"/>
    </row>
    <row r="339" spans="1:9" ht="48" x14ac:dyDescent="0.2">
      <c r="A339" t="s">
        <v>31</v>
      </c>
      <c r="B339" s="22" t="s">
        <v>217</v>
      </c>
      <c r="D339" t="s">
        <v>10</v>
      </c>
      <c r="E339" t="s">
        <v>10</v>
      </c>
      <c r="I339" s="17" t="s">
        <v>218</v>
      </c>
    </row>
    <row r="340" spans="1:9" x14ac:dyDescent="0.2">
      <c r="A340" t="s">
        <v>32</v>
      </c>
      <c r="B340" t="s">
        <v>213</v>
      </c>
      <c r="C340" t="s">
        <v>214</v>
      </c>
      <c r="E340" t="s">
        <v>10</v>
      </c>
      <c r="F340" s="6" t="s">
        <v>10</v>
      </c>
    </row>
    <row r="341" spans="1:9" ht="32" x14ac:dyDescent="0.2">
      <c r="A341" t="s">
        <v>33</v>
      </c>
      <c r="B341" t="s">
        <v>215</v>
      </c>
      <c r="C341" s="17" t="s">
        <v>216</v>
      </c>
      <c r="F341" s="6" t="s">
        <v>10</v>
      </c>
    </row>
    <row r="342" spans="1:9" ht="16" x14ac:dyDescent="0.2">
      <c r="B342" s="21" t="s">
        <v>219</v>
      </c>
      <c r="C342" s="22"/>
      <c r="E342" t="s">
        <v>10</v>
      </c>
    </row>
    <row r="346" spans="1:9" x14ac:dyDescent="0.2">
      <c r="A346" t="s">
        <v>31</v>
      </c>
      <c r="B346" t="s">
        <v>205</v>
      </c>
      <c r="C346" t="s">
        <v>206</v>
      </c>
      <c r="D346" t="s">
        <v>10</v>
      </c>
      <c r="I346" t="s">
        <v>10</v>
      </c>
    </row>
    <row r="347" spans="1:9" x14ac:dyDescent="0.2">
      <c r="A347" t="s">
        <v>32</v>
      </c>
      <c r="B347" t="s">
        <v>207</v>
      </c>
      <c r="C347" t="s">
        <v>208</v>
      </c>
      <c r="E347" t="s">
        <v>10</v>
      </c>
      <c r="F347" s="6" t="s">
        <v>10</v>
      </c>
      <c r="G347" t="s">
        <v>10</v>
      </c>
    </row>
    <row r="348" spans="1:9" x14ac:dyDescent="0.2">
      <c r="A348" t="s">
        <v>33</v>
      </c>
      <c r="B348" t="s">
        <v>209</v>
      </c>
      <c r="C348" t="s">
        <v>210</v>
      </c>
      <c r="G348" t="s">
        <v>10</v>
      </c>
    </row>
    <row r="349" spans="1:9" x14ac:dyDescent="0.2">
      <c r="B349" t="s">
        <v>211</v>
      </c>
      <c r="C349" t="s">
        <v>212</v>
      </c>
      <c r="G349" s="9"/>
    </row>
    <row r="353" spans="1:10" x14ac:dyDescent="0.2">
      <c r="A353" t="s">
        <v>31</v>
      </c>
      <c r="B353" t="s">
        <v>197</v>
      </c>
      <c r="D353" t="s">
        <v>10</v>
      </c>
      <c r="E353" t="s">
        <v>10</v>
      </c>
      <c r="I353" t="s">
        <v>10</v>
      </c>
    </row>
    <row r="354" spans="1:10" x14ac:dyDescent="0.2">
      <c r="A354" t="s">
        <v>32</v>
      </c>
      <c r="B354" t="s">
        <v>195</v>
      </c>
      <c r="C354" t="s">
        <v>196</v>
      </c>
      <c r="F354" s="6" t="s">
        <v>10</v>
      </c>
      <c r="G354" t="s">
        <v>10</v>
      </c>
    </row>
    <row r="355" spans="1:10" x14ac:dyDescent="0.2">
      <c r="A355" t="s">
        <v>33</v>
      </c>
      <c r="B355" t="s">
        <v>202</v>
      </c>
      <c r="C355" t="s">
        <v>198</v>
      </c>
      <c r="E355" t="s">
        <v>10</v>
      </c>
      <c r="F355" s="9"/>
      <c r="G355" t="s">
        <v>10</v>
      </c>
    </row>
    <row r="356" spans="1:10" x14ac:dyDescent="0.2">
      <c r="B356" t="s">
        <v>199</v>
      </c>
      <c r="C356" t="s">
        <v>200</v>
      </c>
      <c r="F356" s="9"/>
      <c r="G356" t="s">
        <v>10</v>
      </c>
    </row>
    <row r="357" spans="1:10" x14ac:dyDescent="0.2">
      <c r="B357" t="s">
        <v>201</v>
      </c>
      <c r="C357" t="s">
        <v>196</v>
      </c>
      <c r="G357" t="s">
        <v>10</v>
      </c>
    </row>
    <row r="358" spans="1:10" x14ac:dyDescent="0.2">
      <c r="B358" s="10" t="s">
        <v>203</v>
      </c>
      <c r="C358" t="s">
        <v>204</v>
      </c>
      <c r="E358" t="s">
        <v>10</v>
      </c>
      <c r="G358" t="s">
        <v>10</v>
      </c>
    </row>
    <row r="362" spans="1:10" x14ac:dyDescent="0.2">
      <c r="A362" t="s">
        <v>31</v>
      </c>
      <c r="B362" t="s">
        <v>220</v>
      </c>
      <c r="I362" t="s">
        <v>10</v>
      </c>
      <c r="J362" t="s">
        <v>10</v>
      </c>
    </row>
    <row r="363" spans="1:10" x14ac:dyDescent="0.2">
      <c r="A363" t="s">
        <v>32</v>
      </c>
      <c r="B363" t="s">
        <v>222</v>
      </c>
      <c r="C363" t="s">
        <v>221</v>
      </c>
      <c r="F363" s="6" t="s">
        <v>10</v>
      </c>
      <c r="H363" t="s">
        <v>10</v>
      </c>
    </row>
    <row r="364" spans="1:10" x14ac:dyDescent="0.2">
      <c r="A364" t="s">
        <v>33</v>
      </c>
      <c r="B364" t="s">
        <v>223</v>
      </c>
      <c r="C364" t="s">
        <v>224</v>
      </c>
      <c r="F364" s="9"/>
    </row>
    <row r="371" spans="1:10" ht="112" x14ac:dyDescent="0.2">
      <c r="A371" s="1" t="s">
        <v>225</v>
      </c>
      <c r="C371" t="s">
        <v>176</v>
      </c>
      <c r="D371" s="2" t="s">
        <v>173</v>
      </c>
      <c r="E371" s="2" t="s">
        <v>1</v>
      </c>
      <c r="F371" s="7" t="s">
        <v>20</v>
      </c>
      <c r="G371" s="2" t="s">
        <v>90</v>
      </c>
      <c r="H371" s="2" t="s">
        <v>91</v>
      </c>
      <c r="I371" s="2" t="s">
        <v>23</v>
      </c>
      <c r="J371" s="2" t="s">
        <v>49</v>
      </c>
    </row>
    <row r="372" spans="1:10" x14ac:dyDescent="0.2">
      <c r="D372" s="2"/>
      <c r="E372" s="2"/>
      <c r="F372" s="7"/>
      <c r="G372" s="2"/>
      <c r="H372" s="2"/>
      <c r="I372" s="2"/>
      <c r="J372" s="2"/>
    </row>
    <row r="373" spans="1:10" ht="16" x14ac:dyDescent="0.2">
      <c r="B373" t="s">
        <v>255</v>
      </c>
      <c r="C373" t="s">
        <v>252</v>
      </c>
      <c r="D373" s="2" t="s">
        <v>10</v>
      </c>
      <c r="E373" s="2"/>
      <c r="F373" s="7"/>
      <c r="G373" s="2"/>
      <c r="H373" s="2"/>
      <c r="I373" s="2" t="s">
        <v>10</v>
      </c>
      <c r="J373" s="2" t="s">
        <v>10</v>
      </c>
    </row>
    <row r="374" spans="1:10" ht="16" x14ac:dyDescent="0.2">
      <c r="A374" t="s">
        <v>31</v>
      </c>
      <c r="B374" t="s">
        <v>250</v>
      </c>
      <c r="C374" t="s">
        <v>251</v>
      </c>
      <c r="D374" s="2" t="s">
        <v>10</v>
      </c>
      <c r="E374" s="2" t="s">
        <v>10</v>
      </c>
      <c r="F374" s="7"/>
      <c r="G374" s="2"/>
      <c r="H374" s="2"/>
      <c r="I374" s="2" t="s">
        <v>10</v>
      </c>
      <c r="J374" s="2" t="s">
        <v>10</v>
      </c>
    </row>
    <row r="375" spans="1:10" ht="16" x14ac:dyDescent="0.2">
      <c r="A375" t="s">
        <v>32</v>
      </c>
      <c r="B375" s="10" t="s">
        <v>254</v>
      </c>
      <c r="C375" t="s">
        <v>253</v>
      </c>
      <c r="D375" s="2"/>
      <c r="E375" s="2"/>
      <c r="F375" s="7"/>
      <c r="G375" s="2" t="s">
        <v>10</v>
      </c>
      <c r="H375" s="2"/>
      <c r="I375" s="2"/>
      <c r="J375" s="2"/>
    </row>
    <row r="376" spans="1:10" x14ac:dyDescent="0.2">
      <c r="A376" t="s">
        <v>33</v>
      </c>
      <c r="B376" s="13"/>
      <c r="D376" s="2"/>
      <c r="E376" s="2"/>
      <c r="F376" s="7"/>
      <c r="G376" s="2"/>
      <c r="H376" s="2"/>
      <c r="I376" s="2"/>
      <c r="J376" s="2"/>
    </row>
    <row r="377" spans="1:10" x14ac:dyDescent="0.2">
      <c r="B377" s="13"/>
      <c r="D377" s="2"/>
      <c r="E377" s="2"/>
      <c r="F377" s="7"/>
      <c r="G377" s="2"/>
      <c r="H377" s="2"/>
      <c r="I377" s="2"/>
      <c r="J377" s="2"/>
    </row>
    <row r="378" spans="1:10" ht="16" x14ac:dyDescent="0.2">
      <c r="B378" s="13" t="s">
        <v>256</v>
      </c>
      <c r="C378" t="s">
        <v>257</v>
      </c>
      <c r="D378" s="2"/>
      <c r="E378" s="2"/>
      <c r="F378" s="7"/>
      <c r="G378" s="2"/>
      <c r="H378" s="2"/>
      <c r="I378" s="2" t="s">
        <v>10</v>
      </c>
      <c r="J378" s="2" t="s">
        <v>10</v>
      </c>
    </row>
    <row r="379" spans="1:10" ht="16" x14ac:dyDescent="0.2">
      <c r="A379" t="s">
        <v>31</v>
      </c>
      <c r="B379" s="13" t="s">
        <v>258</v>
      </c>
      <c r="C379" t="s">
        <v>259</v>
      </c>
      <c r="D379" s="2"/>
      <c r="E379" s="2"/>
      <c r="F379" s="7"/>
      <c r="G379" s="2"/>
      <c r="H379" s="2"/>
      <c r="I379" s="2" t="s">
        <v>10</v>
      </c>
      <c r="J379" s="2" t="s">
        <v>10</v>
      </c>
    </row>
    <row r="380" spans="1:10" ht="16" x14ac:dyDescent="0.2">
      <c r="A380" t="s">
        <v>32</v>
      </c>
      <c r="B380" s="13" t="s">
        <v>260</v>
      </c>
      <c r="C380" t="s">
        <v>261</v>
      </c>
      <c r="D380" s="2"/>
      <c r="E380" s="2"/>
      <c r="F380" s="7" t="s">
        <v>10</v>
      </c>
      <c r="G380" s="2" t="s">
        <v>10</v>
      </c>
      <c r="H380" s="2"/>
      <c r="I380" s="2"/>
      <c r="J380" s="2"/>
    </row>
    <row r="381" spans="1:10" ht="16" x14ac:dyDescent="0.2">
      <c r="A381" t="s">
        <v>33</v>
      </c>
      <c r="B381" s="13" t="s">
        <v>262</v>
      </c>
      <c r="C381" t="s">
        <v>263</v>
      </c>
      <c r="D381" s="2"/>
      <c r="E381" s="2"/>
      <c r="F381" s="7"/>
      <c r="G381" s="2" t="s">
        <v>10</v>
      </c>
      <c r="H381" s="2"/>
      <c r="I381" s="2"/>
      <c r="J381" s="2"/>
    </row>
    <row r="382" spans="1:10" ht="16" x14ac:dyDescent="0.2">
      <c r="B382" s="13" t="s">
        <v>264</v>
      </c>
      <c r="C382" t="s">
        <v>265</v>
      </c>
      <c r="D382" s="2"/>
      <c r="E382" s="2"/>
      <c r="F382" s="7"/>
      <c r="G382" s="2" t="s">
        <v>10</v>
      </c>
      <c r="H382" s="2"/>
      <c r="I382" s="2"/>
      <c r="J382" s="2"/>
    </row>
    <row r="383" spans="1:10" x14ac:dyDescent="0.2">
      <c r="D383" s="2"/>
      <c r="E383" s="2"/>
      <c r="F383" s="7"/>
      <c r="G383" s="2"/>
      <c r="H383" s="2"/>
      <c r="I383" s="2"/>
      <c r="J383" s="2"/>
    </row>
    <row r="385" spans="1:10" x14ac:dyDescent="0.2">
      <c r="B385" t="s">
        <v>241</v>
      </c>
      <c r="C385" t="s">
        <v>242</v>
      </c>
      <c r="D385" t="s">
        <v>10</v>
      </c>
      <c r="I385" t="s">
        <v>10</v>
      </c>
    </row>
    <row r="386" spans="1:10" x14ac:dyDescent="0.2">
      <c r="A386" t="s">
        <v>31</v>
      </c>
      <c r="B386" t="s">
        <v>229</v>
      </c>
      <c r="C386" t="s">
        <v>226</v>
      </c>
      <c r="D386" t="s">
        <v>10</v>
      </c>
      <c r="E386" t="s">
        <v>10</v>
      </c>
      <c r="I386" t="s">
        <v>10</v>
      </c>
      <c r="J386" t="s">
        <v>10</v>
      </c>
    </row>
    <row r="387" spans="1:10" x14ac:dyDescent="0.2">
      <c r="A387" t="s">
        <v>32</v>
      </c>
      <c r="B387" t="s">
        <v>227</v>
      </c>
      <c r="C387" t="s">
        <v>228</v>
      </c>
      <c r="F387" s="6" t="s">
        <v>10</v>
      </c>
      <c r="G387" s="9"/>
      <c r="H387" t="s">
        <v>10</v>
      </c>
    </row>
    <row r="388" spans="1:10" x14ac:dyDescent="0.2">
      <c r="A388" t="s">
        <v>33</v>
      </c>
      <c r="B388" t="s">
        <v>230</v>
      </c>
      <c r="C388" t="s">
        <v>231</v>
      </c>
      <c r="F388" s="9"/>
      <c r="G388" s="9"/>
    </row>
    <row r="389" spans="1:10" x14ac:dyDescent="0.2">
      <c r="B389" t="s">
        <v>232</v>
      </c>
      <c r="C389" t="s">
        <v>233</v>
      </c>
      <c r="E389" t="s">
        <v>10</v>
      </c>
      <c r="F389" s="9"/>
      <c r="G389" s="9"/>
    </row>
    <row r="390" spans="1:10" x14ac:dyDescent="0.2">
      <c r="B390" t="s">
        <v>234</v>
      </c>
      <c r="G390" s="9"/>
    </row>
    <row r="393" spans="1:10" x14ac:dyDescent="0.2">
      <c r="B393" s="16" t="s">
        <v>236</v>
      </c>
      <c r="C393" t="s">
        <v>239</v>
      </c>
      <c r="I393" t="s">
        <v>10</v>
      </c>
      <c r="J393" t="s">
        <v>10</v>
      </c>
    </row>
    <row r="394" spans="1:10" ht="32" x14ac:dyDescent="0.2">
      <c r="A394" t="s">
        <v>31</v>
      </c>
      <c r="B394" s="17" t="s">
        <v>238</v>
      </c>
      <c r="C394" t="s">
        <v>235</v>
      </c>
      <c r="D394" t="s">
        <v>10</v>
      </c>
      <c r="E394" t="s">
        <v>10</v>
      </c>
      <c r="I394" t="s">
        <v>10</v>
      </c>
      <c r="J394" t="s">
        <v>10</v>
      </c>
    </row>
    <row r="395" spans="1:10" x14ac:dyDescent="0.2">
      <c r="A395" t="s">
        <v>32</v>
      </c>
      <c r="B395" t="s">
        <v>237</v>
      </c>
      <c r="C395" t="s">
        <v>240</v>
      </c>
      <c r="E395" t="s">
        <v>10</v>
      </c>
      <c r="G395" s="9"/>
    </row>
    <row r="396" spans="1:10" x14ac:dyDescent="0.2">
      <c r="A396" t="s">
        <v>33</v>
      </c>
    </row>
    <row r="398" spans="1:10" x14ac:dyDescent="0.2">
      <c r="B398" t="s">
        <v>243</v>
      </c>
      <c r="C398" t="s">
        <v>244</v>
      </c>
      <c r="I398" t="s">
        <v>10</v>
      </c>
      <c r="J398" t="s">
        <v>10</v>
      </c>
    </row>
    <row r="399" spans="1:10" x14ac:dyDescent="0.2">
      <c r="A399" t="s">
        <v>31</v>
      </c>
      <c r="B399" t="s">
        <v>249</v>
      </c>
      <c r="D399" t="s">
        <v>10</v>
      </c>
      <c r="E399" t="s">
        <v>10</v>
      </c>
      <c r="I399" t="s">
        <v>10</v>
      </c>
      <c r="J399" t="s">
        <v>10</v>
      </c>
    </row>
    <row r="400" spans="1:10" x14ac:dyDescent="0.2">
      <c r="A400" t="s">
        <v>32</v>
      </c>
      <c r="B400" t="s">
        <v>248</v>
      </c>
      <c r="C400" t="s">
        <v>245</v>
      </c>
      <c r="E400" t="s">
        <v>10</v>
      </c>
      <c r="F400" s="6" t="s">
        <v>10</v>
      </c>
      <c r="G400" t="s">
        <v>10</v>
      </c>
    </row>
    <row r="401" spans="1:7" x14ac:dyDescent="0.2">
      <c r="A401" t="s">
        <v>33</v>
      </c>
      <c r="B401" s="10" t="s">
        <v>247</v>
      </c>
      <c r="C401" t="s">
        <v>246</v>
      </c>
      <c r="G401" t="s">
        <v>10</v>
      </c>
    </row>
    <row r="405" spans="1:7" x14ac:dyDescent="0.2">
      <c r="A405" t="s">
        <v>31</v>
      </c>
    </row>
    <row r="406" spans="1:7" x14ac:dyDescent="0.2">
      <c r="A406" t="s">
        <v>32</v>
      </c>
    </row>
    <row r="407" spans="1:7" x14ac:dyDescent="0.2">
      <c r="A407" t="s">
        <v>33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0BC55A-D8B0-4D07-A88F-99E836BD821F}">
  <dimension ref="A1:AP67"/>
  <sheetViews>
    <sheetView tabSelected="1" topLeftCell="A49" workbookViewId="0">
      <selection activeCell="AH44" sqref="AH44"/>
    </sheetView>
  </sheetViews>
  <sheetFormatPr baseColWidth="10" defaultRowHeight="15" x14ac:dyDescent="0.2"/>
  <cols>
    <col min="1" max="1" width="17.6640625" customWidth="1"/>
    <col min="2" max="2" width="32.1640625" customWidth="1"/>
    <col min="4" max="4" width="19.5" customWidth="1"/>
    <col min="5" max="5" width="14.33203125" customWidth="1"/>
    <col min="6" max="6" width="15.5" customWidth="1"/>
    <col min="7" max="7" width="15.1640625" customWidth="1"/>
    <col min="8" max="8" width="20.5" customWidth="1"/>
    <col min="9" max="9" width="14.5" customWidth="1"/>
    <col min="10" max="10" width="15.5" customWidth="1"/>
    <col min="11" max="11" width="14.33203125" customWidth="1"/>
    <col min="12" max="12" width="19.5" customWidth="1"/>
    <col min="13" max="13" width="14.83203125" customWidth="1"/>
    <col min="14" max="14" width="15.5" customWidth="1"/>
    <col min="15" max="15" width="14.5" customWidth="1"/>
    <col min="16" max="16" width="19.83203125" customWidth="1"/>
    <col min="17" max="17" width="16.1640625" customWidth="1"/>
    <col min="18" max="18" width="17" customWidth="1"/>
    <col min="19" max="19" width="16.5" customWidth="1"/>
    <col min="20" max="20" width="20.1640625" customWidth="1"/>
    <col min="21" max="21" width="17.5" customWidth="1"/>
    <col min="22" max="22" width="16.6640625" customWidth="1"/>
    <col min="23" max="23" width="15.6640625" customWidth="1"/>
    <col min="24" max="24" width="20.5" customWidth="1"/>
    <col min="25" max="25" width="17.1640625" customWidth="1"/>
    <col min="27" max="27" width="15.5" customWidth="1"/>
    <col min="28" max="28" width="18.5" customWidth="1"/>
    <col min="29" max="29" width="15.5" customWidth="1"/>
    <col min="30" max="30" width="15.83203125" customWidth="1"/>
    <col min="31" max="31" width="15" customWidth="1"/>
    <col min="32" max="34" width="13.6640625" customWidth="1"/>
    <col min="35" max="35" width="19.33203125" customWidth="1"/>
    <col min="36" max="36" width="14.83203125" customWidth="1"/>
    <col min="37" max="37" width="16.5" customWidth="1"/>
    <col min="38" max="38" width="14.1640625" customWidth="1"/>
    <col min="39" max="39" width="22.33203125" customWidth="1"/>
    <col min="40" max="40" width="16" customWidth="1"/>
    <col min="41" max="41" width="15.6640625" customWidth="1"/>
    <col min="42" max="42" width="14" customWidth="1"/>
  </cols>
  <sheetData>
    <row r="1" spans="1:42" ht="32.25" customHeight="1" x14ac:dyDescent="0.2">
      <c r="A1" s="1" t="s">
        <v>129</v>
      </c>
      <c r="D1" t="s">
        <v>24</v>
      </c>
      <c r="H1" t="s">
        <v>25</v>
      </c>
      <c r="L1" t="s">
        <v>387</v>
      </c>
      <c r="P1" t="s">
        <v>389</v>
      </c>
      <c r="T1" t="s">
        <v>26</v>
      </c>
      <c r="X1" t="s">
        <v>27</v>
      </c>
      <c r="AB1" t="s">
        <v>28</v>
      </c>
      <c r="AI1" t="s">
        <v>29</v>
      </c>
      <c r="AM1" s="2" t="s">
        <v>397</v>
      </c>
    </row>
    <row r="2" spans="1:42" ht="51.75" customHeight="1" x14ac:dyDescent="0.2">
      <c r="C2" s="13"/>
      <c r="G2">
        <v>11.2</v>
      </c>
      <c r="K2">
        <v>10.6</v>
      </c>
      <c r="L2" t="s">
        <v>388</v>
      </c>
      <c r="O2">
        <v>14.43</v>
      </c>
      <c r="P2" t="s">
        <v>390</v>
      </c>
      <c r="S2">
        <v>11.55</v>
      </c>
      <c r="T2" t="s">
        <v>391</v>
      </c>
      <c r="W2">
        <v>17.600000000000001</v>
      </c>
      <c r="X2" t="s">
        <v>392</v>
      </c>
      <c r="AA2">
        <v>5.5</v>
      </c>
      <c r="AB2" s="2" t="s">
        <v>394</v>
      </c>
      <c r="AE2">
        <v>0.5</v>
      </c>
      <c r="AH2" s="2"/>
      <c r="AI2" t="s">
        <v>396</v>
      </c>
      <c r="AL2">
        <v>15.2</v>
      </c>
      <c r="AM2" t="s">
        <v>396</v>
      </c>
      <c r="AP2">
        <v>8</v>
      </c>
    </row>
    <row r="3" spans="1:42" x14ac:dyDescent="0.2">
      <c r="A3" s="1" t="s">
        <v>176</v>
      </c>
      <c r="B3" s="1" t="s">
        <v>381</v>
      </c>
      <c r="C3" s="1" t="s">
        <v>382</v>
      </c>
      <c r="D3" s="14" t="s">
        <v>383</v>
      </c>
      <c r="E3" s="14" t="s">
        <v>384</v>
      </c>
      <c r="F3" s="14" t="s">
        <v>385</v>
      </c>
      <c r="G3" s="14" t="s">
        <v>386</v>
      </c>
      <c r="H3" s="14" t="s">
        <v>383</v>
      </c>
      <c r="I3" s="14" t="s">
        <v>384</v>
      </c>
      <c r="J3" s="14" t="s">
        <v>385</v>
      </c>
      <c r="K3" s="14" t="s">
        <v>386</v>
      </c>
      <c r="L3" s="14" t="s">
        <v>383</v>
      </c>
      <c r="M3" s="14" t="s">
        <v>384</v>
      </c>
      <c r="N3" s="14" t="s">
        <v>385</v>
      </c>
      <c r="O3" s="14" t="s">
        <v>386</v>
      </c>
      <c r="P3" s="14" t="s">
        <v>383</v>
      </c>
      <c r="Q3" s="14" t="s">
        <v>384</v>
      </c>
      <c r="R3" s="14" t="s">
        <v>385</v>
      </c>
      <c r="S3" s="14" t="s">
        <v>386</v>
      </c>
      <c r="T3" s="14" t="s">
        <v>383</v>
      </c>
      <c r="U3" s="14" t="s">
        <v>384</v>
      </c>
      <c r="V3" s="14" t="s">
        <v>385</v>
      </c>
      <c r="W3" s="14" t="s">
        <v>386</v>
      </c>
      <c r="X3" s="14" t="s">
        <v>383</v>
      </c>
      <c r="Y3" s="14" t="s">
        <v>384</v>
      </c>
      <c r="Z3" s="14" t="s">
        <v>393</v>
      </c>
      <c r="AA3" s="14" t="s">
        <v>386</v>
      </c>
      <c r="AB3" s="14" t="s">
        <v>383</v>
      </c>
      <c r="AC3" s="14" t="s">
        <v>384</v>
      </c>
      <c r="AD3" s="14" t="s">
        <v>385</v>
      </c>
      <c r="AE3" s="14" t="s">
        <v>386</v>
      </c>
      <c r="AF3" s="14" t="s">
        <v>395</v>
      </c>
      <c r="AG3" s="14" t="s">
        <v>549</v>
      </c>
      <c r="AH3" s="14" t="s">
        <v>551</v>
      </c>
      <c r="AI3" s="14" t="s">
        <v>383</v>
      </c>
      <c r="AJ3" s="14" t="s">
        <v>384</v>
      </c>
      <c r="AK3" s="14" t="s">
        <v>385</v>
      </c>
      <c r="AL3" s="14" t="s">
        <v>386</v>
      </c>
      <c r="AM3" s="14" t="s">
        <v>383</v>
      </c>
      <c r="AN3" s="14" t="s">
        <v>384</v>
      </c>
      <c r="AO3" s="14" t="s">
        <v>385</v>
      </c>
      <c r="AP3" s="14" t="s">
        <v>386</v>
      </c>
    </row>
    <row r="4" spans="1:42" x14ac:dyDescent="0.2">
      <c r="A4" s="14" t="s">
        <v>138</v>
      </c>
      <c r="B4" s="14" t="s">
        <v>137</v>
      </c>
      <c r="C4" s="14">
        <v>6</v>
      </c>
      <c r="D4" s="14">
        <v>7</v>
      </c>
      <c r="E4" s="14">
        <v>2</v>
      </c>
      <c r="F4" s="14">
        <v>56</v>
      </c>
      <c r="G4" s="14">
        <f>F4*G2</f>
        <v>627.19999999999993</v>
      </c>
      <c r="H4" s="14">
        <v>3</v>
      </c>
      <c r="I4" s="14">
        <v>1</v>
      </c>
      <c r="J4" s="14">
        <v>12</v>
      </c>
      <c r="K4" s="14">
        <f>J4*K2</f>
        <v>127.19999999999999</v>
      </c>
      <c r="L4" s="14"/>
      <c r="M4" s="14"/>
      <c r="N4" s="14"/>
      <c r="O4" s="14"/>
      <c r="P4" s="14">
        <v>1</v>
      </c>
      <c r="Q4" s="14">
        <v>1</v>
      </c>
      <c r="R4" s="14">
        <v>4</v>
      </c>
      <c r="S4" s="14">
        <f>R4*S2</f>
        <v>46.2</v>
      </c>
      <c r="T4" s="14">
        <v>3</v>
      </c>
      <c r="U4" s="14">
        <v>1</v>
      </c>
      <c r="V4" s="14">
        <v>12</v>
      </c>
      <c r="W4" s="14">
        <f>V4*W2</f>
        <v>211.20000000000002</v>
      </c>
      <c r="X4" s="14">
        <v>3</v>
      </c>
      <c r="Y4" s="14">
        <v>1</v>
      </c>
      <c r="Z4" s="14">
        <v>12</v>
      </c>
      <c r="AA4" s="14">
        <f>Z4*AA2</f>
        <v>66</v>
      </c>
      <c r="AB4" s="14">
        <v>1</v>
      </c>
      <c r="AC4" s="14">
        <v>1</v>
      </c>
      <c r="AD4" s="14">
        <v>4</v>
      </c>
      <c r="AE4" s="14">
        <f>AD4*AE2</f>
        <v>2</v>
      </c>
      <c r="AF4" s="14">
        <f>G4+K4+S4+W4+AA4+AE4</f>
        <v>1079.8</v>
      </c>
      <c r="AG4" s="14">
        <f>AF4-$AF$41</f>
        <v>-102.5600000000004</v>
      </c>
      <c r="AH4" s="14">
        <f>AG4^2</f>
        <v>10518.553600000083</v>
      </c>
      <c r="AI4" s="14">
        <v>3</v>
      </c>
      <c r="AJ4" s="14">
        <v>1</v>
      </c>
      <c r="AK4" s="14">
        <v>12</v>
      </c>
      <c r="AL4" s="14">
        <f>AK4*AL2</f>
        <v>182.39999999999998</v>
      </c>
      <c r="AM4" s="14">
        <v>1</v>
      </c>
      <c r="AN4" s="14">
        <v>1</v>
      </c>
      <c r="AO4" s="14">
        <v>4</v>
      </c>
      <c r="AP4" s="14">
        <f>AO4*AP2</f>
        <v>32</v>
      </c>
    </row>
    <row r="5" spans="1:42" x14ac:dyDescent="0.2">
      <c r="A5" s="14" t="s">
        <v>133</v>
      </c>
      <c r="B5" s="14" t="s">
        <v>445</v>
      </c>
      <c r="C5" s="14">
        <v>6</v>
      </c>
      <c r="D5" s="14">
        <v>3</v>
      </c>
      <c r="E5" s="14">
        <v>1</v>
      </c>
      <c r="F5" s="14">
        <v>12</v>
      </c>
      <c r="G5" s="14">
        <f>F5*G2</f>
        <v>134.39999999999998</v>
      </c>
      <c r="H5" s="14">
        <v>1</v>
      </c>
      <c r="I5" s="14">
        <v>1</v>
      </c>
      <c r="J5" s="14">
        <v>4</v>
      </c>
      <c r="K5" s="14">
        <f>J5*K2</f>
        <v>42.4</v>
      </c>
      <c r="L5" s="14">
        <v>2</v>
      </c>
      <c r="M5" s="14">
        <v>1</v>
      </c>
      <c r="N5" s="14">
        <v>8</v>
      </c>
      <c r="O5" s="14">
        <f>N5*O2</f>
        <v>115.44</v>
      </c>
      <c r="P5" s="14">
        <v>1</v>
      </c>
      <c r="Q5" s="14">
        <v>1</v>
      </c>
      <c r="R5" s="14">
        <v>4</v>
      </c>
      <c r="S5" s="14">
        <f>R5*S2</f>
        <v>46.2</v>
      </c>
      <c r="T5" s="14">
        <v>3</v>
      </c>
      <c r="U5" s="14">
        <v>1</v>
      </c>
      <c r="V5" s="14">
        <v>12</v>
      </c>
      <c r="W5" s="14">
        <f>V5*W2</f>
        <v>211.20000000000002</v>
      </c>
      <c r="X5" s="14">
        <v>5</v>
      </c>
      <c r="Y5" s="14">
        <v>1</v>
      </c>
      <c r="Z5" s="14">
        <v>20</v>
      </c>
      <c r="AA5" s="14">
        <f>Z5*AA2</f>
        <v>110</v>
      </c>
      <c r="AB5" s="14">
        <v>0</v>
      </c>
      <c r="AC5" s="14">
        <v>0</v>
      </c>
      <c r="AD5" s="14">
        <v>0</v>
      </c>
      <c r="AE5" s="14">
        <f>AD5*AE2</f>
        <v>0</v>
      </c>
      <c r="AF5" s="14">
        <f t="shared" ref="AF5:AF39" si="0">AE5+AA5+W5+S5+O5+K5+G5</f>
        <v>659.64</v>
      </c>
      <c r="AG5" s="14">
        <f t="shared" ref="AG5:AG39" si="1">AF5-$AF$41</f>
        <v>-522.72000000000037</v>
      </c>
      <c r="AH5" s="14">
        <f t="shared" ref="AH5:AH31" si="2">AG5^2</f>
        <v>273236.1984000004</v>
      </c>
      <c r="AI5" s="14">
        <v>2</v>
      </c>
      <c r="AJ5" s="14">
        <v>1</v>
      </c>
      <c r="AK5" s="14">
        <v>8</v>
      </c>
      <c r="AL5" s="14">
        <f>AK5*AL2</f>
        <v>121.6</v>
      </c>
      <c r="AM5" s="14">
        <v>1</v>
      </c>
      <c r="AN5" s="14">
        <v>1</v>
      </c>
      <c r="AO5" s="14">
        <v>4</v>
      </c>
      <c r="AP5" s="14">
        <f>AO5*AP2</f>
        <v>32</v>
      </c>
    </row>
    <row r="6" spans="1:42" x14ac:dyDescent="0.2">
      <c r="A6" s="14" t="s">
        <v>440</v>
      </c>
      <c r="B6" s="14" t="s">
        <v>441</v>
      </c>
      <c r="C6" s="14">
        <v>7</v>
      </c>
      <c r="D6" s="14">
        <v>7</v>
      </c>
      <c r="E6" s="14">
        <v>1</v>
      </c>
      <c r="F6" s="14">
        <v>28</v>
      </c>
      <c r="G6" s="14">
        <f>F6*G2</f>
        <v>313.59999999999997</v>
      </c>
      <c r="H6" s="14">
        <v>7</v>
      </c>
      <c r="I6" s="14">
        <v>1</v>
      </c>
      <c r="J6" s="14">
        <v>28</v>
      </c>
      <c r="K6" s="14">
        <f>J6*K2</f>
        <v>296.8</v>
      </c>
      <c r="L6" s="14">
        <v>1</v>
      </c>
      <c r="M6" s="14">
        <v>1</v>
      </c>
      <c r="N6" s="14">
        <v>4</v>
      </c>
      <c r="O6" s="14">
        <f>N6*O2</f>
        <v>57.72</v>
      </c>
      <c r="P6" s="14">
        <v>1</v>
      </c>
      <c r="Q6" s="14">
        <v>1</v>
      </c>
      <c r="R6" s="14">
        <v>4</v>
      </c>
      <c r="S6" s="14">
        <f>R6*S2</f>
        <v>46.2</v>
      </c>
      <c r="T6" s="14">
        <v>1</v>
      </c>
      <c r="U6" s="14">
        <v>1</v>
      </c>
      <c r="V6" s="14">
        <v>4</v>
      </c>
      <c r="W6" s="14">
        <f>V6*W2</f>
        <v>70.400000000000006</v>
      </c>
      <c r="X6" s="14">
        <v>7</v>
      </c>
      <c r="Y6" s="14">
        <v>1</v>
      </c>
      <c r="Z6" s="14">
        <v>28</v>
      </c>
      <c r="AA6" s="14">
        <f>Z6*AA2</f>
        <v>154</v>
      </c>
      <c r="AB6" s="14">
        <v>0</v>
      </c>
      <c r="AC6" s="14">
        <v>0</v>
      </c>
      <c r="AD6" s="14">
        <v>0</v>
      </c>
      <c r="AE6" s="14">
        <f>AD6*AE2</f>
        <v>0</v>
      </c>
      <c r="AF6" s="14">
        <f t="shared" si="0"/>
        <v>938.72</v>
      </c>
      <c r="AG6" s="14">
        <f t="shared" si="1"/>
        <v>-243.64000000000033</v>
      </c>
      <c r="AH6" s="14">
        <f t="shared" si="2"/>
        <v>59360.44960000016</v>
      </c>
      <c r="AI6" s="14">
        <v>2</v>
      </c>
      <c r="AJ6" s="14">
        <v>1</v>
      </c>
      <c r="AK6" s="14">
        <v>8</v>
      </c>
      <c r="AL6" s="14">
        <f>AK6*AL2</f>
        <v>121.6</v>
      </c>
      <c r="AM6" s="14">
        <v>2</v>
      </c>
      <c r="AN6" s="14">
        <v>1</v>
      </c>
      <c r="AO6" s="14">
        <v>8</v>
      </c>
      <c r="AP6" s="14">
        <f>AO6*AP2</f>
        <v>64</v>
      </c>
    </row>
    <row r="7" spans="1:42" x14ac:dyDescent="0.2">
      <c r="A7" s="14" t="s">
        <v>145</v>
      </c>
      <c r="B7" s="14" t="s">
        <v>144</v>
      </c>
      <c r="C7" s="14">
        <v>9</v>
      </c>
      <c r="D7" s="14">
        <v>7</v>
      </c>
      <c r="E7" s="14">
        <v>2</v>
      </c>
      <c r="F7" s="14">
        <v>56</v>
      </c>
      <c r="G7" s="14">
        <f>F7*G2</f>
        <v>627.19999999999993</v>
      </c>
      <c r="H7" s="14">
        <v>3</v>
      </c>
      <c r="I7" s="14">
        <v>1</v>
      </c>
      <c r="J7" s="14">
        <v>12</v>
      </c>
      <c r="K7" s="14">
        <f>J7*K2</f>
        <v>127.19999999999999</v>
      </c>
      <c r="L7" s="14">
        <v>3</v>
      </c>
      <c r="M7" s="14">
        <v>1</v>
      </c>
      <c r="N7" s="14">
        <v>12</v>
      </c>
      <c r="O7" s="14">
        <f>N7*O2</f>
        <v>173.16</v>
      </c>
      <c r="P7" s="14">
        <v>3</v>
      </c>
      <c r="Q7" s="14">
        <v>1</v>
      </c>
      <c r="R7" s="14">
        <v>12</v>
      </c>
      <c r="S7" s="14">
        <f>R7*S2</f>
        <v>138.60000000000002</v>
      </c>
      <c r="T7" s="14">
        <v>4</v>
      </c>
      <c r="U7" s="14">
        <v>1</v>
      </c>
      <c r="V7" s="14">
        <v>16</v>
      </c>
      <c r="W7" s="14">
        <f>V7*W2</f>
        <v>281.60000000000002</v>
      </c>
      <c r="X7" s="14">
        <v>3</v>
      </c>
      <c r="Y7" s="14">
        <v>1</v>
      </c>
      <c r="Z7" s="14">
        <v>12</v>
      </c>
      <c r="AA7" s="14">
        <f>Z7*AA2</f>
        <v>66</v>
      </c>
      <c r="AB7" s="14">
        <v>1</v>
      </c>
      <c r="AC7" s="14">
        <v>1</v>
      </c>
      <c r="AD7" s="14">
        <v>4</v>
      </c>
      <c r="AE7" s="14">
        <f>AD7*AE2</f>
        <v>2</v>
      </c>
      <c r="AF7" s="14">
        <f t="shared" si="0"/>
        <v>1415.7599999999998</v>
      </c>
      <c r="AG7" s="14">
        <f t="shared" si="1"/>
        <v>233.39999999999941</v>
      </c>
      <c r="AH7" s="14">
        <f t="shared" si="2"/>
        <v>54475.559999999721</v>
      </c>
      <c r="AI7" s="14">
        <v>2</v>
      </c>
      <c r="AJ7" s="14">
        <v>1</v>
      </c>
      <c r="AK7" s="14">
        <v>8</v>
      </c>
      <c r="AL7" s="14">
        <f>AK7*AL2</f>
        <v>121.6</v>
      </c>
      <c r="AM7" s="14">
        <v>1</v>
      </c>
      <c r="AN7" s="14">
        <v>1</v>
      </c>
      <c r="AO7" s="14">
        <v>4</v>
      </c>
      <c r="AP7" s="14">
        <f>AO7*AP2</f>
        <v>32</v>
      </c>
    </row>
    <row r="8" spans="1:42" x14ac:dyDescent="0.2">
      <c r="A8" s="14" t="s">
        <v>149</v>
      </c>
      <c r="B8" s="14" t="s">
        <v>148</v>
      </c>
      <c r="C8" s="14">
        <v>9</v>
      </c>
      <c r="D8" s="14">
        <v>7</v>
      </c>
      <c r="E8" s="14">
        <v>2</v>
      </c>
      <c r="F8" s="14">
        <v>56</v>
      </c>
      <c r="G8" s="14">
        <f>F8*G2</f>
        <v>627.19999999999993</v>
      </c>
      <c r="H8" s="14">
        <v>3</v>
      </c>
      <c r="I8" s="14">
        <v>1</v>
      </c>
      <c r="J8" s="14">
        <v>12</v>
      </c>
      <c r="K8" s="14">
        <f>J8*K2</f>
        <v>127.19999999999999</v>
      </c>
      <c r="L8" s="14">
        <v>2</v>
      </c>
      <c r="M8" s="14">
        <v>1</v>
      </c>
      <c r="N8" s="14">
        <v>8</v>
      </c>
      <c r="O8" s="14">
        <f>N8*O2</f>
        <v>115.44</v>
      </c>
      <c r="P8" s="14">
        <v>3</v>
      </c>
      <c r="Q8" s="14">
        <v>2</v>
      </c>
      <c r="R8" s="14">
        <v>24</v>
      </c>
      <c r="S8" s="14">
        <f>R8*S2</f>
        <v>277.20000000000005</v>
      </c>
      <c r="T8" s="14">
        <v>3</v>
      </c>
      <c r="U8" s="14">
        <v>2</v>
      </c>
      <c r="V8" s="14">
        <v>24</v>
      </c>
      <c r="W8" s="14">
        <f>V8*W2</f>
        <v>422.40000000000003</v>
      </c>
      <c r="X8" s="14">
        <v>4</v>
      </c>
      <c r="Y8" s="14">
        <v>1</v>
      </c>
      <c r="Z8" s="14">
        <v>16</v>
      </c>
      <c r="AA8" s="14">
        <f>Z8*AA2</f>
        <v>88</v>
      </c>
      <c r="AB8" s="14">
        <v>2</v>
      </c>
      <c r="AC8" s="14">
        <v>1</v>
      </c>
      <c r="AD8" s="14">
        <v>8</v>
      </c>
      <c r="AE8" s="14">
        <f>AD8*AE2</f>
        <v>4</v>
      </c>
      <c r="AF8" s="14">
        <f t="shared" si="0"/>
        <v>1661.44</v>
      </c>
      <c r="AG8" s="14">
        <f t="shared" si="1"/>
        <v>479.0799999999997</v>
      </c>
      <c r="AH8" s="14">
        <f t="shared" si="2"/>
        <v>229517.64639999971</v>
      </c>
      <c r="AI8" s="14">
        <v>3</v>
      </c>
      <c r="AJ8" s="14">
        <v>2</v>
      </c>
      <c r="AK8" s="14">
        <v>24</v>
      </c>
      <c r="AL8" s="14">
        <f>AK8*AL2</f>
        <v>364.79999999999995</v>
      </c>
      <c r="AM8" s="14">
        <v>2</v>
      </c>
      <c r="AN8" s="14">
        <v>1</v>
      </c>
      <c r="AO8" s="14">
        <v>8</v>
      </c>
      <c r="AP8" s="14">
        <f>AO8*AP2</f>
        <v>64</v>
      </c>
    </row>
    <row r="9" spans="1:42" x14ac:dyDescent="0.2">
      <c r="A9" s="14" t="s">
        <v>438</v>
      </c>
      <c r="B9" s="14" t="s">
        <v>439</v>
      </c>
      <c r="C9" s="14">
        <v>9</v>
      </c>
      <c r="D9" s="14">
        <v>4</v>
      </c>
      <c r="E9" s="14">
        <v>1</v>
      </c>
      <c r="F9" s="14">
        <v>16</v>
      </c>
      <c r="G9" s="14">
        <f>F9*G2</f>
        <v>179.2</v>
      </c>
      <c r="H9" s="14">
        <v>3</v>
      </c>
      <c r="I9" s="14">
        <v>1</v>
      </c>
      <c r="J9" s="14">
        <v>12</v>
      </c>
      <c r="K9" s="14">
        <f>J9*K2</f>
        <v>127.19999999999999</v>
      </c>
      <c r="L9" s="14">
        <v>2</v>
      </c>
      <c r="M9" s="14">
        <v>1</v>
      </c>
      <c r="N9" s="14">
        <v>8</v>
      </c>
      <c r="O9" s="14">
        <f>N9*O2</f>
        <v>115.44</v>
      </c>
      <c r="P9" s="14">
        <v>4</v>
      </c>
      <c r="Q9" s="14">
        <v>1</v>
      </c>
      <c r="R9" s="14">
        <v>16</v>
      </c>
      <c r="S9" s="14">
        <f>R9*S2</f>
        <v>184.8</v>
      </c>
      <c r="T9" s="14">
        <v>4</v>
      </c>
      <c r="U9" s="14">
        <v>1</v>
      </c>
      <c r="V9" s="14">
        <v>16</v>
      </c>
      <c r="W9" s="14">
        <f>V9*W2</f>
        <v>281.60000000000002</v>
      </c>
      <c r="X9" s="14">
        <v>5</v>
      </c>
      <c r="Y9" s="14">
        <v>2</v>
      </c>
      <c r="Z9" s="14">
        <v>40</v>
      </c>
      <c r="AA9" s="14">
        <f>Z9*AA2</f>
        <v>220</v>
      </c>
      <c r="AB9" s="14">
        <v>2</v>
      </c>
      <c r="AC9" s="14">
        <v>1</v>
      </c>
      <c r="AD9" s="14">
        <v>8</v>
      </c>
      <c r="AE9" s="14">
        <f>AD9*AE2</f>
        <v>4</v>
      </c>
      <c r="AF9" s="14">
        <f t="shared" si="0"/>
        <v>1112.2400000000002</v>
      </c>
      <c r="AG9" s="14">
        <f t="shared" si="1"/>
        <v>-70.120000000000118</v>
      </c>
      <c r="AH9" s="14">
        <f t="shared" si="2"/>
        <v>4916.8144000000166</v>
      </c>
      <c r="AI9" s="14">
        <v>5</v>
      </c>
      <c r="AJ9" s="14">
        <v>2</v>
      </c>
      <c r="AK9" s="14">
        <v>40</v>
      </c>
      <c r="AL9" s="14">
        <f>AK9*AL2</f>
        <v>608</v>
      </c>
      <c r="AM9" s="14">
        <v>2</v>
      </c>
      <c r="AN9" s="14">
        <v>1</v>
      </c>
      <c r="AO9" s="14">
        <v>8</v>
      </c>
      <c r="AP9" s="14">
        <f>AO9*AP2</f>
        <v>64</v>
      </c>
    </row>
    <row r="10" spans="1:42" x14ac:dyDescent="0.2">
      <c r="A10" s="14" t="s">
        <v>434</v>
      </c>
      <c r="B10" s="14" t="s">
        <v>437</v>
      </c>
      <c r="C10" s="14">
        <v>6</v>
      </c>
      <c r="D10" s="14">
        <v>7</v>
      </c>
      <c r="E10" s="14">
        <v>2</v>
      </c>
      <c r="F10" s="14">
        <v>56</v>
      </c>
      <c r="G10" s="14">
        <f>F10*G2</f>
        <v>627.19999999999993</v>
      </c>
      <c r="H10" s="14">
        <v>2</v>
      </c>
      <c r="I10" s="14">
        <v>1</v>
      </c>
      <c r="J10" s="14">
        <v>8</v>
      </c>
      <c r="K10" s="14">
        <f>J10*K2</f>
        <v>84.8</v>
      </c>
      <c r="L10" s="14">
        <v>1</v>
      </c>
      <c r="M10" s="14">
        <v>1</v>
      </c>
      <c r="N10" s="14">
        <v>4</v>
      </c>
      <c r="O10" s="14">
        <f>N10*O2</f>
        <v>57.72</v>
      </c>
      <c r="P10" s="14">
        <v>2</v>
      </c>
      <c r="Q10" s="14">
        <v>1</v>
      </c>
      <c r="R10" s="14">
        <v>8</v>
      </c>
      <c r="S10" s="14">
        <f>R10*S2</f>
        <v>92.4</v>
      </c>
      <c r="T10" s="14">
        <v>6</v>
      </c>
      <c r="U10" s="14">
        <v>1</v>
      </c>
      <c r="V10" s="14">
        <v>24</v>
      </c>
      <c r="W10" s="14">
        <f>V10*W2</f>
        <v>422.40000000000003</v>
      </c>
      <c r="X10" s="14">
        <v>6</v>
      </c>
      <c r="Y10" s="14">
        <v>1</v>
      </c>
      <c r="Z10" s="14">
        <v>24</v>
      </c>
      <c r="AA10" s="14">
        <f>Z10*AA2</f>
        <v>132</v>
      </c>
      <c r="AB10" s="14">
        <v>1</v>
      </c>
      <c r="AC10" s="14">
        <v>1</v>
      </c>
      <c r="AD10" s="14">
        <v>4</v>
      </c>
      <c r="AE10" s="14">
        <f>AD10*AE2</f>
        <v>2</v>
      </c>
      <c r="AF10" s="14">
        <f t="shared" si="0"/>
        <v>1418.52</v>
      </c>
      <c r="AG10" s="14">
        <f t="shared" si="1"/>
        <v>236.15999999999963</v>
      </c>
      <c r="AH10" s="14">
        <f>AG10^2</f>
        <v>55771.545599999823</v>
      </c>
      <c r="AI10" s="14">
        <v>5</v>
      </c>
      <c r="AJ10" s="14">
        <v>1</v>
      </c>
      <c r="AK10" s="14">
        <v>20</v>
      </c>
      <c r="AL10" s="14">
        <f>AK10*AL2</f>
        <v>304</v>
      </c>
      <c r="AM10" s="14">
        <v>2</v>
      </c>
      <c r="AN10" s="14">
        <v>5</v>
      </c>
      <c r="AO10" s="14">
        <v>40</v>
      </c>
      <c r="AP10" s="14">
        <f>AO10*AP2</f>
        <v>320</v>
      </c>
    </row>
    <row r="11" spans="1:42" x14ac:dyDescent="0.2">
      <c r="A11" s="14" t="s">
        <v>165</v>
      </c>
      <c r="B11" s="14" t="s">
        <v>164</v>
      </c>
      <c r="C11" s="14">
        <v>9</v>
      </c>
      <c r="D11" s="14">
        <v>2</v>
      </c>
      <c r="E11" s="14">
        <v>2</v>
      </c>
      <c r="F11" s="14">
        <v>16</v>
      </c>
      <c r="G11" s="14">
        <f>F11*G2</f>
        <v>179.2</v>
      </c>
      <c r="H11" s="14">
        <v>1</v>
      </c>
      <c r="I11" s="14">
        <v>1</v>
      </c>
      <c r="J11" s="14">
        <v>4</v>
      </c>
      <c r="K11" s="14">
        <f>J11*K2</f>
        <v>42.4</v>
      </c>
      <c r="L11" s="14"/>
      <c r="M11" s="14"/>
      <c r="N11" s="14"/>
      <c r="O11" s="14"/>
      <c r="P11" s="14"/>
      <c r="Q11" s="14"/>
      <c r="R11" s="14"/>
      <c r="S11" s="14"/>
      <c r="T11" s="14">
        <v>4</v>
      </c>
      <c r="U11" s="14">
        <v>4</v>
      </c>
      <c r="V11" s="14">
        <v>64</v>
      </c>
      <c r="W11" s="14">
        <f>V11*W2</f>
        <v>1126.4000000000001</v>
      </c>
      <c r="X11" s="14">
        <v>3</v>
      </c>
      <c r="Y11" s="14">
        <v>3</v>
      </c>
      <c r="Z11" s="14">
        <v>36</v>
      </c>
      <c r="AA11" s="14">
        <f>Z11*AA2</f>
        <v>198</v>
      </c>
      <c r="AB11" s="14">
        <v>1</v>
      </c>
      <c r="AC11" s="14">
        <v>1</v>
      </c>
      <c r="AD11" s="14">
        <v>4</v>
      </c>
      <c r="AE11" s="14">
        <f>AD11*AE2</f>
        <v>2</v>
      </c>
      <c r="AF11" s="14">
        <f t="shared" si="0"/>
        <v>1548.0000000000002</v>
      </c>
      <c r="AG11" s="14">
        <f t="shared" si="1"/>
        <v>365.63999999999987</v>
      </c>
      <c r="AH11" s="14">
        <f t="shared" si="2"/>
        <v>133692.60959999991</v>
      </c>
      <c r="AI11" s="14">
        <v>6</v>
      </c>
      <c r="AJ11" s="14">
        <v>1</v>
      </c>
      <c r="AK11" s="14">
        <v>24</v>
      </c>
      <c r="AL11" s="14">
        <f>AK11*AL2</f>
        <v>364.79999999999995</v>
      </c>
      <c r="AM11" s="14">
        <v>2</v>
      </c>
      <c r="AN11" s="14">
        <v>1</v>
      </c>
      <c r="AO11" s="14">
        <v>8</v>
      </c>
      <c r="AP11" s="14">
        <f>AO11*AP2</f>
        <v>64</v>
      </c>
    </row>
    <row r="12" spans="1:42" x14ac:dyDescent="0.2">
      <c r="A12" s="14" t="s">
        <v>442</v>
      </c>
      <c r="B12" s="14" t="s">
        <v>444</v>
      </c>
      <c r="C12" s="14">
        <v>6</v>
      </c>
      <c r="D12" s="14">
        <v>7</v>
      </c>
      <c r="E12" s="14">
        <v>2</v>
      </c>
      <c r="F12" s="14">
        <v>56</v>
      </c>
      <c r="G12" s="14">
        <f>F12*G2</f>
        <v>627.19999999999993</v>
      </c>
      <c r="H12" s="14">
        <v>5</v>
      </c>
      <c r="I12" s="14">
        <v>1</v>
      </c>
      <c r="J12" s="14">
        <v>40</v>
      </c>
      <c r="K12" s="14">
        <f>J12*K2</f>
        <v>424</v>
      </c>
      <c r="L12" s="14">
        <v>1</v>
      </c>
      <c r="M12" s="14">
        <v>1</v>
      </c>
      <c r="N12" s="14">
        <v>4</v>
      </c>
      <c r="O12" s="14">
        <f>N12*O2</f>
        <v>57.72</v>
      </c>
      <c r="P12" s="14">
        <v>2</v>
      </c>
      <c r="Q12" s="14">
        <v>1</v>
      </c>
      <c r="R12" s="14">
        <v>8</v>
      </c>
      <c r="S12" s="14">
        <f>R12*S2</f>
        <v>92.4</v>
      </c>
      <c r="T12" s="14">
        <v>3</v>
      </c>
      <c r="U12" s="14">
        <v>1</v>
      </c>
      <c r="V12" s="14">
        <v>12</v>
      </c>
      <c r="W12" s="14">
        <f>V12*W2</f>
        <v>211.20000000000002</v>
      </c>
      <c r="X12" s="14">
        <v>5</v>
      </c>
      <c r="Y12" s="14">
        <v>1</v>
      </c>
      <c r="Z12" s="14">
        <v>40</v>
      </c>
      <c r="AA12" s="14">
        <f>Z12*AA2</f>
        <v>220</v>
      </c>
      <c r="AB12" s="14">
        <v>2</v>
      </c>
      <c r="AC12" s="14">
        <v>1</v>
      </c>
      <c r="AD12" s="14">
        <v>8</v>
      </c>
      <c r="AE12" s="14">
        <f>AD12*AE2</f>
        <v>4</v>
      </c>
      <c r="AF12" s="14">
        <f t="shared" si="0"/>
        <v>1636.52</v>
      </c>
      <c r="AG12" s="14">
        <f t="shared" si="1"/>
        <v>454.15999999999963</v>
      </c>
      <c r="AH12" s="14">
        <f t="shared" si="2"/>
        <v>206261.30559999967</v>
      </c>
      <c r="AI12" s="14"/>
      <c r="AJ12" s="14"/>
      <c r="AK12" s="14"/>
      <c r="AL12" s="14"/>
      <c r="AM12" s="14"/>
      <c r="AN12" s="14"/>
      <c r="AO12" s="14"/>
      <c r="AP12" s="14"/>
    </row>
    <row r="13" spans="1:42" x14ac:dyDescent="0.2">
      <c r="A13" s="14" t="s">
        <v>435</v>
      </c>
      <c r="B13" s="14" t="s">
        <v>436</v>
      </c>
      <c r="C13" s="14">
        <v>9</v>
      </c>
      <c r="D13" s="14"/>
      <c r="E13" s="14"/>
      <c r="F13" s="14"/>
      <c r="G13" s="14"/>
      <c r="H13" s="14"/>
      <c r="I13" s="14"/>
      <c r="J13" s="14"/>
      <c r="K13" s="14"/>
      <c r="L13" s="14"/>
      <c r="M13" s="14"/>
      <c r="N13" s="14"/>
      <c r="O13" s="14"/>
      <c r="P13" s="14">
        <v>2</v>
      </c>
      <c r="Q13" s="14">
        <v>1</v>
      </c>
      <c r="R13" s="14">
        <v>8</v>
      </c>
      <c r="S13" s="14">
        <f>R13*S2</f>
        <v>92.4</v>
      </c>
      <c r="T13" s="14"/>
      <c r="U13" s="14"/>
      <c r="V13" s="14"/>
      <c r="W13" s="14"/>
      <c r="X13" s="14">
        <v>5</v>
      </c>
      <c r="Y13" s="14">
        <v>1</v>
      </c>
      <c r="Z13" s="14">
        <v>20</v>
      </c>
      <c r="AA13" s="14">
        <f>Z13*AA2</f>
        <v>110</v>
      </c>
      <c r="AB13" s="14"/>
      <c r="AC13" s="14"/>
      <c r="AD13" s="14"/>
      <c r="AE13" s="14"/>
      <c r="AF13" s="14">
        <f t="shared" si="0"/>
        <v>202.4</v>
      </c>
      <c r="AG13" s="14">
        <f t="shared" si="1"/>
        <v>-979.96000000000038</v>
      </c>
      <c r="AH13" s="14">
        <f t="shared" si="2"/>
        <v>960321.60160000075</v>
      </c>
      <c r="AI13" s="14">
        <v>5</v>
      </c>
      <c r="AJ13" s="14">
        <v>1</v>
      </c>
      <c r="AK13" s="14">
        <v>20</v>
      </c>
      <c r="AL13" s="14">
        <f>AK13*AL2</f>
        <v>304</v>
      </c>
      <c r="AM13" s="14">
        <v>2</v>
      </c>
      <c r="AN13" s="14">
        <v>1</v>
      </c>
      <c r="AO13" s="14">
        <v>8</v>
      </c>
      <c r="AP13" s="14">
        <f>AO13*AP2</f>
        <v>64</v>
      </c>
    </row>
    <row r="14" spans="1:42" x14ac:dyDescent="0.2">
      <c r="A14" s="14" t="s">
        <v>399</v>
      </c>
      <c r="B14" s="14" t="s">
        <v>322</v>
      </c>
      <c r="C14" s="14">
        <v>7</v>
      </c>
      <c r="D14" s="14">
        <v>7</v>
      </c>
      <c r="E14" s="14">
        <v>3</v>
      </c>
      <c r="F14" s="14">
        <v>84</v>
      </c>
      <c r="G14" s="14">
        <f>F14*G2</f>
        <v>940.8</v>
      </c>
      <c r="H14" s="14">
        <v>5</v>
      </c>
      <c r="I14" s="14">
        <v>1</v>
      </c>
      <c r="J14" s="14">
        <v>20</v>
      </c>
      <c r="K14" s="14">
        <f>J14*K2</f>
        <v>212</v>
      </c>
      <c r="L14" s="14">
        <v>1</v>
      </c>
      <c r="M14" s="14">
        <v>1</v>
      </c>
      <c r="N14" s="14">
        <v>4</v>
      </c>
      <c r="O14" s="14">
        <f>N14*O2</f>
        <v>57.72</v>
      </c>
      <c r="P14" s="14">
        <v>4</v>
      </c>
      <c r="Q14" s="14">
        <v>1</v>
      </c>
      <c r="R14" s="14">
        <v>16</v>
      </c>
      <c r="S14" s="14">
        <f>R14*S2</f>
        <v>184.8</v>
      </c>
      <c r="T14" s="14">
        <v>3</v>
      </c>
      <c r="U14" s="14">
        <v>1</v>
      </c>
      <c r="V14" s="14">
        <v>12</v>
      </c>
      <c r="W14" s="14">
        <f>V14*W2</f>
        <v>211.20000000000002</v>
      </c>
      <c r="X14" s="14">
        <v>3</v>
      </c>
      <c r="Y14" s="14">
        <v>1</v>
      </c>
      <c r="Z14" s="14">
        <v>12</v>
      </c>
      <c r="AA14" s="14">
        <f>Z14*AA2</f>
        <v>66</v>
      </c>
      <c r="AB14" s="14">
        <v>2</v>
      </c>
      <c r="AC14" s="14">
        <v>1</v>
      </c>
      <c r="AD14" s="14">
        <v>8</v>
      </c>
      <c r="AE14" s="14">
        <f>AD14*AE2</f>
        <v>4</v>
      </c>
      <c r="AF14" s="14">
        <f t="shared" si="0"/>
        <v>1676.52</v>
      </c>
      <c r="AG14" s="14">
        <f t="shared" si="1"/>
        <v>494.15999999999963</v>
      </c>
      <c r="AH14" s="14">
        <f t="shared" si="2"/>
        <v>244194.10559999963</v>
      </c>
      <c r="AI14" s="14">
        <v>6</v>
      </c>
      <c r="AJ14" s="14">
        <v>1</v>
      </c>
      <c r="AK14" s="14">
        <v>24</v>
      </c>
      <c r="AL14" s="14">
        <f>AK14*AL2</f>
        <v>364.79999999999995</v>
      </c>
      <c r="AM14" s="14">
        <v>4</v>
      </c>
      <c r="AN14" s="14">
        <v>1</v>
      </c>
      <c r="AO14" s="14">
        <v>16</v>
      </c>
      <c r="AP14" s="14">
        <f>AO14*AP2</f>
        <v>128</v>
      </c>
    </row>
    <row r="15" spans="1:42" x14ac:dyDescent="0.2">
      <c r="A15" s="14" t="s">
        <v>331</v>
      </c>
      <c r="B15" s="14" t="s">
        <v>405</v>
      </c>
      <c r="C15" s="14">
        <v>10</v>
      </c>
      <c r="D15" s="14">
        <v>7</v>
      </c>
      <c r="E15" s="14">
        <v>2</v>
      </c>
      <c r="F15" s="14">
        <v>56</v>
      </c>
      <c r="G15" s="14">
        <f>F15*G2</f>
        <v>627.19999999999993</v>
      </c>
      <c r="H15" s="14">
        <v>5</v>
      </c>
      <c r="I15" s="14">
        <v>1</v>
      </c>
      <c r="J15" s="14">
        <v>20</v>
      </c>
      <c r="K15" s="14">
        <f>J15*K2</f>
        <v>212</v>
      </c>
      <c r="L15" s="14">
        <v>3</v>
      </c>
      <c r="M15" s="14">
        <v>1</v>
      </c>
      <c r="N15" s="14">
        <v>12</v>
      </c>
      <c r="O15" s="14">
        <f>N15*O2</f>
        <v>173.16</v>
      </c>
      <c r="P15" s="14">
        <v>2</v>
      </c>
      <c r="Q15" s="14">
        <v>1</v>
      </c>
      <c r="R15" s="14">
        <v>8</v>
      </c>
      <c r="S15" s="14">
        <f>R15*S2</f>
        <v>92.4</v>
      </c>
      <c r="T15" s="14">
        <v>3</v>
      </c>
      <c r="U15" s="14">
        <v>2</v>
      </c>
      <c r="V15" s="14">
        <v>24</v>
      </c>
      <c r="W15" s="14">
        <f>V15*W2</f>
        <v>422.40000000000003</v>
      </c>
      <c r="X15" s="14">
        <v>3</v>
      </c>
      <c r="Y15" s="14">
        <v>3</v>
      </c>
      <c r="Z15" s="14">
        <v>36</v>
      </c>
      <c r="AA15" s="14">
        <f>Z15*AA2</f>
        <v>198</v>
      </c>
      <c r="AB15" s="14">
        <v>3</v>
      </c>
      <c r="AC15" s="14">
        <v>1</v>
      </c>
      <c r="AD15" s="14">
        <v>12</v>
      </c>
      <c r="AE15" s="14">
        <f>AD15*AE2</f>
        <v>6</v>
      </c>
      <c r="AF15" s="14">
        <f t="shared" si="0"/>
        <v>1731.1599999999999</v>
      </c>
      <c r="AG15" s="14">
        <f t="shared" si="1"/>
        <v>548.7999999999995</v>
      </c>
      <c r="AH15" s="14">
        <f t="shared" si="2"/>
        <v>301181.43999999948</v>
      </c>
      <c r="AI15" s="14">
        <v>7</v>
      </c>
      <c r="AJ15" s="14">
        <v>1</v>
      </c>
      <c r="AK15" s="14">
        <v>28</v>
      </c>
      <c r="AL15" s="14">
        <f>AK15*AL2</f>
        <v>425.59999999999997</v>
      </c>
      <c r="AM15" s="14">
        <v>5</v>
      </c>
      <c r="AN15" s="14">
        <v>1</v>
      </c>
      <c r="AO15" s="14">
        <v>20</v>
      </c>
      <c r="AP15" s="14">
        <f>AO15*AP2</f>
        <v>160</v>
      </c>
    </row>
    <row r="16" spans="1:42" x14ac:dyDescent="0.2">
      <c r="A16" s="14" t="s">
        <v>407</v>
      </c>
      <c r="B16" s="14" t="s">
        <v>408</v>
      </c>
      <c r="C16" s="14">
        <v>7</v>
      </c>
      <c r="D16" s="14">
        <v>7</v>
      </c>
      <c r="E16" s="14">
        <v>2</v>
      </c>
      <c r="F16" s="14">
        <v>56</v>
      </c>
      <c r="G16" s="14">
        <f>F16*G2</f>
        <v>627.19999999999993</v>
      </c>
      <c r="H16" s="14">
        <v>5</v>
      </c>
      <c r="I16" s="14">
        <v>1</v>
      </c>
      <c r="J16" s="14">
        <v>20</v>
      </c>
      <c r="K16" s="14">
        <f>J16*K2</f>
        <v>212</v>
      </c>
      <c r="L16" s="14">
        <v>3</v>
      </c>
      <c r="M16" s="14">
        <v>1</v>
      </c>
      <c r="N16" s="14">
        <v>12</v>
      </c>
      <c r="O16" s="14">
        <f>N16*O2</f>
        <v>173.16</v>
      </c>
      <c r="P16" s="14">
        <v>2</v>
      </c>
      <c r="Q16" s="14">
        <v>1</v>
      </c>
      <c r="R16" s="14">
        <v>8</v>
      </c>
      <c r="S16" s="14">
        <f>R16*S2</f>
        <v>92.4</v>
      </c>
      <c r="T16" s="14">
        <v>3</v>
      </c>
      <c r="U16" s="14">
        <v>2</v>
      </c>
      <c r="V16" s="14">
        <v>24</v>
      </c>
      <c r="W16" s="14">
        <f>V16*W2</f>
        <v>422.40000000000003</v>
      </c>
      <c r="X16" s="14">
        <v>3</v>
      </c>
      <c r="Y16" s="14">
        <v>3</v>
      </c>
      <c r="Z16" s="14">
        <v>36</v>
      </c>
      <c r="AA16" s="14">
        <f>Z16*AA2</f>
        <v>198</v>
      </c>
      <c r="AB16" s="14">
        <v>3</v>
      </c>
      <c r="AC16" s="14">
        <v>1</v>
      </c>
      <c r="AD16" s="14">
        <v>12</v>
      </c>
      <c r="AE16" s="14">
        <f>AD16*AE2</f>
        <v>6</v>
      </c>
      <c r="AF16" s="14">
        <f t="shared" si="0"/>
        <v>1731.1599999999999</v>
      </c>
      <c r="AG16" s="14">
        <f t="shared" si="1"/>
        <v>548.7999999999995</v>
      </c>
      <c r="AH16" s="14">
        <f>AG16^2</f>
        <v>301181.43999999948</v>
      </c>
      <c r="AI16" s="14">
        <v>7</v>
      </c>
      <c r="AJ16" s="14">
        <v>1</v>
      </c>
      <c r="AK16" s="14">
        <v>28</v>
      </c>
      <c r="AL16" s="14">
        <f>AK16*AL2</f>
        <v>425.59999999999997</v>
      </c>
      <c r="AM16" s="14">
        <v>5</v>
      </c>
      <c r="AN16" s="14">
        <v>1</v>
      </c>
      <c r="AO16" s="14">
        <v>20</v>
      </c>
      <c r="AP16" s="14">
        <f>AO16*AP2</f>
        <v>160</v>
      </c>
    </row>
    <row r="17" spans="1:42" x14ac:dyDescent="0.2">
      <c r="A17" s="14" t="s">
        <v>409</v>
      </c>
      <c r="B17" s="14" t="s">
        <v>374</v>
      </c>
      <c r="C17" s="14">
        <v>10</v>
      </c>
      <c r="D17" s="14">
        <v>5</v>
      </c>
      <c r="E17" s="14">
        <v>1</v>
      </c>
      <c r="F17" s="14">
        <v>20</v>
      </c>
      <c r="G17" s="14">
        <f>F17*G2</f>
        <v>224</v>
      </c>
      <c r="H17" s="14">
        <v>3</v>
      </c>
      <c r="I17" s="14">
        <v>1</v>
      </c>
      <c r="J17" s="14">
        <v>12</v>
      </c>
      <c r="K17" s="14">
        <f>J17*K2</f>
        <v>127.19999999999999</v>
      </c>
      <c r="L17" s="14">
        <v>0</v>
      </c>
      <c r="M17" s="14">
        <v>0</v>
      </c>
      <c r="N17" s="14">
        <v>0</v>
      </c>
      <c r="O17" s="14">
        <f>N17*O2</f>
        <v>0</v>
      </c>
      <c r="P17" s="14">
        <v>2</v>
      </c>
      <c r="Q17" s="14">
        <v>1</v>
      </c>
      <c r="R17" s="14">
        <v>8</v>
      </c>
      <c r="S17" s="14">
        <f>R17*S2</f>
        <v>92.4</v>
      </c>
      <c r="T17" s="14">
        <v>2</v>
      </c>
      <c r="U17" s="14">
        <v>1</v>
      </c>
      <c r="V17" s="14">
        <v>8</v>
      </c>
      <c r="W17" s="14">
        <f>V17*W2</f>
        <v>140.80000000000001</v>
      </c>
      <c r="X17" s="14">
        <v>0</v>
      </c>
      <c r="Y17" s="14">
        <v>0</v>
      </c>
      <c r="Z17" s="14">
        <v>0</v>
      </c>
      <c r="AA17" s="14">
        <f>Z17*AA2</f>
        <v>0</v>
      </c>
      <c r="AB17" s="14">
        <v>1</v>
      </c>
      <c r="AC17" s="14">
        <v>1</v>
      </c>
      <c r="AD17" s="14">
        <v>4</v>
      </c>
      <c r="AE17" s="14">
        <f>AD17*AE2</f>
        <v>2</v>
      </c>
      <c r="AF17" s="14">
        <f t="shared" si="0"/>
        <v>586.4</v>
      </c>
      <c r="AG17" s="14">
        <f t="shared" si="1"/>
        <v>-595.96000000000038</v>
      </c>
      <c r="AH17" s="14">
        <f t="shared" si="2"/>
        <v>355168.32160000043</v>
      </c>
      <c r="AI17" s="14">
        <v>2</v>
      </c>
      <c r="AJ17" s="14">
        <v>1</v>
      </c>
      <c r="AK17" s="14">
        <v>8</v>
      </c>
      <c r="AL17" s="14">
        <f>AK17*AL2</f>
        <v>121.6</v>
      </c>
      <c r="AM17" s="14">
        <v>0</v>
      </c>
      <c r="AN17" s="14">
        <v>0</v>
      </c>
      <c r="AO17" s="14">
        <v>0</v>
      </c>
      <c r="AP17" s="14">
        <f>AO17*AP2</f>
        <v>0</v>
      </c>
    </row>
    <row r="18" spans="1:42" x14ac:dyDescent="0.2">
      <c r="A18" s="14" t="s">
        <v>410</v>
      </c>
      <c r="B18" s="14" t="s">
        <v>411</v>
      </c>
      <c r="C18" s="14">
        <v>6</v>
      </c>
      <c r="D18" s="14">
        <v>2</v>
      </c>
      <c r="E18" s="14">
        <v>1</v>
      </c>
      <c r="F18" s="14">
        <v>8</v>
      </c>
      <c r="G18" s="14">
        <f>F18*G2</f>
        <v>89.6</v>
      </c>
      <c r="H18" s="14">
        <v>2</v>
      </c>
      <c r="I18" s="14">
        <v>1</v>
      </c>
      <c r="J18" s="14">
        <v>8</v>
      </c>
      <c r="K18" s="14">
        <f>J18*K2</f>
        <v>84.8</v>
      </c>
      <c r="L18" s="14">
        <v>0</v>
      </c>
      <c r="M18" s="14">
        <v>0</v>
      </c>
      <c r="N18" s="14">
        <v>0</v>
      </c>
      <c r="O18" s="14">
        <f>N18*O2</f>
        <v>0</v>
      </c>
      <c r="P18" s="14">
        <v>2</v>
      </c>
      <c r="Q18" s="14">
        <v>1</v>
      </c>
      <c r="R18" s="14">
        <v>8</v>
      </c>
      <c r="S18" s="14">
        <f>R18*S2</f>
        <v>92.4</v>
      </c>
      <c r="T18" s="14">
        <v>3</v>
      </c>
      <c r="U18" s="14">
        <v>1</v>
      </c>
      <c r="V18" s="14">
        <v>12</v>
      </c>
      <c r="W18" s="14">
        <f>V18*W2</f>
        <v>211.20000000000002</v>
      </c>
      <c r="X18" s="14">
        <v>0</v>
      </c>
      <c r="Y18" s="14">
        <v>0</v>
      </c>
      <c r="Z18" s="14">
        <v>0</v>
      </c>
      <c r="AA18" s="14">
        <f>Z18*AA2</f>
        <v>0</v>
      </c>
      <c r="AB18" s="14">
        <v>1</v>
      </c>
      <c r="AC18" s="14">
        <v>1</v>
      </c>
      <c r="AD18" s="14">
        <v>4</v>
      </c>
      <c r="AE18" s="14">
        <f>AD18*AE2</f>
        <v>2</v>
      </c>
      <c r="AF18" s="14">
        <f t="shared" si="0"/>
        <v>480</v>
      </c>
      <c r="AG18" s="14">
        <f t="shared" si="1"/>
        <v>-702.36000000000035</v>
      </c>
      <c r="AH18" s="14">
        <f t="shared" si="2"/>
        <v>493309.56960000051</v>
      </c>
      <c r="AI18" s="14">
        <v>2</v>
      </c>
      <c r="AJ18" s="14">
        <v>1</v>
      </c>
      <c r="AK18" s="14">
        <v>8</v>
      </c>
      <c r="AL18" s="14">
        <f>AK18*AL2</f>
        <v>121.6</v>
      </c>
      <c r="AM18" s="14">
        <v>0</v>
      </c>
      <c r="AN18" s="14">
        <v>0</v>
      </c>
      <c r="AO18" s="14">
        <v>0</v>
      </c>
      <c r="AP18" s="14">
        <f>AO18*AP2</f>
        <v>0</v>
      </c>
    </row>
    <row r="19" spans="1:42" x14ac:dyDescent="0.2">
      <c r="A19" s="14" t="s">
        <v>339</v>
      </c>
      <c r="B19" s="14" t="s">
        <v>338</v>
      </c>
      <c r="C19" s="14">
        <v>8</v>
      </c>
      <c r="D19" s="14">
        <v>7</v>
      </c>
      <c r="E19" s="14">
        <v>2</v>
      </c>
      <c r="F19" s="14">
        <v>56</v>
      </c>
      <c r="G19" s="14">
        <f>F19*G2</f>
        <v>627.19999999999993</v>
      </c>
      <c r="H19" s="14">
        <v>1</v>
      </c>
      <c r="I19" s="14">
        <v>2</v>
      </c>
      <c r="J19" s="14">
        <v>8</v>
      </c>
      <c r="K19" s="14">
        <f>J19*K2</f>
        <v>84.8</v>
      </c>
      <c r="L19" s="14">
        <v>1</v>
      </c>
      <c r="M19" s="14">
        <v>1</v>
      </c>
      <c r="N19" s="14">
        <v>4</v>
      </c>
      <c r="O19" s="14">
        <f>N19*O2</f>
        <v>57.72</v>
      </c>
      <c r="P19" s="14">
        <v>3</v>
      </c>
      <c r="Q19" s="14">
        <v>4</v>
      </c>
      <c r="R19" s="14">
        <v>48</v>
      </c>
      <c r="S19" s="14">
        <f>R19*S2</f>
        <v>554.40000000000009</v>
      </c>
      <c r="T19" s="14">
        <v>2</v>
      </c>
      <c r="U19" s="14">
        <v>1</v>
      </c>
      <c r="V19" s="14">
        <v>8</v>
      </c>
      <c r="W19" s="14">
        <f>V19*W2</f>
        <v>140.80000000000001</v>
      </c>
      <c r="X19" s="14">
        <v>5</v>
      </c>
      <c r="Y19" s="14">
        <v>1</v>
      </c>
      <c r="Z19" s="14">
        <v>20</v>
      </c>
      <c r="AA19" s="14">
        <f>Z19*AA2</f>
        <v>110</v>
      </c>
      <c r="AB19" s="14">
        <v>2</v>
      </c>
      <c r="AC19" s="14">
        <v>1</v>
      </c>
      <c r="AD19" s="14">
        <v>8</v>
      </c>
      <c r="AE19" s="14">
        <f>AD19*AE2</f>
        <v>4</v>
      </c>
      <c r="AF19" s="14">
        <f t="shared" si="0"/>
        <v>1578.92</v>
      </c>
      <c r="AG19" s="14">
        <f>AF19-$AF$41</f>
        <v>396.55999999999972</v>
      </c>
      <c r="AH19" s="14">
        <f t="shared" si="2"/>
        <v>157259.83359999978</v>
      </c>
      <c r="AI19" s="14">
        <v>1</v>
      </c>
      <c r="AJ19" s="14">
        <v>1</v>
      </c>
      <c r="AK19" s="14">
        <v>4</v>
      </c>
      <c r="AL19" s="14">
        <f>AK19*AL2</f>
        <v>60.8</v>
      </c>
      <c r="AM19" s="14">
        <v>1</v>
      </c>
      <c r="AN19" s="14">
        <v>1</v>
      </c>
      <c r="AO19" s="14">
        <v>4</v>
      </c>
      <c r="AP19" s="14">
        <f>AO19*AP2</f>
        <v>32</v>
      </c>
    </row>
    <row r="20" spans="1:42" x14ac:dyDescent="0.2">
      <c r="A20" s="14" t="s">
        <v>342</v>
      </c>
      <c r="B20" s="14" t="s">
        <v>414</v>
      </c>
      <c r="C20" s="14">
        <v>7</v>
      </c>
      <c r="D20" s="14">
        <v>7</v>
      </c>
      <c r="E20" s="14">
        <v>2</v>
      </c>
      <c r="F20" s="14">
        <v>56</v>
      </c>
      <c r="G20" s="14">
        <f>F20*G2</f>
        <v>627.19999999999993</v>
      </c>
      <c r="H20" s="14">
        <v>5</v>
      </c>
      <c r="I20" s="14">
        <v>1</v>
      </c>
      <c r="J20" s="14">
        <v>20</v>
      </c>
      <c r="K20" s="14">
        <f>J20*K2</f>
        <v>212</v>
      </c>
      <c r="L20" s="14">
        <v>1</v>
      </c>
      <c r="M20" s="14">
        <v>1</v>
      </c>
      <c r="N20" s="14">
        <v>4</v>
      </c>
      <c r="O20" s="14">
        <f>N20*O2</f>
        <v>57.72</v>
      </c>
      <c r="P20" s="14">
        <v>2</v>
      </c>
      <c r="Q20" s="14">
        <v>1</v>
      </c>
      <c r="R20" s="14">
        <v>8</v>
      </c>
      <c r="S20" s="14">
        <f>R20*S2</f>
        <v>92.4</v>
      </c>
      <c r="T20" s="14">
        <v>3</v>
      </c>
      <c r="U20" s="14">
        <v>1</v>
      </c>
      <c r="V20" s="14">
        <v>12</v>
      </c>
      <c r="W20" s="14">
        <f>V20*W2</f>
        <v>211.20000000000002</v>
      </c>
      <c r="X20" s="14">
        <v>3</v>
      </c>
      <c r="Y20" s="14">
        <v>1</v>
      </c>
      <c r="Z20" s="14">
        <v>12</v>
      </c>
      <c r="AA20" s="14">
        <f>Z20*AA2</f>
        <v>66</v>
      </c>
      <c r="AB20" s="14">
        <v>1</v>
      </c>
      <c r="AC20" s="14">
        <v>1</v>
      </c>
      <c r="AD20" s="14">
        <v>4</v>
      </c>
      <c r="AE20" s="14">
        <f>AD20*AE2</f>
        <v>2</v>
      </c>
      <c r="AF20" s="14">
        <f t="shared" si="0"/>
        <v>1268.52</v>
      </c>
      <c r="AG20" s="14">
        <f t="shared" si="1"/>
        <v>86.159999999999627</v>
      </c>
      <c r="AH20" s="14">
        <f t="shared" si="2"/>
        <v>7423.5455999999358</v>
      </c>
      <c r="AI20" s="14">
        <v>5</v>
      </c>
      <c r="AJ20" s="14">
        <v>1</v>
      </c>
      <c r="AK20" s="14">
        <v>20</v>
      </c>
      <c r="AL20" s="14">
        <f>AK20*AL2</f>
        <v>304</v>
      </c>
      <c r="AM20" s="14">
        <v>1</v>
      </c>
      <c r="AN20" s="14">
        <v>1</v>
      </c>
      <c r="AO20" s="14">
        <v>4</v>
      </c>
      <c r="AP20" s="14">
        <f>AO20*AP2</f>
        <v>32</v>
      </c>
    </row>
    <row r="21" spans="1:42" x14ac:dyDescent="0.2">
      <c r="A21" s="14" t="s">
        <v>415</v>
      </c>
      <c r="B21" s="14" t="s">
        <v>416</v>
      </c>
      <c r="C21" s="14">
        <v>6</v>
      </c>
      <c r="D21" s="14">
        <v>5</v>
      </c>
      <c r="E21" s="14">
        <v>1</v>
      </c>
      <c r="F21" s="14">
        <v>20</v>
      </c>
      <c r="G21" s="14">
        <f>F21*G2</f>
        <v>224</v>
      </c>
      <c r="H21" s="14">
        <v>0</v>
      </c>
      <c r="I21" s="14">
        <v>0</v>
      </c>
      <c r="J21" s="14">
        <v>0</v>
      </c>
      <c r="K21" s="14">
        <f>J21*K2</f>
        <v>0</v>
      </c>
      <c r="L21" s="14">
        <v>0</v>
      </c>
      <c r="M21" s="14">
        <v>0</v>
      </c>
      <c r="N21" s="14">
        <v>0</v>
      </c>
      <c r="O21" s="14">
        <f>N21*O2</f>
        <v>0</v>
      </c>
      <c r="P21" s="14">
        <v>2</v>
      </c>
      <c r="Q21" s="14">
        <v>1</v>
      </c>
      <c r="R21" s="14">
        <v>8</v>
      </c>
      <c r="S21" s="14">
        <f>R21*S2</f>
        <v>92.4</v>
      </c>
      <c r="T21" s="14">
        <v>4</v>
      </c>
      <c r="U21" s="14">
        <v>1</v>
      </c>
      <c r="V21" s="14">
        <v>16</v>
      </c>
      <c r="W21" s="14">
        <f>V21*W2</f>
        <v>281.60000000000002</v>
      </c>
      <c r="X21" s="14">
        <v>5</v>
      </c>
      <c r="Y21" s="14">
        <v>1</v>
      </c>
      <c r="Z21" s="14">
        <v>20</v>
      </c>
      <c r="AA21" s="14">
        <f>Z21*AA2</f>
        <v>110</v>
      </c>
      <c r="AB21" s="14">
        <v>0</v>
      </c>
      <c r="AC21" s="14">
        <v>0</v>
      </c>
      <c r="AD21" s="14">
        <v>0</v>
      </c>
      <c r="AE21" s="14">
        <f>AD21*AE2</f>
        <v>0</v>
      </c>
      <c r="AF21" s="14">
        <f t="shared" si="0"/>
        <v>708</v>
      </c>
      <c r="AG21" s="14">
        <f t="shared" si="1"/>
        <v>-474.36000000000035</v>
      </c>
      <c r="AH21" s="14">
        <f t="shared" si="2"/>
        <v>225017.40960000033</v>
      </c>
      <c r="AI21" s="14">
        <v>5</v>
      </c>
      <c r="AJ21" s="14">
        <v>1</v>
      </c>
      <c r="AK21" s="14">
        <v>20</v>
      </c>
      <c r="AL21" s="14">
        <f>AK21*AL2</f>
        <v>304</v>
      </c>
      <c r="AM21" s="14">
        <v>2</v>
      </c>
      <c r="AN21" s="14">
        <v>1</v>
      </c>
      <c r="AO21" s="14">
        <v>8</v>
      </c>
      <c r="AP21" s="14">
        <f>AO21*AP2</f>
        <v>64</v>
      </c>
    </row>
    <row r="22" spans="1:42" x14ac:dyDescent="0.2">
      <c r="A22" s="14" t="s">
        <v>354</v>
      </c>
      <c r="B22" s="14" t="s">
        <v>353</v>
      </c>
      <c r="C22" s="14">
        <v>9</v>
      </c>
      <c r="D22" s="14">
        <v>7</v>
      </c>
      <c r="E22" s="14">
        <v>2</v>
      </c>
      <c r="F22" s="14">
        <v>56</v>
      </c>
      <c r="G22" s="14">
        <f>F22*G2</f>
        <v>627.19999999999993</v>
      </c>
      <c r="H22" s="14">
        <v>2</v>
      </c>
      <c r="I22" s="14">
        <v>1</v>
      </c>
      <c r="J22" s="14">
        <v>8</v>
      </c>
      <c r="K22" s="14">
        <f>J22*K2</f>
        <v>84.8</v>
      </c>
      <c r="L22" s="14">
        <v>1</v>
      </c>
      <c r="M22" s="14">
        <v>1</v>
      </c>
      <c r="N22" s="14">
        <v>4</v>
      </c>
      <c r="O22" s="14">
        <f>N22*O2</f>
        <v>57.72</v>
      </c>
      <c r="P22" s="14">
        <v>3</v>
      </c>
      <c r="Q22" s="14">
        <v>1</v>
      </c>
      <c r="R22" s="14">
        <v>12</v>
      </c>
      <c r="S22" s="14">
        <f>R22*S2</f>
        <v>138.60000000000002</v>
      </c>
      <c r="T22" s="14">
        <v>2</v>
      </c>
      <c r="U22" s="14">
        <v>1</v>
      </c>
      <c r="V22" s="14">
        <v>8</v>
      </c>
      <c r="W22" s="14">
        <f>V22*W2</f>
        <v>140.80000000000001</v>
      </c>
      <c r="X22" s="14">
        <v>1</v>
      </c>
      <c r="Y22" s="14">
        <v>1</v>
      </c>
      <c r="Z22" s="14">
        <v>4</v>
      </c>
      <c r="AA22" s="14">
        <f>Z22*AA2</f>
        <v>22</v>
      </c>
      <c r="AB22" s="14">
        <v>1</v>
      </c>
      <c r="AC22" s="14">
        <v>1</v>
      </c>
      <c r="AD22" s="14">
        <v>4</v>
      </c>
      <c r="AE22" s="14">
        <f>AD22*AE2</f>
        <v>2</v>
      </c>
      <c r="AF22" s="14">
        <f t="shared" si="0"/>
        <v>1073.1199999999999</v>
      </c>
      <c r="AG22" s="14">
        <f t="shared" si="1"/>
        <v>-109.24000000000046</v>
      </c>
      <c r="AH22" s="14">
        <f>AG22^2</f>
        <v>11933.377600000102</v>
      </c>
      <c r="AI22" s="14">
        <v>1</v>
      </c>
      <c r="AJ22" s="14">
        <v>1</v>
      </c>
      <c r="AK22" s="14">
        <v>4</v>
      </c>
      <c r="AL22" s="14">
        <f>AK22*AL2</f>
        <v>60.8</v>
      </c>
      <c r="AM22" s="14">
        <v>1</v>
      </c>
      <c r="AN22" s="14">
        <v>1</v>
      </c>
      <c r="AO22" s="14">
        <v>4</v>
      </c>
      <c r="AP22" s="14">
        <f>AO22*AP2</f>
        <v>32</v>
      </c>
    </row>
    <row r="23" spans="1:42" x14ac:dyDescent="0.2">
      <c r="A23" s="14" t="s">
        <v>311</v>
      </c>
      <c r="B23" s="14" t="s">
        <v>310</v>
      </c>
      <c r="C23" s="14">
        <v>7</v>
      </c>
      <c r="D23" s="14">
        <v>5</v>
      </c>
      <c r="E23" s="14">
        <v>2</v>
      </c>
      <c r="F23" s="14">
        <v>40</v>
      </c>
      <c r="G23" s="14">
        <f>F23*G2</f>
        <v>448</v>
      </c>
      <c r="H23" s="14">
        <v>5</v>
      </c>
      <c r="I23" s="14">
        <v>2</v>
      </c>
      <c r="J23" s="14">
        <v>40</v>
      </c>
      <c r="K23" s="14">
        <f>J23*K2</f>
        <v>424</v>
      </c>
      <c r="L23" s="14">
        <v>0</v>
      </c>
      <c r="M23" s="14">
        <v>0</v>
      </c>
      <c r="N23" s="14">
        <v>0</v>
      </c>
      <c r="O23" s="14">
        <f>N23*O2</f>
        <v>0</v>
      </c>
      <c r="P23" s="14">
        <v>2</v>
      </c>
      <c r="Q23" s="14">
        <v>1</v>
      </c>
      <c r="R23" s="14">
        <v>8</v>
      </c>
      <c r="S23" s="14">
        <f>R23*S2</f>
        <v>92.4</v>
      </c>
      <c r="T23" s="14">
        <v>2</v>
      </c>
      <c r="U23" s="14">
        <v>1</v>
      </c>
      <c r="V23" s="14">
        <v>8</v>
      </c>
      <c r="W23" s="14">
        <f>V23*W2</f>
        <v>140.80000000000001</v>
      </c>
      <c r="X23" s="14">
        <v>2</v>
      </c>
      <c r="Y23" s="14">
        <v>1</v>
      </c>
      <c r="Z23" s="14">
        <v>8</v>
      </c>
      <c r="AA23" s="14">
        <f>Z23*AA2</f>
        <v>44</v>
      </c>
      <c r="AB23" s="14">
        <v>2</v>
      </c>
      <c r="AC23" s="14">
        <v>1</v>
      </c>
      <c r="AD23" s="14">
        <v>8</v>
      </c>
      <c r="AE23" s="14">
        <f>AD23*AE2</f>
        <v>4</v>
      </c>
      <c r="AF23" s="14">
        <f t="shared" si="0"/>
        <v>1153.2</v>
      </c>
      <c r="AG23" s="14">
        <f t="shared" si="1"/>
        <v>-29.160000000000309</v>
      </c>
      <c r="AH23" s="14">
        <f t="shared" si="2"/>
        <v>850.30560000001799</v>
      </c>
      <c r="AI23" s="14">
        <v>1</v>
      </c>
      <c r="AJ23" s="14">
        <v>1</v>
      </c>
      <c r="AK23" s="14">
        <v>4</v>
      </c>
      <c r="AL23" s="14">
        <f>AK23*AL2</f>
        <v>60.8</v>
      </c>
      <c r="AM23" s="14">
        <v>1</v>
      </c>
      <c r="AN23" s="14">
        <v>1</v>
      </c>
      <c r="AO23" s="14">
        <v>4</v>
      </c>
      <c r="AP23" s="14">
        <f>AO23*AP2</f>
        <v>32</v>
      </c>
    </row>
    <row r="24" spans="1:42" x14ac:dyDescent="0.2">
      <c r="A24" s="14" t="s">
        <v>313</v>
      </c>
      <c r="B24" s="14" t="s">
        <v>312</v>
      </c>
      <c r="C24" s="14">
        <v>7</v>
      </c>
      <c r="D24" s="14">
        <v>6</v>
      </c>
      <c r="E24" s="14">
        <v>2</v>
      </c>
      <c r="F24" s="14">
        <v>48</v>
      </c>
      <c r="G24" s="14">
        <f>F24*G2</f>
        <v>537.59999999999991</v>
      </c>
      <c r="H24" s="14">
        <v>3</v>
      </c>
      <c r="I24" s="14">
        <v>2</v>
      </c>
      <c r="J24" s="14">
        <v>24</v>
      </c>
      <c r="K24" s="14">
        <f>J24*K2</f>
        <v>254.39999999999998</v>
      </c>
      <c r="L24" s="14">
        <v>0</v>
      </c>
      <c r="M24" s="14">
        <v>0</v>
      </c>
      <c r="N24" s="14">
        <v>0</v>
      </c>
      <c r="O24" s="14">
        <f>N24*O2</f>
        <v>0</v>
      </c>
      <c r="P24" s="14">
        <v>3</v>
      </c>
      <c r="Q24" s="14">
        <v>1</v>
      </c>
      <c r="R24" s="14">
        <v>12</v>
      </c>
      <c r="S24" s="14">
        <f>R24*S2</f>
        <v>138.60000000000002</v>
      </c>
      <c r="T24" s="14">
        <v>3</v>
      </c>
      <c r="U24" s="14">
        <v>1</v>
      </c>
      <c r="V24" s="14">
        <v>12</v>
      </c>
      <c r="W24" s="14">
        <f>V24*W2</f>
        <v>211.20000000000002</v>
      </c>
      <c r="X24" s="14">
        <v>3</v>
      </c>
      <c r="Y24" s="14">
        <v>1</v>
      </c>
      <c r="Z24" s="14">
        <v>12</v>
      </c>
      <c r="AA24" s="14">
        <f>Z24*AA2</f>
        <v>66</v>
      </c>
      <c r="AB24" s="14">
        <v>2</v>
      </c>
      <c r="AC24" s="14">
        <v>1</v>
      </c>
      <c r="AD24" s="14">
        <v>8</v>
      </c>
      <c r="AE24" s="14">
        <f>AD24*AE2</f>
        <v>4</v>
      </c>
      <c r="AF24" s="14">
        <f t="shared" si="0"/>
        <v>1211.8</v>
      </c>
      <c r="AG24" s="14">
        <f t="shared" si="1"/>
        <v>29.4399999999996</v>
      </c>
      <c r="AH24" s="14">
        <f t="shared" si="2"/>
        <v>866.7135999999764</v>
      </c>
      <c r="AI24" s="14">
        <v>2</v>
      </c>
      <c r="AJ24" s="14">
        <v>2</v>
      </c>
      <c r="AK24" s="14">
        <v>16</v>
      </c>
      <c r="AL24" s="14">
        <f>AK24*AL2</f>
        <v>243.2</v>
      </c>
      <c r="AM24" s="14">
        <v>1</v>
      </c>
      <c r="AN24" s="14">
        <v>1</v>
      </c>
      <c r="AO24" s="14">
        <v>4</v>
      </c>
      <c r="AP24" s="14">
        <f>AO24*AP2</f>
        <v>32</v>
      </c>
    </row>
    <row r="25" spans="1:42" x14ac:dyDescent="0.2">
      <c r="A25" s="14" t="s">
        <v>317</v>
      </c>
      <c r="B25" s="14" t="s">
        <v>417</v>
      </c>
      <c r="C25" s="14">
        <v>8</v>
      </c>
      <c r="D25" s="14">
        <v>4</v>
      </c>
      <c r="E25" s="14">
        <v>1</v>
      </c>
      <c r="F25" s="14">
        <v>16</v>
      </c>
      <c r="G25" s="14">
        <f>F25*G2</f>
        <v>179.2</v>
      </c>
      <c r="H25" s="14">
        <v>5</v>
      </c>
      <c r="I25" s="14">
        <v>1</v>
      </c>
      <c r="J25" s="14">
        <v>20</v>
      </c>
      <c r="K25" s="14">
        <f>J25*K2</f>
        <v>212</v>
      </c>
      <c r="L25" s="14">
        <v>0</v>
      </c>
      <c r="M25" s="14">
        <v>0</v>
      </c>
      <c r="N25" s="14">
        <v>0</v>
      </c>
      <c r="O25" s="14">
        <f>N25*O2</f>
        <v>0</v>
      </c>
      <c r="P25" s="14">
        <v>1</v>
      </c>
      <c r="Q25" s="14">
        <v>1</v>
      </c>
      <c r="R25" s="14">
        <v>4</v>
      </c>
      <c r="S25" s="14">
        <f>R25*S2</f>
        <v>46.2</v>
      </c>
      <c r="T25" s="14">
        <v>4</v>
      </c>
      <c r="U25" s="14">
        <v>1</v>
      </c>
      <c r="V25" s="14">
        <v>16</v>
      </c>
      <c r="W25" s="14">
        <f>V25*W2</f>
        <v>281.60000000000002</v>
      </c>
      <c r="X25" s="14">
        <v>4</v>
      </c>
      <c r="Y25" s="14">
        <v>1</v>
      </c>
      <c r="Z25" s="14">
        <v>16</v>
      </c>
      <c r="AA25" s="14">
        <f>Z25*AA2</f>
        <v>88</v>
      </c>
      <c r="AB25" s="14">
        <v>1</v>
      </c>
      <c r="AC25" s="14">
        <v>1</v>
      </c>
      <c r="AD25" s="14">
        <v>4</v>
      </c>
      <c r="AE25" s="14">
        <f>AD25*AE2</f>
        <v>2</v>
      </c>
      <c r="AF25" s="14">
        <f t="shared" si="0"/>
        <v>809</v>
      </c>
      <c r="AG25" s="14">
        <f t="shared" si="1"/>
        <v>-373.36000000000035</v>
      </c>
      <c r="AH25" s="14">
        <f t="shared" si="2"/>
        <v>139397.68960000027</v>
      </c>
      <c r="AI25" s="14">
        <v>5</v>
      </c>
      <c r="AJ25" s="14">
        <v>1</v>
      </c>
      <c r="AK25" s="14">
        <v>20</v>
      </c>
      <c r="AL25" s="14">
        <f>AK25*AL2</f>
        <v>304</v>
      </c>
      <c r="AM25" s="14">
        <v>0</v>
      </c>
      <c r="AN25" s="14">
        <v>0</v>
      </c>
      <c r="AO25" s="14">
        <v>0</v>
      </c>
      <c r="AP25" s="14">
        <f>AO25*AP2</f>
        <v>0</v>
      </c>
    </row>
    <row r="26" spans="1:42" x14ac:dyDescent="0.2">
      <c r="A26" t="s">
        <v>9</v>
      </c>
      <c r="B26" t="s">
        <v>268</v>
      </c>
      <c r="C26">
        <v>10</v>
      </c>
      <c r="D26">
        <v>7</v>
      </c>
      <c r="E26">
        <v>1</v>
      </c>
      <c r="F26">
        <v>28</v>
      </c>
      <c r="G26">
        <f>F26*G2</f>
        <v>313.59999999999997</v>
      </c>
      <c r="H26">
        <v>2</v>
      </c>
      <c r="I26">
        <v>1</v>
      </c>
      <c r="J26">
        <v>8</v>
      </c>
      <c r="K26">
        <f>J26*K2</f>
        <v>84.8</v>
      </c>
      <c r="L26">
        <v>1</v>
      </c>
      <c r="M26">
        <v>1</v>
      </c>
      <c r="N26">
        <v>4</v>
      </c>
      <c r="O26">
        <f>N26*O2</f>
        <v>57.72</v>
      </c>
      <c r="P26">
        <v>1</v>
      </c>
      <c r="Q26">
        <v>1</v>
      </c>
      <c r="R26">
        <v>4</v>
      </c>
      <c r="S26">
        <f>R26*S2</f>
        <v>46.2</v>
      </c>
      <c r="T26">
        <v>1</v>
      </c>
      <c r="U26">
        <v>1</v>
      </c>
      <c r="V26">
        <v>4</v>
      </c>
      <c r="W26">
        <f>V26*W2</f>
        <v>70.400000000000006</v>
      </c>
      <c r="X26">
        <v>4</v>
      </c>
      <c r="Y26">
        <v>1</v>
      </c>
      <c r="Z26">
        <v>16</v>
      </c>
      <c r="AA26">
        <f>Z26*AA2</f>
        <v>88</v>
      </c>
      <c r="AB26">
        <v>1</v>
      </c>
      <c r="AC26">
        <v>1</v>
      </c>
      <c r="AD26">
        <v>4</v>
      </c>
      <c r="AE26">
        <f>AD26*AE2</f>
        <v>2</v>
      </c>
      <c r="AF26" s="14">
        <f t="shared" si="0"/>
        <v>662.72</v>
      </c>
      <c r="AG26" s="14">
        <f>AF26-$AF$41</f>
        <v>-519.64000000000033</v>
      </c>
      <c r="AH26" s="14">
        <f>AG26^2</f>
        <v>270025.72960000031</v>
      </c>
      <c r="AI26">
        <v>1</v>
      </c>
      <c r="AJ26">
        <v>1</v>
      </c>
      <c r="AK26">
        <v>4</v>
      </c>
      <c r="AL26">
        <f>AK26*AL2</f>
        <v>60.8</v>
      </c>
      <c r="AM26" s="5"/>
      <c r="AN26" s="5"/>
      <c r="AO26" s="5"/>
    </row>
    <row r="27" spans="1:42" x14ac:dyDescent="0.2">
      <c r="A27" t="s">
        <v>14</v>
      </c>
      <c r="B27" t="s">
        <v>13</v>
      </c>
      <c r="C27">
        <v>8</v>
      </c>
      <c r="D27">
        <v>5</v>
      </c>
      <c r="E27">
        <v>1</v>
      </c>
      <c r="F27">
        <v>20</v>
      </c>
      <c r="G27">
        <f>F27*G2</f>
        <v>224</v>
      </c>
      <c r="H27">
        <v>2</v>
      </c>
      <c r="I27">
        <v>1</v>
      </c>
      <c r="J27">
        <v>8</v>
      </c>
      <c r="K27">
        <f>J27*K2</f>
        <v>84.8</v>
      </c>
      <c r="L27" s="5"/>
      <c r="M27" s="5"/>
      <c r="N27" s="5"/>
      <c r="P27" s="5"/>
      <c r="Q27" s="5"/>
      <c r="R27" s="5"/>
      <c r="T27">
        <v>4</v>
      </c>
      <c r="U27">
        <v>1</v>
      </c>
      <c r="V27">
        <v>16</v>
      </c>
      <c r="W27">
        <f>V27*W2</f>
        <v>281.60000000000002</v>
      </c>
      <c r="X27">
        <v>2</v>
      </c>
      <c r="Y27">
        <v>1</v>
      </c>
      <c r="Z27">
        <v>8</v>
      </c>
      <c r="AA27">
        <f>Z27*AA2</f>
        <v>44</v>
      </c>
      <c r="AB27">
        <v>1</v>
      </c>
      <c r="AC27">
        <v>1</v>
      </c>
      <c r="AD27">
        <v>4</v>
      </c>
      <c r="AE27">
        <f>AD27*AE2</f>
        <v>2</v>
      </c>
      <c r="AF27" s="14">
        <f t="shared" si="0"/>
        <v>636.40000000000009</v>
      </c>
      <c r="AG27" s="14">
        <f t="shared" si="1"/>
        <v>-545.96000000000026</v>
      </c>
      <c r="AH27" s="14">
        <f t="shared" si="2"/>
        <v>298072.32160000032</v>
      </c>
      <c r="AI27">
        <v>2</v>
      </c>
      <c r="AJ27">
        <v>1</v>
      </c>
      <c r="AK27">
        <v>8</v>
      </c>
      <c r="AL27">
        <f>AK27*AL2</f>
        <v>121.6</v>
      </c>
      <c r="AM27" s="5"/>
      <c r="AN27" s="5"/>
      <c r="AO27" s="5"/>
    </row>
    <row r="28" spans="1:42" x14ac:dyDescent="0.2">
      <c r="A28" t="s">
        <v>272</v>
      </c>
      <c r="B28" t="s">
        <v>419</v>
      </c>
      <c r="C28">
        <v>7</v>
      </c>
      <c r="D28">
        <v>0</v>
      </c>
      <c r="E28">
        <v>0</v>
      </c>
      <c r="F28">
        <v>0</v>
      </c>
      <c r="G28">
        <f>F28*G2</f>
        <v>0</v>
      </c>
      <c r="H28">
        <v>2</v>
      </c>
      <c r="I28">
        <v>1</v>
      </c>
      <c r="J28">
        <v>8</v>
      </c>
      <c r="K28">
        <f>J28*K2</f>
        <v>84.8</v>
      </c>
      <c r="L28">
        <v>2</v>
      </c>
      <c r="M28">
        <v>1</v>
      </c>
      <c r="N28">
        <v>8</v>
      </c>
      <c r="O28">
        <f>N28*O2</f>
        <v>115.44</v>
      </c>
      <c r="P28">
        <v>1</v>
      </c>
      <c r="Q28">
        <v>1</v>
      </c>
      <c r="R28">
        <v>4</v>
      </c>
      <c r="S28">
        <f>R28*S2</f>
        <v>46.2</v>
      </c>
      <c r="T28">
        <v>2</v>
      </c>
      <c r="U28">
        <v>1</v>
      </c>
      <c r="V28">
        <v>8</v>
      </c>
      <c r="W28">
        <f>V28*W2</f>
        <v>140.80000000000001</v>
      </c>
      <c r="X28">
        <v>2</v>
      </c>
      <c r="Y28">
        <v>1</v>
      </c>
      <c r="Z28">
        <v>8</v>
      </c>
      <c r="AA28">
        <f>Z28*AA2</f>
        <v>44</v>
      </c>
      <c r="AB28">
        <v>1</v>
      </c>
      <c r="AC28">
        <v>1</v>
      </c>
      <c r="AD28">
        <v>4</v>
      </c>
      <c r="AE28">
        <f>AD28*AE2</f>
        <v>2</v>
      </c>
      <c r="AF28" s="14">
        <f t="shared" si="0"/>
        <v>433.24</v>
      </c>
      <c r="AG28" s="14">
        <f t="shared" si="1"/>
        <v>-749.12000000000035</v>
      </c>
      <c r="AH28" s="14">
        <f t="shared" si="2"/>
        <v>561180.77440000046</v>
      </c>
      <c r="AI28">
        <v>2</v>
      </c>
      <c r="AJ28">
        <v>1</v>
      </c>
      <c r="AK28">
        <v>8</v>
      </c>
      <c r="AL28">
        <f>AK28*AL2</f>
        <v>121.6</v>
      </c>
      <c r="AM28">
        <v>0</v>
      </c>
      <c r="AN28">
        <v>0</v>
      </c>
      <c r="AO28">
        <v>0</v>
      </c>
      <c r="AP28">
        <f>AO28*AP2</f>
        <v>0</v>
      </c>
    </row>
    <row r="29" spans="1:42" x14ac:dyDescent="0.2">
      <c r="A29" t="s">
        <v>369</v>
      </c>
      <c r="B29" t="s">
        <v>368</v>
      </c>
      <c r="C29">
        <v>10</v>
      </c>
      <c r="D29">
        <v>7</v>
      </c>
      <c r="E29">
        <v>2</v>
      </c>
      <c r="F29">
        <v>56</v>
      </c>
      <c r="G29">
        <f>F29*G2</f>
        <v>627.19999999999993</v>
      </c>
      <c r="H29">
        <v>4</v>
      </c>
      <c r="I29">
        <v>1</v>
      </c>
      <c r="J29">
        <v>16</v>
      </c>
      <c r="K29">
        <f>J29*K2</f>
        <v>169.6</v>
      </c>
      <c r="L29">
        <v>1</v>
      </c>
      <c r="M29">
        <v>1</v>
      </c>
      <c r="N29">
        <v>4</v>
      </c>
      <c r="O29">
        <f>N29*O2</f>
        <v>57.72</v>
      </c>
      <c r="P29">
        <v>2</v>
      </c>
      <c r="Q29">
        <v>1</v>
      </c>
      <c r="R29">
        <v>8</v>
      </c>
      <c r="S29">
        <f>R29*S2</f>
        <v>92.4</v>
      </c>
      <c r="T29">
        <v>2</v>
      </c>
      <c r="U29">
        <v>1</v>
      </c>
      <c r="V29">
        <v>8</v>
      </c>
      <c r="W29">
        <f>V29*W2</f>
        <v>140.80000000000001</v>
      </c>
      <c r="X29">
        <v>7</v>
      </c>
      <c r="Y29">
        <v>2</v>
      </c>
      <c r="Z29">
        <v>56</v>
      </c>
      <c r="AA29">
        <f>Z29*AA2</f>
        <v>308</v>
      </c>
      <c r="AB29">
        <v>1</v>
      </c>
      <c r="AC29">
        <v>1</v>
      </c>
      <c r="AD29">
        <v>4</v>
      </c>
      <c r="AE29">
        <f>AD29*AE2</f>
        <v>2</v>
      </c>
      <c r="AF29" s="14">
        <f t="shared" si="0"/>
        <v>1397.72</v>
      </c>
      <c r="AG29" s="14">
        <f t="shared" si="1"/>
        <v>215.35999999999967</v>
      </c>
      <c r="AH29" s="14">
        <f t="shared" si="2"/>
        <v>46379.929599999858</v>
      </c>
      <c r="AI29">
        <v>3</v>
      </c>
      <c r="AJ29">
        <v>1</v>
      </c>
      <c r="AK29">
        <v>12</v>
      </c>
      <c r="AL29">
        <f>AK29*AL2</f>
        <v>182.39999999999998</v>
      </c>
      <c r="AM29">
        <v>0</v>
      </c>
      <c r="AN29">
        <v>0</v>
      </c>
      <c r="AO29">
        <v>0</v>
      </c>
      <c r="AP29">
        <f>AO29*AP2</f>
        <v>0</v>
      </c>
    </row>
    <row r="30" spans="1:42" x14ac:dyDescent="0.2">
      <c r="A30" t="s">
        <v>370</v>
      </c>
      <c r="B30" t="s">
        <v>367</v>
      </c>
      <c r="C30">
        <v>7</v>
      </c>
      <c r="D30">
        <v>7</v>
      </c>
      <c r="E30">
        <v>2</v>
      </c>
      <c r="F30">
        <v>56</v>
      </c>
      <c r="G30">
        <f>F30*G2</f>
        <v>627.19999999999993</v>
      </c>
      <c r="H30">
        <v>4</v>
      </c>
      <c r="I30">
        <v>1</v>
      </c>
      <c r="J30">
        <v>16</v>
      </c>
      <c r="K30">
        <f>J30*K2</f>
        <v>169.6</v>
      </c>
      <c r="L30">
        <v>4</v>
      </c>
      <c r="M30">
        <v>1</v>
      </c>
      <c r="N30">
        <v>16</v>
      </c>
      <c r="O30">
        <f>N30*O2</f>
        <v>230.88</v>
      </c>
      <c r="P30">
        <v>1</v>
      </c>
      <c r="Q30">
        <v>1</v>
      </c>
      <c r="R30">
        <v>4</v>
      </c>
      <c r="S30">
        <f>R30*S2</f>
        <v>46.2</v>
      </c>
      <c r="T30">
        <v>2</v>
      </c>
      <c r="U30">
        <v>1</v>
      </c>
      <c r="V30">
        <v>8</v>
      </c>
      <c r="W30">
        <f>V30*W2</f>
        <v>140.80000000000001</v>
      </c>
      <c r="X30">
        <v>7</v>
      </c>
      <c r="Y30">
        <v>1</v>
      </c>
      <c r="Z30">
        <v>28</v>
      </c>
      <c r="AA30">
        <f>Z30*AA2</f>
        <v>154</v>
      </c>
      <c r="AB30">
        <v>1</v>
      </c>
      <c r="AC30">
        <v>1</v>
      </c>
      <c r="AD30">
        <v>4</v>
      </c>
      <c r="AE30">
        <f>AD30*AE2</f>
        <v>2</v>
      </c>
      <c r="AF30" s="14">
        <f t="shared" si="0"/>
        <v>1370.6799999999998</v>
      </c>
      <c r="AG30" s="14">
        <f t="shared" si="1"/>
        <v>188.31999999999948</v>
      </c>
      <c r="AH30" s="14">
        <f t="shared" si="2"/>
        <v>35464.422399999807</v>
      </c>
      <c r="AI30">
        <v>3</v>
      </c>
      <c r="AJ30">
        <v>1</v>
      </c>
      <c r="AK30">
        <v>12</v>
      </c>
      <c r="AL30">
        <f>AK30*AL2</f>
        <v>182.39999999999998</v>
      </c>
      <c r="AM30">
        <v>0</v>
      </c>
      <c r="AN30">
        <v>0</v>
      </c>
      <c r="AO30">
        <v>0</v>
      </c>
      <c r="AP30">
        <f>AO30*AP2</f>
        <v>0</v>
      </c>
    </row>
    <row r="31" spans="1:42" x14ac:dyDescent="0.2">
      <c r="A31" t="s">
        <v>327</v>
      </c>
      <c r="B31" t="s">
        <v>420</v>
      </c>
      <c r="C31">
        <v>8</v>
      </c>
      <c r="D31">
        <v>6</v>
      </c>
      <c r="E31">
        <v>1</v>
      </c>
      <c r="F31">
        <v>24</v>
      </c>
      <c r="G31">
        <f>F31*G2</f>
        <v>268.79999999999995</v>
      </c>
      <c r="H31">
        <v>0</v>
      </c>
      <c r="I31">
        <v>0</v>
      </c>
      <c r="J31">
        <v>0</v>
      </c>
      <c r="K31">
        <f>J31*K2</f>
        <v>0</v>
      </c>
      <c r="L31">
        <v>1</v>
      </c>
      <c r="M31">
        <v>1</v>
      </c>
      <c r="N31">
        <v>4</v>
      </c>
      <c r="O31">
        <f>N31*O2</f>
        <v>57.72</v>
      </c>
      <c r="P31">
        <v>3</v>
      </c>
      <c r="Q31">
        <v>1</v>
      </c>
      <c r="R31">
        <v>12</v>
      </c>
      <c r="S31">
        <f>R31*S2</f>
        <v>138.60000000000002</v>
      </c>
      <c r="T31">
        <v>3</v>
      </c>
      <c r="U31">
        <v>1</v>
      </c>
      <c r="V31">
        <v>12</v>
      </c>
      <c r="W31">
        <f>V31*W2</f>
        <v>211.20000000000002</v>
      </c>
      <c r="X31">
        <v>7</v>
      </c>
      <c r="Y31">
        <v>1</v>
      </c>
      <c r="Z31">
        <v>28</v>
      </c>
      <c r="AA31">
        <f>Z31*AA2</f>
        <v>154</v>
      </c>
      <c r="AB31">
        <v>1</v>
      </c>
      <c r="AC31">
        <v>1</v>
      </c>
      <c r="AD31">
        <v>4</v>
      </c>
      <c r="AE31">
        <f>AD31*AE2</f>
        <v>2</v>
      </c>
      <c r="AF31" s="14">
        <f t="shared" si="0"/>
        <v>832.32</v>
      </c>
      <c r="AG31" s="14">
        <f t="shared" si="1"/>
        <v>-350.0400000000003</v>
      </c>
      <c r="AH31" s="14">
        <f t="shared" si="2"/>
        <v>122528.00160000021</v>
      </c>
      <c r="AI31">
        <v>3</v>
      </c>
      <c r="AJ31">
        <v>1</v>
      </c>
      <c r="AK31">
        <v>12</v>
      </c>
      <c r="AL31">
        <f>AK31*AL2</f>
        <v>182.39999999999998</v>
      </c>
      <c r="AM31">
        <v>0</v>
      </c>
      <c r="AN31">
        <v>0</v>
      </c>
      <c r="AO31">
        <v>0</v>
      </c>
      <c r="AP31">
        <f>AO31*AP2</f>
        <v>0</v>
      </c>
    </row>
    <row r="32" spans="1:42" x14ac:dyDescent="0.2">
      <c r="A32" t="s">
        <v>275</v>
      </c>
      <c r="B32" t="s">
        <v>421</v>
      </c>
      <c r="C32">
        <v>8</v>
      </c>
      <c r="D32">
        <v>7</v>
      </c>
      <c r="E32">
        <v>2</v>
      </c>
      <c r="F32">
        <v>56</v>
      </c>
      <c r="G32">
        <f>F32*G2</f>
        <v>627.19999999999993</v>
      </c>
      <c r="H32">
        <v>1</v>
      </c>
      <c r="I32">
        <v>1</v>
      </c>
      <c r="J32">
        <v>4</v>
      </c>
      <c r="K32">
        <f>J32*K2</f>
        <v>42.4</v>
      </c>
      <c r="L32">
        <v>1</v>
      </c>
      <c r="M32">
        <v>1</v>
      </c>
      <c r="N32">
        <v>4</v>
      </c>
      <c r="O32">
        <f>N32*O2</f>
        <v>57.72</v>
      </c>
      <c r="P32">
        <v>1</v>
      </c>
      <c r="Q32">
        <v>1</v>
      </c>
      <c r="R32">
        <v>4</v>
      </c>
      <c r="S32">
        <f>R32*S2</f>
        <v>46.2</v>
      </c>
      <c r="T32">
        <v>2</v>
      </c>
      <c r="U32">
        <v>1</v>
      </c>
      <c r="V32">
        <v>8</v>
      </c>
      <c r="W32">
        <f>V32*W2</f>
        <v>140.80000000000001</v>
      </c>
      <c r="X32">
        <v>3</v>
      </c>
      <c r="Y32">
        <v>1</v>
      </c>
      <c r="Z32">
        <v>12</v>
      </c>
      <c r="AA32">
        <f>Z32*AA2</f>
        <v>66</v>
      </c>
      <c r="AB32">
        <v>0</v>
      </c>
      <c r="AC32">
        <v>0</v>
      </c>
      <c r="AD32">
        <v>0</v>
      </c>
      <c r="AE32">
        <f>AD32*AE2</f>
        <v>0</v>
      </c>
      <c r="AF32" s="14">
        <f t="shared" si="0"/>
        <v>980.31999999999994</v>
      </c>
      <c r="AG32" s="14">
        <f t="shared" si="1"/>
        <v>-202.04000000000042</v>
      </c>
      <c r="AH32" s="14">
        <f>AG32^2</f>
        <v>40820.161600000167</v>
      </c>
      <c r="AI32">
        <v>7</v>
      </c>
      <c r="AJ32">
        <v>1</v>
      </c>
      <c r="AK32">
        <v>28</v>
      </c>
      <c r="AL32">
        <f>AK32*AL2</f>
        <v>425.59999999999997</v>
      </c>
      <c r="AM32">
        <v>0</v>
      </c>
      <c r="AN32">
        <v>0</v>
      </c>
      <c r="AO32">
        <v>0</v>
      </c>
      <c r="AP32">
        <f>AO32*AP2</f>
        <v>0</v>
      </c>
    </row>
    <row r="33" spans="1:42" x14ac:dyDescent="0.2">
      <c r="A33" t="s">
        <v>280</v>
      </c>
      <c r="B33" t="s">
        <v>422</v>
      </c>
      <c r="C33">
        <v>8</v>
      </c>
      <c r="D33">
        <v>6</v>
      </c>
      <c r="E33">
        <v>2</v>
      </c>
      <c r="F33">
        <v>48</v>
      </c>
      <c r="G33">
        <f>F33*G2</f>
        <v>537.59999999999991</v>
      </c>
      <c r="H33">
        <v>0</v>
      </c>
      <c r="I33">
        <v>0</v>
      </c>
      <c r="J33">
        <v>0</v>
      </c>
      <c r="K33">
        <f>J33*K2</f>
        <v>0</v>
      </c>
      <c r="L33">
        <v>1</v>
      </c>
      <c r="M33">
        <v>1</v>
      </c>
      <c r="N33">
        <v>4</v>
      </c>
      <c r="O33">
        <f>N33*O2</f>
        <v>57.72</v>
      </c>
      <c r="P33">
        <v>3</v>
      </c>
      <c r="Q33">
        <v>2</v>
      </c>
      <c r="R33">
        <v>24</v>
      </c>
      <c r="S33">
        <f>R33*S2</f>
        <v>277.20000000000005</v>
      </c>
      <c r="T33">
        <v>4</v>
      </c>
      <c r="U33">
        <v>3</v>
      </c>
      <c r="V33">
        <v>48</v>
      </c>
      <c r="W33">
        <f>V33*W2</f>
        <v>844.80000000000007</v>
      </c>
      <c r="X33">
        <v>4</v>
      </c>
      <c r="Y33">
        <v>1</v>
      </c>
      <c r="Z33">
        <v>16</v>
      </c>
      <c r="AA33">
        <f>Z33*AA2</f>
        <v>88</v>
      </c>
      <c r="AB33">
        <v>1</v>
      </c>
      <c r="AC33">
        <v>1</v>
      </c>
      <c r="AD33">
        <v>4</v>
      </c>
      <c r="AE33">
        <f>AD33*AE2</f>
        <v>2</v>
      </c>
      <c r="AF33" s="14">
        <f t="shared" si="0"/>
        <v>1807.32</v>
      </c>
      <c r="AG33" s="14">
        <f>AF33-$AF$41</f>
        <v>624.95999999999958</v>
      </c>
      <c r="AH33" s="14">
        <f>AG33^2</f>
        <v>390575.00159999949</v>
      </c>
      <c r="AI33">
        <v>3</v>
      </c>
      <c r="AJ33">
        <v>2</v>
      </c>
      <c r="AK33">
        <v>24</v>
      </c>
      <c r="AL33">
        <f>AK33*AL2</f>
        <v>364.79999999999995</v>
      </c>
      <c r="AM33">
        <v>3</v>
      </c>
      <c r="AN33">
        <v>2</v>
      </c>
      <c r="AO33">
        <v>24</v>
      </c>
      <c r="AP33">
        <f>AO33*AP2</f>
        <v>192</v>
      </c>
    </row>
    <row r="34" spans="1:42" x14ac:dyDescent="0.2">
      <c r="A34" t="s">
        <v>285</v>
      </c>
      <c r="B34" t="s">
        <v>423</v>
      </c>
      <c r="C34">
        <v>10</v>
      </c>
      <c r="D34">
        <v>5</v>
      </c>
      <c r="E34">
        <v>2</v>
      </c>
      <c r="F34">
        <v>40</v>
      </c>
      <c r="G34">
        <f>F34*G2</f>
        <v>448</v>
      </c>
      <c r="H34">
        <v>2</v>
      </c>
      <c r="I34">
        <v>1</v>
      </c>
      <c r="J34">
        <v>8</v>
      </c>
      <c r="K34">
        <f>J34*K2</f>
        <v>84.8</v>
      </c>
      <c r="L34">
        <v>1</v>
      </c>
      <c r="M34">
        <v>1</v>
      </c>
      <c r="N34">
        <v>4</v>
      </c>
      <c r="O34">
        <f>N34*O2</f>
        <v>57.72</v>
      </c>
      <c r="P34">
        <v>2</v>
      </c>
      <c r="Q34">
        <v>1</v>
      </c>
      <c r="R34">
        <v>8</v>
      </c>
      <c r="S34">
        <f>R34*S2</f>
        <v>92.4</v>
      </c>
      <c r="T34">
        <v>3</v>
      </c>
      <c r="U34">
        <v>2</v>
      </c>
      <c r="V34">
        <v>24</v>
      </c>
      <c r="W34">
        <f>V34*W2</f>
        <v>422.40000000000003</v>
      </c>
      <c r="X34">
        <v>2</v>
      </c>
      <c r="Y34">
        <v>1</v>
      </c>
      <c r="Z34">
        <v>8</v>
      </c>
      <c r="AA34">
        <f>Z34*AA2</f>
        <v>44</v>
      </c>
      <c r="AB34">
        <v>1</v>
      </c>
      <c r="AC34">
        <v>1</v>
      </c>
      <c r="AD34">
        <v>4</v>
      </c>
      <c r="AE34">
        <f>AD34*AE2</f>
        <v>2</v>
      </c>
      <c r="AF34" s="14">
        <f t="shared" si="0"/>
        <v>1151.3200000000002</v>
      </c>
      <c r="AG34" s="14">
        <f t="shared" si="1"/>
        <v>-31.040000000000191</v>
      </c>
      <c r="AH34" s="14">
        <f t="shared" ref="AH34:AH38" si="3">AG34^2</f>
        <v>963.48160000001189</v>
      </c>
      <c r="AI34">
        <v>3</v>
      </c>
      <c r="AJ34">
        <v>2</v>
      </c>
      <c r="AK34">
        <v>24</v>
      </c>
      <c r="AL34">
        <f>AK34*AL2</f>
        <v>364.79999999999995</v>
      </c>
      <c r="AM34">
        <v>1</v>
      </c>
      <c r="AN34">
        <v>2</v>
      </c>
      <c r="AO34">
        <v>8</v>
      </c>
      <c r="AP34">
        <f>AO34*AP2</f>
        <v>64</v>
      </c>
    </row>
    <row r="35" spans="1:42" x14ac:dyDescent="0.2">
      <c r="A35" t="s">
        <v>424</v>
      </c>
      <c r="B35" t="s">
        <v>425</v>
      </c>
      <c r="C35">
        <v>6</v>
      </c>
      <c r="D35">
        <v>5</v>
      </c>
      <c r="E35">
        <v>2</v>
      </c>
      <c r="F35">
        <v>40</v>
      </c>
      <c r="G35">
        <f>F35*G2</f>
        <v>448</v>
      </c>
      <c r="H35">
        <v>2</v>
      </c>
      <c r="I35">
        <v>1</v>
      </c>
      <c r="J35">
        <v>8</v>
      </c>
      <c r="K35">
        <f>J35*K2</f>
        <v>84.8</v>
      </c>
      <c r="L35">
        <v>1</v>
      </c>
      <c r="M35">
        <v>1</v>
      </c>
      <c r="N35">
        <v>4</v>
      </c>
      <c r="O35">
        <f>N35*O2</f>
        <v>57.72</v>
      </c>
      <c r="P35">
        <v>2</v>
      </c>
      <c r="Q35">
        <v>1</v>
      </c>
      <c r="R35">
        <v>8</v>
      </c>
      <c r="S35">
        <f>R35*S2</f>
        <v>92.4</v>
      </c>
      <c r="T35">
        <v>3</v>
      </c>
      <c r="U35">
        <v>2</v>
      </c>
      <c r="V35">
        <v>24</v>
      </c>
      <c r="W35">
        <f>V35*W2</f>
        <v>422.40000000000003</v>
      </c>
      <c r="X35">
        <v>2</v>
      </c>
      <c r="Y35">
        <v>1</v>
      </c>
      <c r="Z35">
        <v>8</v>
      </c>
      <c r="AA35">
        <f>Z35*AA2</f>
        <v>44</v>
      </c>
      <c r="AB35">
        <v>1</v>
      </c>
      <c r="AC35">
        <v>1</v>
      </c>
      <c r="AD35">
        <v>4</v>
      </c>
      <c r="AE35">
        <f>AD35*AE2</f>
        <v>2</v>
      </c>
      <c r="AF35" s="14">
        <f t="shared" si="0"/>
        <v>1151.3200000000002</v>
      </c>
      <c r="AG35" s="14">
        <f t="shared" si="1"/>
        <v>-31.040000000000191</v>
      </c>
      <c r="AH35" s="14">
        <f t="shared" si="3"/>
        <v>963.48160000001189</v>
      </c>
      <c r="AI35">
        <v>3</v>
      </c>
      <c r="AJ35">
        <v>2</v>
      </c>
      <c r="AK35">
        <v>24</v>
      </c>
      <c r="AL35">
        <f>AK35*AL2</f>
        <v>364.79999999999995</v>
      </c>
      <c r="AM35">
        <v>1</v>
      </c>
      <c r="AN35">
        <v>2</v>
      </c>
      <c r="AO35">
        <v>8</v>
      </c>
      <c r="AP35">
        <f>AO35*AP2</f>
        <v>64</v>
      </c>
    </row>
    <row r="36" spans="1:42" x14ac:dyDescent="0.2">
      <c r="A36" t="s">
        <v>291</v>
      </c>
      <c r="B36" t="s">
        <v>290</v>
      </c>
      <c r="C36">
        <v>9</v>
      </c>
      <c r="D36">
        <v>1</v>
      </c>
      <c r="E36">
        <v>1</v>
      </c>
      <c r="F36">
        <v>4</v>
      </c>
      <c r="G36">
        <f>F36*G2</f>
        <v>44.8</v>
      </c>
      <c r="H36">
        <v>0</v>
      </c>
      <c r="I36">
        <v>0</v>
      </c>
      <c r="J36">
        <v>0</v>
      </c>
      <c r="K36">
        <f>J36*K2</f>
        <v>0</v>
      </c>
      <c r="L36">
        <v>1</v>
      </c>
      <c r="M36">
        <v>1</v>
      </c>
      <c r="N36">
        <v>4</v>
      </c>
      <c r="O36">
        <f>N36*O2</f>
        <v>57.72</v>
      </c>
      <c r="P36">
        <v>3</v>
      </c>
      <c r="Q36">
        <v>1</v>
      </c>
      <c r="R36">
        <v>12</v>
      </c>
      <c r="S36">
        <f>R36*S2</f>
        <v>138.60000000000002</v>
      </c>
      <c r="T36">
        <v>4</v>
      </c>
      <c r="U36">
        <v>1</v>
      </c>
      <c r="V36">
        <v>16</v>
      </c>
      <c r="W36">
        <f>V36*W2</f>
        <v>281.60000000000002</v>
      </c>
      <c r="X36">
        <v>5</v>
      </c>
      <c r="Y36">
        <v>1</v>
      </c>
      <c r="Z36">
        <v>20</v>
      </c>
      <c r="AA36">
        <f>Z36*AA2</f>
        <v>110</v>
      </c>
      <c r="AB36">
        <v>1</v>
      </c>
      <c r="AC36">
        <v>1</v>
      </c>
      <c r="AD36">
        <v>4</v>
      </c>
      <c r="AE36">
        <f>AD36*AE2</f>
        <v>2</v>
      </c>
      <c r="AF36">
        <f t="shared" si="0"/>
        <v>634.72</v>
      </c>
      <c r="AG36" s="14">
        <f t="shared" si="1"/>
        <v>-547.64000000000033</v>
      </c>
      <c r="AH36" s="14">
        <f t="shared" si="3"/>
        <v>299909.56960000034</v>
      </c>
      <c r="AI36">
        <v>5</v>
      </c>
      <c r="AJ36">
        <v>2</v>
      </c>
      <c r="AK36">
        <v>40</v>
      </c>
      <c r="AL36">
        <f>AK36*AL2</f>
        <v>608</v>
      </c>
      <c r="AM36">
        <v>2</v>
      </c>
      <c r="AN36">
        <v>1</v>
      </c>
      <c r="AO36">
        <v>8</v>
      </c>
      <c r="AP36">
        <f>AO36*AP2</f>
        <v>64</v>
      </c>
    </row>
    <row r="37" spans="1:42" x14ac:dyDescent="0.2">
      <c r="A37" t="s">
        <v>295</v>
      </c>
      <c r="B37" t="s">
        <v>426</v>
      </c>
      <c r="C37">
        <v>6</v>
      </c>
      <c r="D37">
        <v>7</v>
      </c>
      <c r="E37">
        <v>7</v>
      </c>
      <c r="F37">
        <v>196</v>
      </c>
      <c r="G37">
        <f>F37*G2</f>
        <v>2195.1999999999998</v>
      </c>
      <c r="H37">
        <v>3</v>
      </c>
      <c r="I37">
        <v>1</v>
      </c>
      <c r="J37">
        <v>12</v>
      </c>
      <c r="K37">
        <f>J37*K2</f>
        <v>127.19999999999999</v>
      </c>
      <c r="L37">
        <v>0</v>
      </c>
      <c r="M37">
        <v>0</v>
      </c>
      <c r="N37">
        <v>0</v>
      </c>
      <c r="O37">
        <f>N37*O2</f>
        <v>0</v>
      </c>
      <c r="P37">
        <v>1</v>
      </c>
      <c r="Q37">
        <v>2</v>
      </c>
      <c r="R37">
        <v>8</v>
      </c>
      <c r="S37">
        <f>R37*S2</f>
        <v>92.4</v>
      </c>
      <c r="T37">
        <v>5</v>
      </c>
      <c r="U37">
        <v>5</v>
      </c>
      <c r="V37">
        <v>100</v>
      </c>
      <c r="W37">
        <f>V37*W2</f>
        <v>1760.0000000000002</v>
      </c>
      <c r="X37">
        <v>1</v>
      </c>
      <c r="Y37">
        <v>2</v>
      </c>
      <c r="Z37">
        <v>8</v>
      </c>
      <c r="AA37">
        <f>Z37*AA2</f>
        <v>44</v>
      </c>
      <c r="AB37">
        <v>1</v>
      </c>
      <c r="AC37">
        <v>1</v>
      </c>
      <c r="AD37">
        <v>4</v>
      </c>
      <c r="AE37">
        <f>AD37*AE2</f>
        <v>2</v>
      </c>
      <c r="AF37">
        <f t="shared" si="0"/>
        <v>4220.8</v>
      </c>
      <c r="AG37" s="14">
        <f t="shared" si="1"/>
        <v>3038.4399999999996</v>
      </c>
      <c r="AH37" s="14">
        <f t="shared" si="3"/>
        <v>9232117.6335999984</v>
      </c>
      <c r="AI37">
        <v>0</v>
      </c>
      <c r="AJ37">
        <v>1</v>
      </c>
      <c r="AK37">
        <v>4</v>
      </c>
      <c r="AL37">
        <f>AK37*AL2</f>
        <v>60.8</v>
      </c>
      <c r="AM37">
        <v>0</v>
      </c>
      <c r="AN37">
        <v>1</v>
      </c>
      <c r="AO37">
        <v>4</v>
      </c>
      <c r="AP37">
        <f>AO37*AP2</f>
        <v>32</v>
      </c>
    </row>
    <row r="38" spans="1:42" x14ac:dyDescent="0.2">
      <c r="A38" t="s">
        <v>359</v>
      </c>
      <c r="B38" t="s">
        <v>427</v>
      </c>
      <c r="C38">
        <v>7</v>
      </c>
      <c r="D38">
        <v>5</v>
      </c>
      <c r="E38">
        <v>1</v>
      </c>
      <c r="F38">
        <v>20</v>
      </c>
      <c r="G38">
        <f>F38*G2</f>
        <v>224</v>
      </c>
      <c r="H38">
        <v>5</v>
      </c>
      <c r="I38">
        <v>1</v>
      </c>
      <c r="J38">
        <v>20</v>
      </c>
      <c r="K38">
        <f>J38*K2</f>
        <v>212</v>
      </c>
      <c r="L38">
        <v>1</v>
      </c>
      <c r="M38">
        <v>1</v>
      </c>
      <c r="N38">
        <v>4</v>
      </c>
      <c r="O38">
        <f>N38*O2</f>
        <v>57.72</v>
      </c>
      <c r="P38">
        <v>3</v>
      </c>
      <c r="Q38">
        <v>1</v>
      </c>
      <c r="R38">
        <v>12</v>
      </c>
      <c r="S38">
        <f>R38*S2</f>
        <v>138.60000000000002</v>
      </c>
      <c r="T38">
        <v>3</v>
      </c>
      <c r="U38">
        <v>1</v>
      </c>
      <c r="V38">
        <v>12</v>
      </c>
      <c r="W38">
        <f>V38*W2</f>
        <v>211.20000000000002</v>
      </c>
      <c r="X38">
        <v>4</v>
      </c>
      <c r="Y38">
        <v>1</v>
      </c>
      <c r="Z38">
        <v>16</v>
      </c>
      <c r="AA38">
        <f>Z38*AA2</f>
        <v>88</v>
      </c>
      <c r="AB38">
        <v>1</v>
      </c>
      <c r="AC38">
        <v>1</v>
      </c>
      <c r="AD38">
        <v>4</v>
      </c>
      <c r="AE38">
        <f>AD38*AE2</f>
        <v>2</v>
      </c>
      <c r="AF38">
        <f t="shared" si="0"/>
        <v>933.5200000000001</v>
      </c>
      <c r="AG38" s="14">
        <f t="shared" si="1"/>
        <v>-248.84000000000026</v>
      </c>
      <c r="AH38" s="14">
        <f t="shared" si="3"/>
        <v>61921.345600000132</v>
      </c>
      <c r="AI38">
        <v>5</v>
      </c>
      <c r="AJ38">
        <v>1</v>
      </c>
      <c r="AK38">
        <v>20</v>
      </c>
      <c r="AL38">
        <f>AK38*AL2</f>
        <v>304</v>
      </c>
      <c r="AM38">
        <v>2</v>
      </c>
      <c r="AN38">
        <v>1</v>
      </c>
      <c r="AO38">
        <v>8</v>
      </c>
      <c r="AP38">
        <f>AO38*AP2</f>
        <v>64</v>
      </c>
    </row>
    <row r="39" spans="1:42" x14ac:dyDescent="0.2">
      <c r="A39" t="s">
        <v>430</v>
      </c>
      <c r="B39" t="s">
        <v>431</v>
      </c>
      <c r="C39">
        <v>8</v>
      </c>
      <c r="D39">
        <v>6</v>
      </c>
      <c r="E39">
        <v>1</v>
      </c>
      <c r="F39">
        <v>24</v>
      </c>
      <c r="G39">
        <f>F39*G2</f>
        <v>268.79999999999995</v>
      </c>
      <c r="H39">
        <v>0</v>
      </c>
      <c r="I39">
        <v>0</v>
      </c>
      <c r="J39">
        <v>0</v>
      </c>
      <c r="K39">
        <f>J39*K2</f>
        <v>0</v>
      </c>
      <c r="L39">
        <v>1</v>
      </c>
      <c r="M39">
        <v>1</v>
      </c>
      <c r="N39">
        <v>4</v>
      </c>
      <c r="O39">
        <f>N39*O2</f>
        <v>57.72</v>
      </c>
      <c r="P39">
        <v>2</v>
      </c>
      <c r="Q39">
        <v>1</v>
      </c>
      <c r="R39">
        <v>8</v>
      </c>
      <c r="S39">
        <f>R39*S2</f>
        <v>92.4</v>
      </c>
      <c r="T39">
        <v>2</v>
      </c>
      <c r="U39">
        <v>1</v>
      </c>
      <c r="V39">
        <v>8</v>
      </c>
      <c r="W39">
        <f>V39*W2</f>
        <v>140.80000000000001</v>
      </c>
      <c r="X39">
        <v>5</v>
      </c>
      <c r="Y39">
        <v>1</v>
      </c>
      <c r="Z39">
        <v>20</v>
      </c>
      <c r="AA39">
        <f>Z39*AA2</f>
        <v>110</v>
      </c>
      <c r="AB39">
        <v>1</v>
      </c>
      <c r="AC39">
        <v>1</v>
      </c>
      <c r="AD39">
        <v>4</v>
      </c>
      <c r="AE39">
        <f>AD39*AE2</f>
        <v>2</v>
      </c>
      <c r="AF39">
        <f t="shared" si="0"/>
        <v>671.72</v>
      </c>
      <c r="AG39" s="14">
        <f t="shared" si="1"/>
        <v>-510.64000000000033</v>
      </c>
      <c r="AH39" s="14">
        <f>AG39^2</f>
        <v>260753.20960000032</v>
      </c>
      <c r="AI39">
        <v>1</v>
      </c>
      <c r="AJ39">
        <v>1</v>
      </c>
      <c r="AK39">
        <v>4</v>
      </c>
      <c r="AL39">
        <f>AK39*AL2</f>
        <v>60.8</v>
      </c>
      <c r="AM39">
        <v>0</v>
      </c>
      <c r="AN39">
        <v>0</v>
      </c>
      <c r="AO39">
        <v>0</v>
      </c>
      <c r="AP39">
        <f>AO39*AP2</f>
        <v>0</v>
      </c>
    </row>
    <row r="40" spans="1:42" x14ac:dyDescent="0.2">
      <c r="AE40" t="s">
        <v>550</v>
      </c>
      <c r="AF40">
        <f>COUNT(AF4:AF39)</f>
        <v>36</v>
      </c>
    </row>
    <row r="41" spans="1:42" ht="16" x14ac:dyDescent="0.2">
      <c r="A41" s="13"/>
      <c r="AE41" s="85" t="s">
        <v>548</v>
      </c>
      <c r="AF41" s="86">
        <f>AVERAGE(AF4:AF39)</f>
        <v>1182.3600000000004</v>
      </c>
      <c r="AG41" s="86"/>
      <c r="AH41" s="86"/>
    </row>
    <row r="42" spans="1:42" ht="32" x14ac:dyDescent="0.2">
      <c r="A42" s="5"/>
      <c r="B42" t="s">
        <v>398</v>
      </c>
      <c r="AG42" s="2" t="s">
        <v>552</v>
      </c>
      <c r="AH42">
        <f>SUM(AH4:AH39)</f>
        <v>15847531.100799996</v>
      </c>
    </row>
    <row r="44" spans="1:42" ht="32" x14ac:dyDescent="0.2">
      <c r="AG44" s="2" t="s">
        <v>553</v>
      </c>
      <c r="AH44" s="5">
        <f>(AH42/35)^0.5</f>
        <v>672.89419887527629</v>
      </c>
      <c r="AI44">
        <f>_xlfn.STDEV.S(AG4:AG39)</f>
        <v>672.89419887527629</v>
      </c>
    </row>
    <row r="46" spans="1:42" ht="48" x14ac:dyDescent="0.2">
      <c r="A46" s="25" t="s">
        <v>400</v>
      </c>
    </row>
    <row r="48" spans="1:42" ht="32" x14ac:dyDescent="0.2">
      <c r="A48" s="1" t="s">
        <v>129</v>
      </c>
      <c r="C48" s="14"/>
      <c r="D48" t="s">
        <v>24</v>
      </c>
      <c r="H48" t="s">
        <v>25</v>
      </c>
      <c r="L48" t="s">
        <v>387</v>
      </c>
      <c r="P48" t="s">
        <v>389</v>
      </c>
      <c r="T48" t="s">
        <v>26</v>
      </c>
      <c r="X48" t="s">
        <v>27</v>
      </c>
      <c r="AB48" t="s">
        <v>28</v>
      </c>
      <c r="AI48" t="s">
        <v>29</v>
      </c>
      <c r="AM48" s="2" t="s">
        <v>401</v>
      </c>
    </row>
    <row r="49" spans="1:42" ht="32" x14ac:dyDescent="0.2">
      <c r="F49" s="13"/>
      <c r="G49">
        <v>11.2</v>
      </c>
      <c r="K49">
        <v>10.6</v>
      </c>
      <c r="L49" t="s">
        <v>388</v>
      </c>
      <c r="O49">
        <v>14.43</v>
      </c>
      <c r="P49" t="s">
        <v>390</v>
      </c>
      <c r="S49">
        <v>11.55</v>
      </c>
      <c r="T49" t="s">
        <v>391</v>
      </c>
      <c r="W49">
        <v>17.600000000000001</v>
      </c>
      <c r="X49" t="s">
        <v>392</v>
      </c>
      <c r="AB49" s="2" t="s">
        <v>402</v>
      </c>
      <c r="AE49">
        <v>0.5</v>
      </c>
      <c r="AI49" t="s">
        <v>396</v>
      </c>
      <c r="AL49">
        <v>15.2</v>
      </c>
      <c r="AM49" t="s">
        <v>396</v>
      </c>
      <c r="AP49">
        <v>8</v>
      </c>
    </row>
    <row r="50" spans="1:42" x14ac:dyDescent="0.2">
      <c r="A50" s="1" t="s">
        <v>176</v>
      </c>
      <c r="B50" s="1" t="s">
        <v>381</v>
      </c>
      <c r="C50" s="1" t="s">
        <v>382</v>
      </c>
      <c r="D50" s="14" t="s">
        <v>383</v>
      </c>
      <c r="E50" s="14" t="s">
        <v>384</v>
      </c>
      <c r="F50" s="14" t="s">
        <v>385</v>
      </c>
      <c r="G50" s="14" t="s">
        <v>403</v>
      </c>
      <c r="H50" s="14" t="s">
        <v>383</v>
      </c>
      <c r="I50" s="14" t="s">
        <v>384</v>
      </c>
      <c r="J50" s="14" t="s">
        <v>385</v>
      </c>
      <c r="K50" s="14" t="s">
        <v>386</v>
      </c>
      <c r="L50" s="14" t="s">
        <v>383</v>
      </c>
      <c r="M50" s="14" t="s">
        <v>384</v>
      </c>
      <c r="N50" s="14" t="s">
        <v>385</v>
      </c>
      <c r="O50" s="14" t="s">
        <v>386</v>
      </c>
      <c r="P50" s="14" t="s">
        <v>383</v>
      </c>
      <c r="Q50" s="14" t="s">
        <v>384</v>
      </c>
      <c r="R50" s="14" t="s">
        <v>385</v>
      </c>
      <c r="S50" s="14" t="s">
        <v>404</v>
      </c>
      <c r="T50" s="14" t="s">
        <v>383</v>
      </c>
      <c r="U50" s="14" t="s">
        <v>384</v>
      </c>
      <c r="V50" s="14" t="s">
        <v>385</v>
      </c>
      <c r="W50" s="14" t="s">
        <v>404</v>
      </c>
      <c r="X50" s="14" t="s">
        <v>383</v>
      </c>
      <c r="Y50" s="14" t="s">
        <v>384</v>
      </c>
      <c r="Z50" s="14" t="s">
        <v>393</v>
      </c>
      <c r="AA50" s="14" t="s">
        <v>404</v>
      </c>
      <c r="AB50" s="14" t="s">
        <v>383</v>
      </c>
      <c r="AC50" s="14" t="s">
        <v>384</v>
      </c>
      <c r="AD50" s="14" t="s">
        <v>385</v>
      </c>
      <c r="AE50" s="14" t="s">
        <v>386</v>
      </c>
      <c r="AF50" t="s">
        <v>395</v>
      </c>
      <c r="AG50" t="s">
        <v>549</v>
      </c>
      <c r="AH50" t="s">
        <v>555</v>
      </c>
      <c r="AI50" t="s">
        <v>383</v>
      </c>
      <c r="AJ50" t="s">
        <v>384</v>
      </c>
      <c r="AK50" t="s">
        <v>385</v>
      </c>
      <c r="AL50" t="s">
        <v>386</v>
      </c>
      <c r="AM50" t="s">
        <v>383</v>
      </c>
      <c r="AN50" t="s">
        <v>384</v>
      </c>
      <c r="AO50" t="s">
        <v>385</v>
      </c>
      <c r="AP50" t="s">
        <v>386</v>
      </c>
    </row>
    <row r="51" spans="1:42" x14ac:dyDescent="0.2">
      <c r="A51" s="14" t="s">
        <v>442</v>
      </c>
      <c r="B51" s="14" t="s">
        <v>443</v>
      </c>
      <c r="C51" s="14">
        <v>6</v>
      </c>
      <c r="D51" s="14">
        <v>7</v>
      </c>
      <c r="E51" s="14">
        <v>2</v>
      </c>
      <c r="F51" s="14">
        <v>56</v>
      </c>
      <c r="G51" s="14">
        <f>F51*G49</f>
        <v>627.19999999999993</v>
      </c>
      <c r="H51" s="14">
        <v>4</v>
      </c>
      <c r="I51" s="14">
        <v>1</v>
      </c>
      <c r="J51" s="14">
        <v>16</v>
      </c>
      <c r="K51" s="14">
        <f>J51*K49</f>
        <v>169.6</v>
      </c>
      <c r="L51" s="14">
        <v>3</v>
      </c>
      <c r="M51" s="14">
        <v>1</v>
      </c>
      <c r="N51" s="14">
        <v>12</v>
      </c>
      <c r="O51" s="14">
        <f>N51*O49</f>
        <v>173.16</v>
      </c>
      <c r="P51" s="14">
        <v>3</v>
      </c>
      <c r="Q51" s="14">
        <v>1</v>
      </c>
      <c r="R51" s="14">
        <v>12</v>
      </c>
      <c r="S51" s="14">
        <f>R51*S49</f>
        <v>138.60000000000002</v>
      </c>
      <c r="T51" s="14">
        <v>4</v>
      </c>
      <c r="U51" s="14">
        <v>1</v>
      </c>
      <c r="V51" s="14">
        <v>16</v>
      </c>
      <c r="W51" s="14">
        <f>V51*W49</f>
        <v>281.60000000000002</v>
      </c>
      <c r="X51" s="14">
        <v>4</v>
      </c>
      <c r="Y51" s="14">
        <v>1</v>
      </c>
      <c r="Z51" s="14">
        <v>16</v>
      </c>
      <c r="AA51" s="14"/>
      <c r="AB51" s="14">
        <v>2</v>
      </c>
      <c r="AC51" s="14">
        <v>1</v>
      </c>
      <c r="AD51" s="14">
        <v>8</v>
      </c>
      <c r="AE51" s="14">
        <f>AD51*AE49</f>
        <v>4</v>
      </c>
      <c r="AF51">
        <f>AE51+AA51+W51+S51+O51+K51+G51</f>
        <v>1394.1599999999999</v>
      </c>
      <c r="AG51">
        <f>AF51-$AF$57</f>
        <v>360.06999999999994</v>
      </c>
      <c r="AH51">
        <f>(AG51)^2</f>
        <v>129650.40489999995</v>
      </c>
      <c r="AI51">
        <v>3</v>
      </c>
      <c r="AJ51">
        <v>1</v>
      </c>
      <c r="AK51">
        <v>12</v>
      </c>
      <c r="AL51">
        <f>AK51*AL49</f>
        <v>182.39999999999998</v>
      </c>
      <c r="AM51">
        <v>1</v>
      </c>
      <c r="AN51">
        <v>1</v>
      </c>
      <c r="AO51">
        <v>4</v>
      </c>
      <c r="AP51">
        <f>AO51*AP49</f>
        <v>32</v>
      </c>
    </row>
    <row r="52" spans="1:42" x14ac:dyDescent="0.2">
      <c r="A52" t="s">
        <v>331</v>
      </c>
      <c r="B52" t="s">
        <v>405</v>
      </c>
      <c r="C52">
        <v>10</v>
      </c>
      <c r="D52">
        <v>5</v>
      </c>
      <c r="E52">
        <v>1</v>
      </c>
      <c r="F52">
        <v>20</v>
      </c>
      <c r="G52">
        <f>F52*G49</f>
        <v>224</v>
      </c>
      <c r="H52">
        <v>3</v>
      </c>
      <c r="I52">
        <v>1</v>
      </c>
      <c r="J52">
        <v>12</v>
      </c>
      <c r="K52">
        <f>J52*K49</f>
        <v>127.19999999999999</v>
      </c>
      <c r="L52">
        <v>2</v>
      </c>
      <c r="M52">
        <v>1</v>
      </c>
      <c r="N52">
        <v>8</v>
      </c>
      <c r="O52">
        <f>N52*O49</f>
        <v>115.44</v>
      </c>
      <c r="P52">
        <v>4</v>
      </c>
      <c r="Q52">
        <v>1</v>
      </c>
      <c r="R52">
        <v>16</v>
      </c>
      <c r="S52">
        <f>R52*S49</f>
        <v>184.8</v>
      </c>
      <c r="T52">
        <v>3</v>
      </c>
      <c r="U52">
        <v>2</v>
      </c>
      <c r="V52">
        <v>24</v>
      </c>
      <c r="W52">
        <f>V52*W49</f>
        <v>422.40000000000003</v>
      </c>
      <c r="X52">
        <v>4</v>
      </c>
      <c r="Y52">
        <v>1</v>
      </c>
      <c r="Z52">
        <v>16</v>
      </c>
      <c r="AB52">
        <v>2</v>
      </c>
      <c r="AC52">
        <v>1</v>
      </c>
      <c r="AD52">
        <v>8</v>
      </c>
      <c r="AE52">
        <f>AD52*AE49</f>
        <v>4</v>
      </c>
      <c r="AF52">
        <f>AE52+AA52+W52+S52+O52+K52+G52</f>
        <v>1077.8400000000001</v>
      </c>
      <c r="AG52">
        <f t="shared" ref="AG52:AG54" si="4">AF52-$AF$57</f>
        <v>43.750000000000227</v>
      </c>
      <c r="AH52">
        <f t="shared" ref="AH52:AH54" si="5">(AG52)^2</f>
        <v>1914.06250000002</v>
      </c>
      <c r="AI52">
        <v>7</v>
      </c>
      <c r="AJ52">
        <v>7</v>
      </c>
      <c r="AK52">
        <v>28</v>
      </c>
      <c r="AL52">
        <f>AK52*AL49</f>
        <v>425.59999999999997</v>
      </c>
      <c r="AM52">
        <v>4</v>
      </c>
      <c r="AN52">
        <v>1</v>
      </c>
      <c r="AO52">
        <v>16</v>
      </c>
      <c r="AP52">
        <f>AO52*AP49</f>
        <v>128</v>
      </c>
    </row>
    <row r="53" spans="1:42" x14ac:dyDescent="0.2">
      <c r="A53" s="14" t="s">
        <v>333</v>
      </c>
      <c r="B53" t="s">
        <v>406</v>
      </c>
      <c r="C53">
        <v>7</v>
      </c>
      <c r="D53">
        <v>7</v>
      </c>
      <c r="E53">
        <v>1</v>
      </c>
      <c r="F53">
        <v>28</v>
      </c>
      <c r="G53">
        <f>F53*G49</f>
        <v>313.59999999999997</v>
      </c>
      <c r="H53">
        <v>3</v>
      </c>
      <c r="I53">
        <v>1</v>
      </c>
      <c r="J53">
        <v>12</v>
      </c>
      <c r="K53">
        <f>J53*K49</f>
        <v>127.19999999999999</v>
      </c>
      <c r="L53">
        <v>3</v>
      </c>
      <c r="M53">
        <v>1</v>
      </c>
      <c r="N53">
        <v>12</v>
      </c>
      <c r="O53">
        <f>N53*O49</f>
        <v>173.16</v>
      </c>
      <c r="P53">
        <v>4</v>
      </c>
      <c r="Q53">
        <v>2</v>
      </c>
      <c r="R53">
        <v>16</v>
      </c>
      <c r="S53">
        <f>R53*S49</f>
        <v>184.8</v>
      </c>
      <c r="T53">
        <v>3</v>
      </c>
      <c r="U53">
        <v>1</v>
      </c>
      <c r="V53">
        <v>12</v>
      </c>
      <c r="W53">
        <f>V53*W49</f>
        <v>211.20000000000002</v>
      </c>
      <c r="X53">
        <v>3</v>
      </c>
      <c r="Y53">
        <v>1</v>
      </c>
      <c r="Z53">
        <v>12</v>
      </c>
      <c r="AB53">
        <v>2</v>
      </c>
      <c r="AC53">
        <v>1</v>
      </c>
      <c r="AD53">
        <v>8</v>
      </c>
      <c r="AE53">
        <f>AD53*AE49</f>
        <v>4</v>
      </c>
      <c r="AF53">
        <f>AE53+AA53+W53+S53+O53+K53+G53</f>
        <v>1013.9599999999998</v>
      </c>
      <c r="AG53">
        <f t="shared" si="4"/>
        <v>-20.130000000000109</v>
      </c>
      <c r="AH53">
        <f t="shared" si="5"/>
        <v>405.21690000000439</v>
      </c>
      <c r="AI53">
        <v>5</v>
      </c>
      <c r="AJ53">
        <v>1</v>
      </c>
      <c r="AK53">
        <v>20</v>
      </c>
      <c r="AL53">
        <f>AK53*AL49</f>
        <v>304</v>
      </c>
      <c r="AM53">
        <v>3</v>
      </c>
      <c r="AN53">
        <v>1</v>
      </c>
      <c r="AO53">
        <v>12</v>
      </c>
      <c r="AP53">
        <f>AO53*AP49</f>
        <v>96</v>
      </c>
    </row>
    <row r="54" spans="1:42" x14ac:dyDescent="0.2">
      <c r="A54" s="14" t="s">
        <v>440</v>
      </c>
      <c r="B54" t="s">
        <v>441</v>
      </c>
      <c r="C54">
        <v>7</v>
      </c>
      <c r="D54">
        <v>1</v>
      </c>
      <c r="E54">
        <v>1</v>
      </c>
      <c r="F54">
        <v>4</v>
      </c>
      <c r="G54">
        <f>F54*G49</f>
        <v>44.8</v>
      </c>
      <c r="H54">
        <v>1</v>
      </c>
      <c r="I54">
        <v>1</v>
      </c>
      <c r="J54">
        <v>4</v>
      </c>
      <c r="K54">
        <f>J54*K49</f>
        <v>42.4</v>
      </c>
      <c r="L54">
        <v>0</v>
      </c>
      <c r="M54">
        <v>0</v>
      </c>
      <c r="N54">
        <v>0</v>
      </c>
      <c r="O54">
        <f>N54*O49</f>
        <v>0</v>
      </c>
      <c r="P54">
        <v>0</v>
      </c>
      <c r="Q54">
        <v>0</v>
      </c>
      <c r="R54">
        <v>0</v>
      </c>
      <c r="S54">
        <f>R54*S49</f>
        <v>0</v>
      </c>
      <c r="T54">
        <v>4</v>
      </c>
      <c r="U54">
        <v>2</v>
      </c>
      <c r="V54">
        <v>32</v>
      </c>
      <c r="W54">
        <f>V54*W49</f>
        <v>563.20000000000005</v>
      </c>
      <c r="X54">
        <v>2</v>
      </c>
      <c r="Y54">
        <v>1</v>
      </c>
      <c r="Z54">
        <v>8</v>
      </c>
      <c r="AB54">
        <v>0</v>
      </c>
      <c r="AC54">
        <v>0</v>
      </c>
      <c r="AD54">
        <v>0</v>
      </c>
      <c r="AE54">
        <f>AD54*AE49</f>
        <v>0</v>
      </c>
      <c r="AF54">
        <f>AE54+AA54+W54+S54+O54+K54+G54</f>
        <v>650.4</v>
      </c>
      <c r="AG54">
        <f t="shared" si="4"/>
        <v>-383.68999999999994</v>
      </c>
      <c r="AH54">
        <f t="shared" si="5"/>
        <v>147218.01609999995</v>
      </c>
      <c r="AI54">
        <v>0</v>
      </c>
      <c r="AJ54">
        <v>0</v>
      </c>
      <c r="AK54">
        <v>0</v>
      </c>
      <c r="AL54">
        <f>AK54</f>
        <v>0</v>
      </c>
      <c r="AM54">
        <v>0</v>
      </c>
      <c r="AN54">
        <v>0</v>
      </c>
      <c r="AO54">
        <v>0</v>
      </c>
      <c r="AP54">
        <f>AO54*AP49</f>
        <v>0</v>
      </c>
    </row>
    <row r="56" spans="1:42" x14ac:dyDescent="0.2">
      <c r="AE56" t="s">
        <v>554</v>
      </c>
      <c r="AF56">
        <v>4</v>
      </c>
    </row>
    <row r="57" spans="1:42" x14ac:dyDescent="0.2">
      <c r="AE57" t="s">
        <v>548</v>
      </c>
      <c r="AF57">
        <f>AVERAGE(AF51:AF54)</f>
        <v>1034.0899999999999</v>
      </c>
    </row>
    <row r="58" spans="1:42" x14ac:dyDescent="0.2">
      <c r="AG58" t="s">
        <v>556</v>
      </c>
      <c r="AH58">
        <f>SUM(AH51:AH54)</f>
        <v>279187.70039999991</v>
      </c>
    </row>
    <row r="60" spans="1:42" ht="32" x14ac:dyDescent="0.2">
      <c r="AG60" s="2" t="s">
        <v>553</v>
      </c>
      <c r="AH60">
        <f>(AH58/3)^0.5</f>
        <v>305.06157870174337</v>
      </c>
    </row>
    <row r="63" spans="1:42" x14ac:dyDescent="0.2">
      <c r="A63" s="1" t="s">
        <v>412</v>
      </c>
    </row>
    <row r="64" spans="1:42" ht="32" x14ac:dyDescent="0.2">
      <c r="A64" s="14" t="s">
        <v>432</v>
      </c>
      <c r="B64" s="2" t="s">
        <v>433</v>
      </c>
    </row>
    <row r="65" spans="1:2" ht="48" x14ac:dyDescent="0.2">
      <c r="A65" s="2" t="s">
        <v>380</v>
      </c>
      <c r="B65" s="2" t="s">
        <v>413</v>
      </c>
    </row>
    <row r="66" spans="1:2" ht="48" x14ac:dyDescent="0.2">
      <c r="A66" t="s">
        <v>307</v>
      </c>
      <c r="B66" s="2" t="s">
        <v>418</v>
      </c>
    </row>
    <row r="67" spans="1:2" ht="32" x14ac:dyDescent="0.2">
      <c r="A67" t="s">
        <v>428</v>
      </c>
      <c r="B67" s="2" t="s">
        <v>429</v>
      </c>
    </row>
  </sheetData>
  <pageMargins left="0.7" right="0.7" top="0.75" bottom="0.75" header="0.3" footer="0.3"/>
  <pageSetup orientation="portrait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C51040-E312-4089-8AC6-21ACBBB61327}">
  <dimension ref="A1:AI51"/>
  <sheetViews>
    <sheetView zoomScale="80" zoomScaleNormal="80" workbookViewId="0"/>
  </sheetViews>
  <sheetFormatPr baseColWidth="10" defaultRowHeight="15" x14ac:dyDescent="0.2"/>
  <cols>
    <col min="2" max="2" width="33.5" customWidth="1"/>
    <col min="4" max="4" width="20.33203125" customWidth="1"/>
    <col min="5" max="5" width="14" customWidth="1"/>
    <col min="6" max="6" width="15.6640625" customWidth="1"/>
    <col min="7" max="7" width="18.5" customWidth="1"/>
    <col min="8" max="8" width="19.1640625" customWidth="1"/>
    <col min="9" max="9" width="14.1640625" customWidth="1"/>
    <col min="10" max="10" width="16.5" customWidth="1"/>
    <col min="11" max="11" width="18.1640625" customWidth="1"/>
    <col min="12" max="12" width="23.5" customWidth="1"/>
    <col min="13" max="13" width="17.5" customWidth="1"/>
    <col min="14" max="14" width="17.83203125" customWidth="1"/>
    <col min="15" max="15" width="20.5" customWidth="1"/>
    <col min="16" max="16" width="22" customWidth="1"/>
    <col min="17" max="17" width="13.1640625" customWidth="1"/>
    <col min="18" max="18" width="15.6640625" customWidth="1"/>
    <col min="19" max="19" width="16.1640625" customWidth="1"/>
    <col min="20" max="20" width="19" customWidth="1"/>
    <col min="21" max="21" width="14.83203125" customWidth="1"/>
    <col min="22" max="22" width="15.33203125" customWidth="1"/>
    <col min="23" max="23" width="17.5" customWidth="1"/>
    <col min="27" max="27" width="16" customWidth="1"/>
    <col min="28" max="28" width="22.6640625" customWidth="1"/>
    <col min="29" max="29" width="14.5" customWidth="1"/>
    <col min="30" max="30" width="17.5" customWidth="1"/>
    <col min="31" max="31" width="16" customWidth="1"/>
    <col min="32" max="34" width="19.83203125" customWidth="1"/>
    <col min="35" max="35" width="25.6640625" customWidth="1"/>
    <col min="36" max="36" width="16.83203125" customWidth="1"/>
  </cols>
  <sheetData>
    <row r="1" spans="1:35" x14ac:dyDescent="0.2">
      <c r="A1" t="s">
        <v>88</v>
      </c>
      <c r="D1" t="s">
        <v>24</v>
      </c>
      <c r="H1" t="s">
        <v>500</v>
      </c>
      <c r="L1" t="s">
        <v>387</v>
      </c>
      <c r="P1" t="s">
        <v>389</v>
      </c>
      <c r="T1" t="s">
        <v>26</v>
      </c>
      <c r="X1" t="s">
        <v>27</v>
      </c>
      <c r="AB1" t="s">
        <v>28</v>
      </c>
    </row>
    <row r="2" spans="1:35" x14ac:dyDescent="0.2">
      <c r="G2">
        <v>11.2</v>
      </c>
      <c r="K2">
        <v>10.6</v>
      </c>
      <c r="L2" t="s">
        <v>390</v>
      </c>
      <c r="O2">
        <v>14.43</v>
      </c>
      <c r="P2" t="s">
        <v>390</v>
      </c>
      <c r="S2">
        <v>11.55</v>
      </c>
      <c r="T2" t="s">
        <v>391</v>
      </c>
      <c r="W2">
        <v>17.600000000000001</v>
      </c>
      <c r="X2" t="s">
        <v>392</v>
      </c>
      <c r="AA2">
        <v>5.5</v>
      </c>
      <c r="AB2" t="s">
        <v>501</v>
      </c>
      <c r="AE2">
        <v>7.5</v>
      </c>
    </row>
    <row r="3" spans="1:35" x14ac:dyDescent="0.2">
      <c r="A3" t="s">
        <v>176</v>
      </c>
      <c r="B3" t="s">
        <v>381</v>
      </c>
      <c r="C3" t="s">
        <v>382</v>
      </c>
      <c r="D3" t="s">
        <v>383</v>
      </c>
      <c r="E3" t="s">
        <v>384</v>
      </c>
      <c r="F3" t="s">
        <v>385</v>
      </c>
      <c r="G3" t="s">
        <v>502</v>
      </c>
      <c r="H3" t="s">
        <v>383</v>
      </c>
      <c r="I3" t="s">
        <v>384</v>
      </c>
      <c r="J3" t="s">
        <v>385</v>
      </c>
      <c r="K3" t="s">
        <v>502</v>
      </c>
      <c r="L3" t="s">
        <v>383</v>
      </c>
      <c r="M3" t="s">
        <v>384</v>
      </c>
      <c r="N3" t="s">
        <v>385</v>
      </c>
      <c r="O3" t="s">
        <v>502</v>
      </c>
      <c r="P3" t="s">
        <v>383</v>
      </c>
      <c r="Q3" t="s">
        <v>384</v>
      </c>
      <c r="R3" t="s">
        <v>385</v>
      </c>
      <c r="S3" t="s">
        <v>502</v>
      </c>
      <c r="T3" t="s">
        <v>383</v>
      </c>
      <c r="U3" t="s">
        <v>384</v>
      </c>
      <c r="V3" t="s">
        <v>385</v>
      </c>
      <c r="W3" t="s">
        <v>502</v>
      </c>
      <c r="X3" t="s">
        <v>383</v>
      </c>
      <c r="Y3" t="s">
        <v>384</v>
      </c>
      <c r="Z3" t="s">
        <v>393</v>
      </c>
      <c r="AA3" t="s">
        <v>502</v>
      </c>
      <c r="AB3" t="s">
        <v>383</v>
      </c>
      <c r="AC3" t="s">
        <v>384</v>
      </c>
      <c r="AD3" t="s">
        <v>385</v>
      </c>
      <c r="AE3" t="s">
        <v>502</v>
      </c>
      <c r="AF3" t="s">
        <v>395</v>
      </c>
      <c r="AG3" t="s">
        <v>549</v>
      </c>
      <c r="AH3" t="s">
        <v>551</v>
      </c>
      <c r="AI3" t="s">
        <v>559</v>
      </c>
    </row>
    <row r="4" spans="1:35" x14ac:dyDescent="0.2">
      <c r="A4" t="s">
        <v>447</v>
      </c>
      <c r="B4" t="s">
        <v>448</v>
      </c>
      <c r="C4">
        <v>7</v>
      </c>
      <c r="D4">
        <v>1</v>
      </c>
      <c r="E4">
        <v>1</v>
      </c>
      <c r="F4">
        <v>4</v>
      </c>
      <c r="G4">
        <f t="shared" ref="G4:G21" si="0">$G$2*F4</f>
        <v>44.8</v>
      </c>
      <c r="H4">
        <v>1</v>
      </c>
      <c r="I4">
        <v>1</v>
      </c>
      <c r="J4">
        <v>4</v>
      </c>
      <c r="K4">
        <f t="shared" ref="K4:K21" si="1">J4*$K$2</f>
        <v>42.4</v>
      </c>
      <c r="L4">
        <v>3</v>
      </c>
      <c r="M4">
        <v>1</v>
      </c>
      <c r="N4">
        <f>((L4*M4)*4)</f>
        <v>12</v>
      </c>
      <c r="O4">
        <f>N4*$O$2</f>
        <v>173.16</v>
      </c>
      <c r="P4">
        <v>0</v>
      </c>
      <c r="R4">
        <f>((P4*Q4)*4)</f>
        <v>0</v>
      </c>
      <c r="S4">
        <f t="shared" ref="S4:S20" si="2">(S$2*R4)</f>
        <v>0</v>
      </c>
      <c r="T4">
        <v>2</v>
      </c>
      <c r="U4">
        <v>1</v>
      </c>
      <c r="V4">
        <f>((T4*U4)*4)</f>
        <v>8</v>
      </c>
      <c r="W4">
        <f t="shared" ref="W4:W21" si="3">(W$2*V4)</f>
        <v>140.80000000000001</v>
      </c>
      <c r="X4">
        <v>3</v>
      </c>
      <c r="Y4">
        <v>3</v>
      </c>
      <c r="Z4">
        <f t="shared" ref="Z4:Z14" si="4">(X4*Y4)*4</f>
        <v>36</v>
      </c>
      <c r="AA4">
        <f t="shared" ref="AA4:AA21" si="5">(AA$2*Z4)</f>
        <v>198</v>
      </c>
      <c r="AD4">
        <f>(AB4*AC4)*4</f>
        <v>0</v>
      </c>
      <c r="AE4">
        <f t="shared" ref="AE4:AE21" si="6">(AE$2*AD4)</f>
        <v>0</v>
      </c>
      <c r="AF4">
        <f>SUM(AE4+AA4+W4+S4+O4+K4+G4)</f>
        <v>599.16</v>
      </c>
      <c r="AG4">
        <f>AF4-$AF$48</f>
        <v>282.3129694594594</v>
      </c>
      <c r="AH4">
        <f>(AG4)^2</f>
        <v>79700.612725017651</v>
      </c>
      <c r="AI4">
        <f>AF4/30</f>
        <v>19.971999999999998</v>
      </c>
    </row>
    <row r="5" spans="1:35" x14ac:dyDescent="0.2">
      <c r="A5" t="s">
        <v>449</v>
      </c>
      <c r="B5" t="s">
        <v>450</v>
      </c>
      <c r="C5">
        <v>8</v>
      </c>
      <c r="D5">
        <v>3</v>
      </c>
      <c r="E5">
        <v>1</v>
      </c>
      <c r="F5">
        <v>12</v>
      </c>
      <c r="G5">
        <f t="shared" si="0"/>
        <v>134.39999999999998</v>
      </c>
      <c r="H5">
        <v>1</v>
      </c>
      <c r="I5">
        <v>1</v>
      </c>
      <c r="J5">
        <v>4</v>
      </c>
      <c r="K5">
        <f t="shared" si="1"/>
        <v>42.4</v>
      </c>
      <c r="L5" t="s">
        <v>503</v>
      </c>
      <c r="M5">
        <v>1</v>
      </c>
      <c r="N5">
        <v>0.16</v>
      </c>
      <c r="O5">
        <f t="shared" ref="O5:O21" si="7">N5*$O$2</f>
        <v>2.3088000000000002</v>
      </c>
      <c r="P5" t="s">
        <v>504</v>
      </c>
      <c r="R5">
        <v>0.25</v>
      </c>
      <c r="S5">
        <f t="shared" si="2"/>
        <v>2.8875000000000002</v>
      </c>
      <c r="T5" t="s">
        <v>503</v>
      </c>
      <c r="V5">
        <v>0.16</v>
      </c>
      <c r="W5">
        <f t="shared" si="3"/>
        <v>2.8160000000000003</v>
      </c>
      <c r="X5">
        <v>3</v>
      </c>
      <c r="Y5">
        <v>1</v>
      </c>
      <c r="Z5">
        <f t="shared" si="4"/>
        <v>12</v>
      </c>
      <c r="AA5">
        <f t="shared" si="5"/>
        <v>66</v>
      </c>
      <c r="AD5">
        <v>1</v>
      </c>
      <c r="AE5">
        <f t="shared" si="6"/>
        <v>7.5</v>
      </c>
      <c r="AF5">
        <f t="shared" ref="AF5:AF21" si="8">SUM(AE5+AA5+W5+S5+O5+K5+G5)</f>
        <v>258.31229999999999</v>
      </c>
      <c r="AG5">
        <f t="shared" ref="AG5:AG45" si="9">AF5-$AF$48</f>
        <v>-58.534730540540579</v>
      </c>
      <c r="AH5">
        <f>(AG5)^2</f>
        <v>3426.3146794536938</v>
      </c>
      <c r="AI5">
        <f t="shared" ref="AI5:AI45" si="10">AF5/30</f>
        <v>8.6104099999999999</v>
      </c>
    </row>
    <row r="6" spans="1:35" x14ac:dyDescent="0.2">
      <c r="A6" t="s">
        <v>451</v>
      </c>
      <c r="B6" t="s">
        <v>452</v>
      </c>
      <c r="C6">
        <v>5</v>
      </c>
      <c r="D6">
        <v>3</v>
      </c>
      <c r="E6">
        <v>1</v>
      </c>
      <c r="F6">
        <v>12</v>
      </c>
      <c r="G6">
        <f t="shared" si="0"/>
        <v>134.39999999999998</v>
      </c>
      <c r="H6">
        <v>1</v>
      </c>
      <c r="I6">
        <v>1</v>
      </c>
      <c r="J6">
        <v>4</v>
      </c>
      <c r="K6">
        <f t="shared" si="1"/>
        <v>42.4</v>
      </c>
      <c r="L6" t="s">
        <v>503</v>
      </c>
      <c r="M6">
        <v>1</v>
      </c>
      <c r="N6">
        <v>0.16</v>
      </c>
      <c r="O6">
        <f t="shared" si="7"/>
        <v>2.3088000000000002</v>
      </c>
      <c r="P6" t="s">
        <v>505</v>
      </c>
      <c r="R6">
        <v>0.25</v>
      </c>
      <c r="S6">
        <f t="shared" si="2"/>
        <v>2.8875000000000002</v>
      </c>
      <c r="T6" t="s">
        <v>504</v>
      </c>
      <c r="V6">
        <v>0.16</v>
      </c>
      <c r="W6">
        <f t="shared" si="3"/>
        <v>2.8160000000000003</v>
      </c>
      <c r="X6">
        <v>3</v>
      </c>
      <c r="Y6">
        <v>1</v>
      </c>
      <c r="Z6">
        <f t="shared" si="4"/>
        <v>12</v>
      </c>
      <c r="AA6">
        <f t="shared" si="5"/>
        <v>66</v>
      </c>
      <c r="AD6">
        <v>1</v>
      </c>
      <c r="AE6">
        <f t="shared" si="6"/>
        <v>7.5</v>
      </c>
      <c r="AF6">
        <f t="shared" si="8"/>
        <v>258.31229999999999</v>
      </c>
      <c r="AG6">
        <f t="shared" si="9"/>
        <v>-58.534730540540579</v>
      </c>
      <c r="AH6">
        <f t="shared" ref="AH6:AH21" si="11">(AG6)^2</f>
        <v>3426.3146794536938</v>
      </c>
      <c r="AI6">
        <f t="shared" si="10"/>
        <v>8.6104099999999999</v>
      </c>
    </row>
    <row r="7" spans="1:35" x14ac:dyDescent="0.2">
      <c r="A7" t="s">
        <v>109</v>
      </c>
      <c r="B7" t="s">
        <v>453</v>
      </c>
      <c r="C7">
        <v>7</v>
      </c>
      <c r="D7">
        <v>1</v>
      </c>
      <c r="E7">
        <v>2</v>
      </c>
      <c r="F7">
        <v>8</v>
      </c>
      <c r="G7">
        <f t="shared" si="0"/>
        <v>89.6</v>
      </c>
      <c r="H7">
        <v>1</v>
      </c>
      <c r="I7">
        <v>1</v>
      </c>
      <c r="J7">
        <v>4</v>
      </c>
      <c r="K7">
        <f t="shared" si="1"/>
        <v>42.4</v>
      </c>
      <c r="L7">
        <v>1</v>
      </c>
      <c r="M7">
        <v>1</v>
      </c>
      <c r="N7">
        <f t="shared" ref="N7:N13" si="12">((L7*M7)*4)</f>
        <v>4</v>
      </c>
      <c r="O7">
        <f t="shared" si="7"/>
        <v>57.72</v>
      </c>
      <c r="P7">
        <v>0</v>
      </c>
      <c r="Q7">
        <v>0</v>
      </c>
      <c r="R7">
        <v>0</v>
      </c>
      <c r="S7">
        <f t="shared" si="2"/>
        <v>0</v>
      </c>
      <c r="T7">
        <v>1</v>
      </c>
      <c r="U7">
        <v>2</v>
      </c>
      <c r="V7">
        <f t="shared" ref="V7:V12" si="13">((T7*U7)*4)</f>
        <v>8</v>
      </c>
      <c r="W7">
        <f t="shared" si="3"/>
        <v>140.80000000000001</v>
      </c>
      <c r="X7">
        <v>1</v>
      </c>
      <c r="Y7">
        <v>4</v>
      </c>
      <c r="Z7">
        <f t="shared" si="4"/>
        <v>16</v>
      </c>
      <c r="AA7">
        <f t="shared" si="5"/>
        <v>88</v>
      </c>
      <c r="AB7">
        <v>0</v>
      </c>
      <c r="AC7">
        <v>0</v>
      </c>
      <c r="AD7">
        <v>0</v>
      </c>
      <c r="AE7">
        <f t="shared" si="6"/>
        <v>0</v>
      </c>
      <c r="AF7">
        <f t="shared" si="8"/>
        <v>418.52</v>
      </c>
      <c r="AG7">
        <f t="shared" si="9"/>
        <v>101.67296945945941</v>
      </c>
      <c r="AH7">
        <f t="shared" si="11"/>
        <v>10337.392718704166</v>
      </c>
      <c r="AI7">
        <f t="shared" si="10"/>
        <v>13.950666666666667</v>
      </c>
    </row>
    <row r="8" spans="1:35" x14ac:dyDescent="0.2">
      <c r="A8" t="s">
        <v>111</v>
      </c>
      <c r="B8" t="s">
        <v>454</v>
      </c>
      <c r="C8">
        <v>6</v>
      </c>
      <c r="D8">
        <v>1</v>
      </c>
      <c r="E8">
        <v>2</v>
      </c>
      <c r="F8">
        <v>8</v>
      </c>
      <c r="G8">
        <f t="shared" si="0"/>
        <v>89.6</v>
      </c>
      <c r="H8">
        <v>0</v>
      </c>
      <c r="I8">
        <v>0</v>
      </c>
      <c r="J8">
        <v>0</v>
      </c>
      <c r="K8">
        <f t="shared" si="1"/>
        <v>0</v>
      </c>
      <c r="L8">
        <v>1</v>
      </c>
      <c r="M8">
        <v>1</v>
      </c>
      <c r="N8">
        <f t="shared" si="12"/>
        <v>4</v>
      </c>
      <c r="O8">
        <f t="shared" si="7"/>
        <v>57.72</v>
      </c>
      <c r="P8">
        <v>0</v>
      </c>
      <c r="Q8">
        <v>0</v>
      </c>
      <c r="R8">
        <v>0</v>
      </c>
      <c r="S8">
        <f t="shared" si="2"/>
        <v>0</v>
      </c>
      <c r="T8">
        <v>1</v>
      </c>
      <c r="U8">
        <v>2</v>
      </c>
      <c r="V8">
        <f t="shared" si="13"/>
        <v>8</v>
      </c>
      <c r="W8">
        <f t="shared" si="3"/>
        <v>140.80000000000001</v>
      </c>
      <c r="X8">
        <v>1</v>
      </c>
      <c r="Y8">
        <v>4</v>
      </c>
      <c r="Z8">
        <f t="shared" si="4"/>
        <v>16</v>
      </c>
      <c r="AA8">
        <f t="shared" si="5"/>
        <v>88</v>
      </c>
      <c r="AB8">
        <v>0</v>
      </c>
      <c r="AC8">
        <v>0</v>
      </c>
      <c r="AD8">
        <v>0</v>
      </c>
      <c r="AE8">
        <f t="shared" si="6"/>
        <v>0</v>
      </c>
      <c r="AF8">
        <f t="shared" si="8"/>
        <v>376.12</v>
      </c>
      <c r="AG8">
        <f t="shared" si="9"/>
        <v>59.272969459459432</v>
      </c>
      <c r="AH8">
        <f t="shared" si="11"/>
        <v>3513.2849085420107</v>
      </c>
      <c r="AI8">
        <f t="shared" si="10"/>
        <v>12.537333333333333</v>
      </c>
    </row>
    <row r="9" spans="1:35" x14ac:dyDescent="0.2">
      <c r="A9" t="s">
        <v>455</v>
      </c>
      <c r="B9" t="s">
        <v>456</v>
      </c>
      <c r="C9">
        <v>10</v>
      </c>
      <c r="D9">
        <v>1</v>
      </c>
      <c r="E9">
        <v>1</v>
      </c>
      <c r="F9">
        <v>4</v>
      </c>
      <c r="G9">
        <f t="shared" si="0"/>
        <v>44.8</v>
      </c>
      <c r="H9">
        <v>0</v>
      </c>
      <c r="I9">
        <v>0</v>
      </c>
      <c r="J9">
        <v>0</v>
      </c>
      <c r="K9">
        <f t="shared" si="1"/>
        <v>0</v>
      </c>
      <c r="L9">
        <v>0</v>
      </c>
      <c r="M9">
        <v>0</v>
      </c>
      <c r="N9">
        <f t="shared" si="12"/>
        <v>0</v>
      </c>
      <c r="O9">
        <f t="shared" si="7"/>
        <v>0</v>
      </c>
      <c r="P9">
        <v>0</v>
      </c>
      <c r="Q9">
        <v>0</v>
      </c>
      <c r="R9">
        <v>0</v>
      </c>
      <c r="S9">
        <f t="shared" si="2"/>
        <v>0</v>
      </c>
      <c r="T9">
        <v>1</v>
      </c>
      <c r="U9">
        <v>1</v>
      </c>
      <c r="V9">
        <f t="shared" si="13"/>
        <v>4</v>
      </c>
      <c r="W9">
        <f t="shared" si="3"/>
        <v>70.400000000000006</v>
      </c>
      <c r="X9">
        <v>2</v>
      </c>
      <c r="Y9">
        <v>1</v>
      </c>
      <c r="Z9">
        <f t="shared" si="4"/>
        <v>8</v>
      </c>
      <c r="AA9">
        <f t="shared" si="5"/>
        <v>44</v>
      </c>
      <c r="AB9">
        <v>0</v>
      </c>
      <c r="AC9">
        <v>0</v>
      </c>
      <c r="AD9">
        <v>0</v>
      </c>
      <c r="AE9">
        <f t="shared" si="6"/>
        <v>0</v>
      </c>
      <c r="AF9">
        <f t="shared" si="8"/>
        <v>159.19999999999999</v>
      </c>
      <c r="AG9">
        <f t="shared" si="9"/>
        <v>-157.64703054054058</v>
      </c>
      <c r="AH9">
        <f t="shared" si="11"/>
        <v>24852.586238250136</v>
      </c>
      <c r="AI9">
        <f t="shared" si="10"/>
        <v>5.3066666666666666</v>
      </c>
    </row>
    <row r="10" spans="1:35" x14ac:dyDescent="0.2">
      <c r="A10" t="s">
        <v>457</v>
      </c>
      <c r="B10" t="s">
        <v>458</v>
      </c>
      <c r="C10">
        <v>8</v>
      </c>
      <c r="D10">
        <v>1</v>
      </c>
      <c r="E10">
        <v>1</v>
      </c>
      <c r="F10">
        <v>4</v>
      </c>
      <c r="G10">
        <f t="shared" si="0"/>
        <v>44.8</v>
      </c>
      <c r="H10">
        <v>0</v>
      </c>
      <c r="I10">
        <v>0</v>
      </c>
      <c r="J10">
        <v>0</v>
      </c>
      <c r="K10">
        <f t="shared" si="1"/>
        <v>0</v>
      </c>
      <c r="L10">
        <v>0</v>
      </c>
      <c r="M10">
        <v>0</v>
      </c>
      <c r="N10">
        <f t="shared" si="12"/>
        <v>0</v>
      </c>
      <c r="O10">
        <f t="shared" si="7"/>
        <v>0</v>
      </c>
      <c r="P10">
        <v>0</v>
      </c>
      <c r="Q10">
        <v>0</v>
      </c>
      <c r="R10">
        <v>0</v>
      </c>
      <c r="S10">
        <f t="shared" si="2"/>
        <v>0</v>
      </c>
      <c r="T10">
        <v>1</v>
      </c>
      <c r="U10">
        <v>1</v>
      </c>
      <c r="V10">
        <f t="shared" si="13"/>
        <v>4</v>
      </c>
      <c r="W10">
        <f t="shared" si="3"/>
        <v>70.400000000000006</v>
      </c>
      <c r="X10">
        <v>2</v>
      </c>
      <c r="Y10">
        <v>1</v>
      </c>
      <c r="Z10">
        <f t="shared" si="4"/>
        <v>8</v>
      </c>
      <c r="AA10">
        <f t="shared" si="5"/>
        <v>44</v>
      </c>
      <c r="AB10">
        <v>0</v>
      </c>
      <c r="AC10">
        <v>0</v>
      </c>
      <c r="AD10">
        <v>0</v>
      </c>
      <c r="AE10">
        <f t="shared" si="6"/>
        <v>0</v>
      </c>
      <c r="AF10">
        <f t="shared" si="8"/>
        <v>159.19999999999999</v>
      </c>
      <c r="AG10">
        <f t="shared" si="9"/>
        <v>-157.64703054054058</v>
      </c>
      <c r="AH10">
        <f t="shared" si="11"/>
        <v>24852.586238250136</v>
      </c>
      <c r="AI10">
        <f t="shared" si="10"/>
        <v>5.3066666666666666</v>
      </c>
    </row>
    <row r="11" spans="1:35" x14ac:dyDescent="0.2">
      <c r="A11" t="s">
        <v>459</v>
      </c>
      <c r="B11" t="s">
        <v>460</v>
      </c>
      <c r="C11">
        <v>6</v>
      </c>
      <c r="D11">
        <v>1</v>
      </c>
      <c r="E11">
        <v>1</v>
      </c>
      <c r="F11">
        <v>4</v>
      </c>
      <c r="G11">
        <f t="shared" si="0"/>
        <v>44.8</v>
      </c>
      <c r="H11">
        <v>0</v>
      </c>
      <c r="I11">
        <v>0</v>
      </c>
      <c r="J11">
        <v>0</v>
      </c>
      <c r="K11">
        <f t="shared" si="1"/>
        <v>0</v>
      </c>
      <c r="L11">
        <v>0</v>
      </c>
      <c r="M11">
        <v>0</v>
      </c>
      <c r="N11">
        <f t="shared" si="12"/>
        <v>0</v>
      </c>
      <c r="O11">
        <f t="shared" si="7"/>
        <v>0</v>
      </c>
      <c r="P11">
        <v>0</v>
      </c>
      <c r="Q11">
        <v>0</v>
      </c>
      <c r="R11">
        <v>0</v>
      </c>
      <c r="S11">
        <f t="shared" si="2"/>
        <v>0</v>
      </c>
      <c r="T11">
        <v>1</v>
      </c>
      <c r="U11">
        <v>1</v>
      </c>
      <c r="V11">
        <f t="shared" si="13"/>
        <v>4</v>
      </c>
      <c r="W11">
        <f t="shared" si="3"/>
        <v>70.400000000000006</v>
      </c>
      <c r="X11">
        <v>2</v>
      </c>
      <c r="Y11">
        <v>1</v>
      </c>
      <c r="Z11">
        <f t="shared" si="4"/>
        <v>8</v>
      </c>
      <c r="AA11">
        <f t="shared" si="5"/>
        <v>44</v>
      </c>
      <c r="AB11">
        <v>0</v>
      </c>
      <c r="AC11">
        <v>0</v>
      </c>
      <c r="AD11">
        <v>0</v>
      </c>
      <c r="AE11">
        <f t="shared" si="6"/>
        <v>0</v>
      </c>
      <c r="AF11">
        <f t="shared" si="8"/>
        <v>159.19999999999999</v>
      </c>
      <c r="AG11">
        <f t="shared" si="9"/>
        <v>-157.64703054054058</v>
      </c>
      <c r="AH11">
        <f t="shared" si="11"/>
        <v>24852.586238250136</v>
      </c>
      <c r="AI11">
        <f t="shared" si="10"/>
        <v>5.3066666666666666</v>
      </c>
    </row>
    <row r="12" spans="1:35" x14ac:dyDescent="0.2">
      <c r="A12" t="s">
        <v>461</v>
      </c>
      <c r="B12" t="s">
        <v>462</v>
      </c>
      <c r="C12">
        <v>9</v>
      </c>
      <c r="D12">
        <v>2</v>
      </c>
      <c r="E12">
        <v>1</v>
      </c>
      <c r="F12">
        <v>4</v>
      </c>
      <c r="G12">
        <f t="shared" si="0"/>
        <v>44.8</v>
      </c>
      <c r="H12">
        <v>1</v>
      </c>
      <c r="I12">
        <v>1</v>
      </c>
      <c r="J12">
        <v>4</v>
      </c>
      <c r="K12">
        <f t="shared" si="1"/>
        <v>42.4</v>
      </c>
      <c r="L12">
        <v>0</v>
      </c>
      <c r="M12">
        <v>0</v>
      </c>
      <c r="N12">
        <f t="shared" si="12"/>
        <v>0</v>
      </c>
      <c r="O12">
        <f t="shared" si="7"/>
        <v>0</v>
      </c>
      <c r="P12" t="s">
        <v>506</v>
      </c>
      <c r="Q12">
        <v>0</v>
      </c>
      <c r="R12">
        <v>8.3000000000000004E-2</v>
      </c>
      <c r="S12">
        <f t="shared" si="2"/>
        <v>0.95865000000000011</v>
      </c>
      <c r="T12">
        <v>2</v>
      </c>
      <c r="U12">
        <v>1</v>
      </c>
      <c r="V12">
        <f t="shared" si="13"/>
        <v>8</v>
      </c>
      <c r="W12">
        <f t="shared" si="3"/>
        <v>140.80000000000001</v>
      </c>
      <c r="X12">
        <v>2</v>
      </c>
      <c r="Y12">
        <v>1</v>
      </c>
      <c r="Z12">
        <f t="shared" si="4"/>
        <v>8</v>
      </c>
      <c r="AA12">
        <f t="shared" si="5"/>
        <v>44</v>
      </c>
      <c r="AB12" t="s">
        <v>507</v>
      </c>
      <c r="AC12">
        <v>1</v>
      </c>
      <c r="AD12">
        <v>0.16</v>
      </c>
      <c r="AE12">
        <f t="shared" si="6"/>
        <v>1.2</v>
      </c>
      <c r="AF12">
        <f t="shared" si="8"/>
        <v>274.15865000000002</v>
      </c>
      <c r="AG12">
        <f t="shared" si="9"/>
        <v>-42.68838054054055</v>
      </c>
      <c r="AH12">
        <f t="shared" si="11"/>
        <v>1822.297833174001</v>
      </c>
      <c r="AI12">
        <f t="shared" si="10"/>
        <v>9.1386216666666673</v>
      </c>
    </row>
    <row r="13" spans="1:35" x14ac:dyDescent="0.2">
      <c r="A13" t="s">
        <v>126</v>
      </c>
      <c r="B13" t="s">
        <v>463</v>
      </c>
      <c r="C13">
        <v>8</v>
      </c>
      <c r="D13">
        <v>1</v>
      </c>
      <c r="E13">
        <v>3</v>
      </c>
      <c r="F13">
        <v>12</v>
      </c>
      <c r="G13">
        <f t="shared" si="0"/>
        <v>134.39999999999998</v>
      </c>
      <c r="H13">
        <v>1</v>
      </c>
      <c r="I13">
        <v>3</v>
      </c>
      <c r="J13">
        <v>12</v>
      </c>
      <c r="K13">
        <f t="shared" si="1"/>
        <v>127.19999999999999</v>
      </c>
      <c r="L13">
        <v>2</v>
      </c>
      <c r="M13">
        <v>1</v>
      </c>
      <c r="N13">
        <f t="shared" si="12"/>
        <v>8</v>
      </c>
      <c r="O13">
        <f t="shared" si="7"/>
        <v>115.44</v>
      </c>
      <c r="P13">
        <v>1</v>
      </c>
      <c r="Q13">
        <v>1</v>
      </c>
      <c r="R13">
        <v>0</v>
      </c>
      <c r="S13">
        <f t="shared" si="2"/>
        <v>0</v>
      </c>
      <c r="V13">
        <v>0.5</v>
      </c>
      <c r="W13">
        <f t="shared" si="3"/>
        <v>8.8000000000000007</v>
      </c>
      <c r="X13">
        <v>1</v>
      </c>
      <c r="Y13">
        <v>2</v>
      </c>
      <c r="Z13">
        <f t="shared" si="4"/>
        <v>8</v>
      </c>
      <c r="AA13">
        <f t="shared" si="5"/>
        <v>44</v>
      </c>
      <c r="AD13">
        <v>0.5</v>
      </c>
      <c r="AE13">
        <f t="shared" si="6"/>
        <v>3.75</v>
      </c>
      <c r="AF13">
        <f t="shared" si="8"/>
        <v>433.59</v>
      </c>
      <c r="AG13">
        <f t="shared" si="9"/>
        <v>116.7429694594594</v>
      </c>
      <c r="AH13">
        <f t="shared" si="11"/>
        <v>13628.92091821227</v>
      </c>
      <c r="AI13">
        <f t="shared" si="10"/>
        <v>14.452999999999999</v>
      </c>
    </row>
    <row r="14" spans="1:35" x14ac:dyDescent="0.2">
      <c r="A14" t="s">
        <v>261</v>
      </c>
      <c r="B14" t="s">
        <v>464</v>
      </c>
      <c r="C14">
        <v>8</v>
      </c>
      <c r="D14">
        <v>3</v>
      </c>
      <c r="E14">
        <v>1</v>
      </c>
      <c r="F14">
        <v>12</v>
      </c>
      <c r="G14">
        <f t="shared" si="0"/>
        <v>134.39999999999998</v>
      </c>
      <c r="H14">
        <v>1</v>
      </c>
      <c r="I14">
        <v>1</v>
      </c>
      <c r="J14">
        <v>4</v>
      </c>
      <c r="K14">
        <f t="shared" si="1"/>
        <v>42.4</v>
      </c>
      <c r="L14">
        <v>0</v>
      </c>
      <c r="M14">
        <v>0</v>
      </c>
      <c r="N14">
        <v>0</v>
      </c>
      <c r="O14">
        <f t="shared" si="7"/>
        <v>0</v>
      </c>
      <c r="P14">
        <v>0</v>
      </c>
      <c r="Q14">
        <v>0</v>
      </c>
      <c r="R14">
        <v>0</v>
      </c>
      <c r="S14">
        <f t="shared" si="2"/>
        <v>0</v>
      </c>
      <c r="V14">
        <v>1</v>
      </c>
      <c r="W14">
        <f t="shared" si="3"/>
        <v>17.600000000000001</v>
      </c>
      <c r="X14">
        <v>1</v>
      </c>
      <c r="Y14">
        <v>6</v>
      </c>
      <c r="Z14">
        <f t="shared" si="4"/>
        <v>24</v>
      </c>
      <c r="AA14">
        <f t="shared" si="5"/>
        <v>132</v>
      </c>
      <c r="AC14">
        <v>1</v>
      </c>
      <c r="AD14">
        <v>1</v>
      </c>
      <c r="AE14">
        <f t="shared" si="6"/>
        <v>7.5</v>
      </c>
      <c r="AF14">
        <f t="shared" si="8"/>
        <v>333.9</v>
      </c>
      <c r="AG14">
        <f t="shared" si="9"/>
        <v>17.052969459459405</v>
      </c>
      <c r="AH14">
        <f t="shared" si="11"/>
        <v>290.80376738525518</v>
      </c>
      <c r="AI14">
        <f t="shared" si="10"/>
        <v>11.129999999999999</v>
      </c>
    </row>
    <row r="15" spans="1:35" x14ac:dyDescent="0.2">
      <c r="A15" t="s">
        <v>228</v>
      </c>
      <c r="B15" t="s">
        <v>465</v>
      </c>
      <c r="C15">
        <v>9</v>
      </c>
      <c r="D15">
        <v>3</v>
      </c>
      <c r="E15">
        <v>1</v>
      </c>
      <c r="F15">
        <v>12</v>
      </c>
      <c r="G15">
        <f t="shared" si="0"/>
        <v>134.39999999999998</v>
      </c>
      <c r="H15">
        <v>1</v>
      </c>
      <c r="I15">
        <v>1</v>
      </c>
      <c r="J15">
        <v>4</v>
      </c>
      <c r="K15">
        <f t="shared" si="1"/>
        <v>42.4</v>
      </c>
      <c r="L15" t="s">
        <v>506</v>
      </c>
      <c r="N15">
        <v>8.3000000000000004E-2</v>
      </c>
      <c r="O15">
        <f t="shared" si="7"/>
        <v>1.1976900000000001</v>
      </c>
      <c r="P15" t="s">
        <v>506</v>
      </c>
      <c r="R15">
        <v>8.3000000000000004E-2</v>
      </c>
      <c r="S15">
        <f t="shared" si="2"/>
        <v>0.95865000000000011</v>
      </c>
      <c r="T15" t="s">
        <v>505</v>
      </c>
      <c r="V15">
        <v>0.33</v>
      </c>
      <c r="W15">
        <f t="shared" si="3"/>
        <v>5.8080000000000007</v>
      </c>
      <c r="X15">
        <v>2</v>
      </c>
      <c r="Y15">
        <v>1</v>
      </c>
      <c r="Z15">
        <v>8</v>
      </c>
      <c r="AA15">
        <f t="shared" si="5"/>
        <v>44</v>
      </c>
      <c r="AB15" t="s">
        <v>508</v>
      </c>
      <c r="AD15">
        <v>0.16</v>
      </c>
      <c r="AE15">
        <f t="shared" si="6"/>
        <v>1.2</v>
      </c>
      <c r="AF15">
        <f t="shared" si="8"/>
        <v>229.96433999999999</v>
      </c>
      <c r="AG15">
        <f t="shared" si="9"/>
        <v>-86.88269054054058</v>
      </c>
      <c r="AH15">
        <f t="shared" si="11"/>
        <v>7548.6019155633394</v>
      </c>
      <c r="AI15">
        <f t="shared" si="10"/>
        <v>7.6654779999999993</v>
      </c>
    </row>
    <row r="16" spans="1:35" x14ac:dyDescent="0.2">
      <c r="A16" t="s">
        <v>231</v>
      </c>
      <c r="B16" t="s">
        <v>466</v>
      </c>
      <c r="C16">
        <v>7</v>
      </c>
      <c r="F16">
        <v>12</v>
      </c>
      <c r="G16">
        <f t="shared" si="0"/>
        <v>134.39999999999998</v>
      </c>
      <c r="J16">
        <v>4</v>
      </c>
      <c r="K16">
        <f t="shared" si="1"/>
        <v>42.4</v>
      </c>
      <c r="L16" t="s">
        <v>503</v>
      </c>
      <c r="N16">
        <v>8.3000000000000004E-2</v>
      </c>
      <c r="O16">
        <f t="shared" si="7"/>
        <v>1.1976900000000001</v>
      </c>
      <c r="P16" t="s">
        <v>503</v>
      </c>
      <c r="R16">
        <v>8.3000000000000004E-2</v>
      </c>
      <c r="S16">
        <f t="shared" si="2"/>
        <v>0.95865000000000011</v>
      </c>
      <c r="T16" t="s">
        <v>509</v>
      </c>
      <c r="V16">
        <v>0.33</v>
      </c>
      <c r="W16">
        <f t="shared" si="3"/>
        <v>5.8080000000000007</v>
      </c>
      <c r="X16">
        <v>2</v>
      </c>
      <c r="Y16">
        <v>1</v>
      </c>
      <c r="Z16">
        <v>8</v>
      </c>
      <c r="AA16">
        <f t="shared" si="5"/>
        <v>44</v>
      </c>
      <c r="AB16" t="s">
        <v>510</v>
      </c>
      <c r="AD16">
        <v>0.16</v>
      </c>
      <c r="AE16">
        <f t="shared" si="6"/>
        <v>1.2</v>
      </c>
      <c r="AF16">
        <f t="shared" si="8"/>
        <v>229.96433999999999</v>
      </c>
      <c r="AG16">
        <f t="shared" si="9"/>
        <v>-86.88269054054058</v>
      </c>
      <c r="AH16">
        <f t="shared" si="11"/>
        <v>7548.6019155633394</v>
      </c>
      <c r="AI16">
        <f t="shared" si="10"/>
        <v>7.6654779999999993</v>
      </c>
    </row>
    <row r="17" spans="1:35" x14ac:dyDescent="0.2">
      <c r="A17" t="s">
        <v>233</v>
      </c>
      <c r="B17" t="s">
        <v>467</v>
      </c>
      <c r="C17">
        <v>7</v>
      </c>
      <c r="F17">
        <v>12</v>
      </c>
      <c r="G17">
        <f t="shared" si="0"/>
        <v>134.39999999999998</v>
      </c>
      <c r="J17">
        <v>4</v>
      </c>
      <c r="K17">
        <f t="shared" si="1"/>
        <v>42.4</v>
      </c>
      <c r="L17" t="s">
        <v>504</v>
      </c>
      <c r="N17">
        <v>8.3000000000000004E-2</v>
      </c>
      <c r="O17">
        <f t="shared" si="7"/>
        <v>1.1976900000000001</v>
      </c>
      <c r="P17" t="s">
        <v>504</v>
      </c>
      <c r="R17">
        <v>8.3000000000000004E-2</v>
      </c>
      <c r="S17">
        <f t="shared" si="2"/>
        <v>0.95865000000000011</v>
      </c>
      <c r="T17" t="s">
        <v>511</v>
      </c>
      <c r="V17">
        <v>0.33</v>
      </c>
      <c r="W17">
        <f t="shared" si="3"/>
        <v>5.8080000000000007</v>
      </c>
      <c r="X17">
        <v>2</v>
      </c>
      <c r="Y17">
        <v>1</v>
      </c>
      <c r="Z17">
        <v>8</v>
      </c>
      <c r="AA17">
        <f t="shared" si="5"/>
        <v>44</v>
      </c>
      <c r="AB17" t="s">
        <v>512</v>
      </c>
      <c r="AD17">
        <v>0.16</v>
      </c>
      <c r="AE17">
        <f t="shared" si="6"/>
        <v>1.2</v>
      </c>
      <c r="AF17">
        <f t="shared" si="8"/>
        <v>229.96433999999999</v>
      </c>
      <c r="AG17">
        <f t="shared" si="9"/>
        <v>-86.88269054054058</v>
      </c>
      <c r="AH17">
        <f t="shared" si="11"/>
        <v>7548.6019155633394</v>
      </c>
      <c r="AI17">
        <f t="shared" si="10"/>
        <v>7.6654779999999993</v>
      </c>
    </row>
    <row r="18" spans="1:35" x14ac:dyDescent="0.2">
      <c r="A18" t="s">
        <v>240</v>
      </c>
      <c r="B18" t="s">
        <v>468</v>
      </c>
      <c r="C18">
        <v>10</v>
      </c>
      <c r="D18">
        <v>3</v>
      </c>
      <c r="E18">
        <v>2</v>
      </c>
      <c r="F18">
        <v>24</v>
      </c>
      <c r="G18">
        <f t="shared" si="0"/>
        <v>268.79999999999995</v>
      </c>
      <c r="H18">
        <v>2</v>
      </c>
      <c r="I18">
        <v>2</v>
      </c>
      <c r="J18">
        <v>16</v>
      </c>
      <c r="K18">
        <f t="shared" si="1"/>
        <v>169.6</v>
      </c>
      <c r="L18" t="s">
        <v>506</v>
      </c>
      <c r="N18">
        <v>8.3000000000000004E-2</v>
      </c>
      <c r="O18">
        <f t="shared" si="7"/>
        <v>1.1976900000000001</v>
      </c>
      <c r="P18">
        <v>0</v>
      </c>
      <c r="Q18">
        <v>0</v>
      </c>
      <c r="R18">
        <v>0</v>
      </c>
      <c r="S18">
        <f t="shared" si="2"/>
        <v>0</v>
      </c>
      <c r="T18">
        <v>1</v>
      </c>
      <c r="U18">
        <v>2</v>
      </c>
      <c r="W18">
        <f t="shared" si="3"/>
        <v>0</v>
      </c>
      <c r="X18">
        <v>3</v>
      </c>
      <c r="Y18">
        <v>1</v>
      </c>
      <c r="Z18">
        <v>12</v>
      </c>
      <c r="AA18">
        <f t="shared" si="5"/>
        <v>66</v>
      </c>
      <c r="AB18" t="s">
        <v>506</v>
      </c>
      <c r="AC18">
        <v>3</v>
      </c>
      <c r="AD18">
        <v>0.2</v>
      </c>
      <c r="AE18">
        <f t="shared" si="6"/>
        <v>1.5</v>
      </c>
      <c r="AF18">
        <f t="shared" si="8"/>
        <v>507.09768999999994</v>
      </c>
      <c r="AG18">
        <f t="shared" si="9"/>
        <v>190.25065945945937</v>
      </c>
      <c r="AH18">
        <f t="shared" si="11"/>
        <v>36195.313424759181</v>
      </c>
      <c r="AI18">
        <f t="shared" si="10"/>
        <v>16.903256333333331</v>
      </c>
    </row>
    <row r="19" spans="1:35" x14ac:dyDescent="0.2">
      <c r="A19" t="s">
        <v>245</v>
      </c>
      <c r="B19" t="s">
        <v>469</v>
      </c>
      <c r="C19">
        <v>6</v>
      </c>
      <c r="D19">
        <v>2</v>
      </c>
      <c r="E19">
        <v>1</v>
      </c>
      <c r="F19">
        <v>8</v>
      </c>
      <c r="G19">
        <f t="shared" si="0"/>
        <v>89.6</v>
      </c>
      <c r="H19">
        <v>0</v>
      </c>
      <c r="I19">
        <v>0</v>
      </c>
      <c r="K19">
        <f t="shared" si="1"/>
        <v>0</v>
      </c>
      <c r="L19">
        <v>0</v>
      </c>
      <c r="N19">
        <v>0</v>
      </c>
      <c r="O19">
        <f t="shared" si="7"/>
        <v>0</v>
      </c>
      <c r="R19">
        <v>0</v>
      </c>
      <c r="S19">
        <f t="shared" si="2"/>
        <v>0</v>
      </c>
      <c r="T19" t="s">
        <v>513</v>
      </c>
      <c r="V19">
        <v>1</v>
      </c>
      <c r="W19">
        <f t="shared" si="3"/>
        <v>17.600000000000001</v>
      </c>
      <c r="X19">
        <v>3</v>
      </c>
      <c r="Y19">
        <v>2</v>
      </c>
      <c r="Z19">
        <v>24</v>
      </c>
      <c r="AA19">
        <f t="shared" si="5"/>
        <v>132</v>
      </c>
      <c r="AB19">
        <v>0</v>
      </c>
      <c r="AC19">
        <v>0</v>
      </c>
      <c r="AD19">
        <v>0</v>
      </c>
      <c r="AE19">
        <f t="shared" si="6"/>
        <v>0</v>
      </c>
      <c r="AF19">
        <f t="shared" si="8"/>
        <v>239.2</v>
      </c>
      <c r="AG19">
        <f t="shared" si="9"/>
        <v>-77.647030540540584</v>
      </c>
      <c r="AH19">
        <f t="shared" si="11"/>
        <v>6029.0613517636421</v>
      </c>
      <c r="AI19">
        <f t="shared" si="10"/>
        <v>7.9733333333333327</v>
      </c>
    </row>
    <row r="20" spans="1:35" x14ac:dyDescent="0.2">
      <c r="A20" t="s">
        <v>470</v>
      </c>
      <c r="B20" t="s">
        <v>471</v>
      </c>
      <c r="C20">
        <v>6</v>
      </c>
      <c r="D20">
        <v>3</v>
      </c>
      <c r="E20">
        <v>1</v>
      </c>
      <c r="F20">
        <v>12</v>
      </c>
      <c r="G20">
        <f t="shared" si="0"/>
        <v>134.39999999999998</v>
      </c>
      <c r="H20">
        <v>1</v>
      </c>
      <c r="I20">
        <v>1</v>
      </c>
      <c r="J20">
        <v>4</v>
      </c>
      <c r="K20">
        <f t="shared" si="1"/>
        <v>42.4</v>
      </c>
      <c r="L20">
        <v>0</v>
      </c>
      <c r="M20">
        <v>0</v>
      </c>
      <c r="N20">
        <v>0</v>
      </c>
      <c r="O20">
        <f t="shared" si="7"/>
        <v>0</v>
      </c>
      <c r="P20">
        <v>0</v>
      </c>
      <c r="Q20">
        <v>0</v>
      </c>
      <c r="R20">
        <v>0</v>
      </c>
      <c r="S20">
        <f t="shared" si="2"/>
        <v>0</v>
      </c>
      <c r="V20">
        <v>1</v>
      </c>
      <c r="W20">
        <f t="shared" si="3"/>
        <v>17.600000000000001</v>
      </c>
      <c r="X20">
        <v>1</v>
      </c>
      <c r="Y20">
        <v>6</v>
      </c>
      <c r="Z20">
        <f>(X20*Y20)*4</f>
        <v>24</v>
      </c>
      <c r="AA20">
        <f t="shared" si="5"/>
        <v>132</v>
      </c>
      <c r="AC20">
        <v>1</v>
      </c>
      <c r="AD20">
        <v>1</v>
      </c>
      <c r="AE20">
        <f t="shared" si="6"/>
        <v>7.5</v>
      </c>
      <c r="AF20">
        <f t="shared" si="8"/>
        <v>333.9</v>
      </c>
      <c r="AG20">
        <f t="shared" si="9"/>
        <v>17.052969459459405</v>
      </c>
      <c r="AH20">
        <f t="shared" si="11"/>
        <v>290.80376738525518</v>
      </c>
      <c r="AI20">
        <f t="shared" si="10"/>
        <v>11.129999999999999</v>
      </c>
    </row>
    <row r="21" spans="1:35" x14ac:dyDescent="0.2">
      <c r="A21" t="s">
        <v>472</v>
      </c>
      <c r="B21" t="s">
        <v>473</v>
      </c>
      <c r="C21">
        <v>8</v>
      </c>
      <c r="D21">
        <v>3</v>
      </c>
      <c r="E21">
        <v>1</v>
      </c>
      <c r="F21">
        <v>12</v>
      </c>
      <c r="G21">
        <f t="shared" si="0"/>
        <v>134.39999999999998</v>
      </c>
      <c r="H21">
        <v>1</v>
      </c>
      <c r="I21">
        <v>1</v>
      </c>
      <c r="J21">
        <v>4</v>
      </c>
      <c r="K21">
        <f t="shared" si="1"/>
        <v>42.4</v>
      </c>
      <c r="L21">
        <v>0</v>
      </c>
      <c r="M21">
        <v>0</v>
      </c>
      <c r="N21">
        <v>0</v>
      </c>
      <c r="O21">
        <f t="shared" si="7"/>
        <v>0</v>
      </c>
      <c r="P21">
        <v>0</v>
      </c>
      <c r="Q21">
        <v>0</v>
      </c>
      <c r="R21">
        <v>0</v>
      </c>
      <c r="S21">
        <v>0</v>
      </c>
      <c r="T21" t="s">
        <v>514</v>
      </c>
      <c r="U21">
        <v>1</v>
      </c>
      <c r="V21">
        <v>1</v>
      </c>
      <c r="W21">
        <f t="shared" si="3"/>
        <v>17.600000000000001</v>
      </c>
      <c r="X21">
        <v>1</v>
      </c>
      <c r="Y21">
        <v>5</v>
      </c>
      <c r="Z21">
        <v>20</v>
      </c>
      <c r="AA21">
        <f t="shared" si="5"/>
        <v>110</v>
      </c>
      <c r="AB21" t="s">
        <v>515</v>
      </c>
      <c r="AC21">
        <v>1</v>
      </c>
      <c r="AD21">
        <v>1</v>
      </c>
      <c r="AE21">
        <f t="shared" si="6"/>
        <v>7.5</v>
      </c>
      <c r="AF21">
        <f t="shared" si="8"/>
        <v>311.89999999999998</v>
      </c>
      <c r="AG21">
        <f t="shared" si="9"/>
        <v>-4.9470305405405952</v>
      </c>
      <c r="AH21">
        <f t="shared" si="11"/>
        <v>24.473111169041374</v>
      </c>
      <c r="AI21">
        <f t="shared" si="10"/>
        <v>10.396666666666667</v>
      </c>
    </row>
    <row r="24" spans="1:35" x14ac:dyDescent="0.2">
      <c r="D24" t="s">
        <v>24</v>
      </c>
      <c r="H24" t="s">
        <v>500</v>
      </c>
      <c r="L24" t="s">
        <v>387</v>
      </c>
      <c r="P24" t="s">
        <v>389</v>
      </c>
      <c r="T24" t="s">
        <v>26</v>
      </c>
      <c r="X24" t="s">
        <v>27</v>
      </c>
      <c r="AB24" t="s">
        <v>28</v>
      </c>
    </row>
    <row r="25" spans="1:35" x14ac:dyDescent="0.2">
      <c r="A25" t="s">
        <v>474</v>
      </c>
      <c r="D25" t="s">
        <v>516</v>
      </c>
      <c r="G25">
        <v>11.2</v>
      </c>
      <c r="H25" t="s">
        <v>517</v>
      </c>
      <c r="K25">
        <v>10.6</v>
      </c>
      <c r="L25" t="s">
        <v>390</v>
      </c>
      <c r="O25">
        <v>14.43</v>
      </c>
      <c r="P25" t="s">
        <v>390</v>
      </c>
      <c r="S25">
        <v>11.55</v>
      </c>
      <c r="T25" t="s">
        <v>391</v>
      </c>
      <c r="W25">
        <v>17.600000000000001</v>
      </c>
      <c r="X25" t="s">
        <v>392</v>
      </c>
      <c r="AA25">
        <v>5.5</v>
      </c>
      <c r="AB25" t="s">
        <v>501</v>
      </c>
      <c r="AE25">
        <v>7.5</v>
      </c>
    </row>
    <row r="26" spans="1:35" x14ac:dyDescent="0.2">
      <c r="A26" t="s">
        <v>176</v>
      </c>
      <c r="B26" t="s">
        <v>381</v>
      </c>
      <c r="C26" t="s">
        <v>382</v>
      </c>
      <c r="D26" t="s">
        <v>383</v>
      </c>
      <c r="E26" t="s">
        <v>384</v>
      </c>
      <c r="F26" t="s">
        <v>385</v>
      </c>
      <c r="G26" t="s">
        <v>502</v>
      </c>
      <c r="H26" t="s">
        <v>383</v>
      </c>
      <c r="I26" t="s">
        <v>384</v>
      </c>
      <c r="J26" t="s">
        <v>385</v>
      </c>
      <c r="K26" t="s">
        <v>502</v>
      </c>
      <c r="L26" t="s">
        <v>383</v>
      </c>
      <c r="M26" t="s">
        <v>384</v>
      </c>
      <c r="N26" t="s">
        <v>385</v>
      </c>
      <c r="O26" t="s">
        <v>502</v>
      </c>
      <c r="P26" t="s">
        <v>383</v>
      </c>
      <c r="Q26" t="s">
        <v>384</v>
      </c>
      <c r="R26" t="s">
        <v>385</v>
      </c>
      <c r="S26" t="s">
        <v>502</v>
      </c>
      <c r="T26" t="s">
        <v>383</v>
      </c>
      <c r="U26" t="s">
        <v>384</v>
      </c>
      <c r="V26" t="s">
        <v>385</v>
      </c>
      <c r="W26" t="s">
        <v>502</v>
      </c>
      <c r="X26" t="s">
        <v>383</v>
      </c>
      <c r="Y26" t="s">
        <v>384</v>
      </c>
      <c r="Z26" t="s">
        <v>385</v>
      </c>
      <c r="AA26" t="s">
        <v>502</v>
      </c>
      <c r="AB26" t="s">
        <v>383</v>
      </c>
      <c r="AC26" t="s">
        <v>384</v>
      </c>
      <c r="AD26" t="s">
        <v>385</v>
      </c>
      <c r="AE26" t="s">
        <v>502</v>
      </c>
    </row>
    <row r="27" spans="1:35" x14ac:dyDescent="0.2">
      <c r="A27" t="s">
        <v>475</v>
      </c>
      <c r="B27" t="s">
        <v>476</v>
      </c>
      <c r="C27">
        <v>8</v>
      </c>
      <c r="D27" t="s">
        <v>518</v>
      </c>
      <c r="E27">
        <v>1</v>
      </c>
      <c r="F27">
        <v>0.16</v>
      </c>
      <c r="G27">
        <f>($G$2*F27)</f>
        <v>1.7919999999999998</v>
      </c>
      <c r="H27">
        <v>0</v>
      </c>
      <c r="I27">
        <v>0</v>
      </c>
      <c r="J27">
        <v>0</v>
      </c>
      <c r="K27">
        <f>(K$2*J27)</f>
        <v>0</v>
      </c>
      <c r="L27" t="s">
        <v>506</v>
      </c>
      <c r="N27">
        <v>8.3000000000000004E-2</v>
      </c>
      <c r="O27">
        <f>(N27*$O$2)</f>
        <v>1.1976900000000001</v>
      </c>
      <c r="P27" t="s">
        <v>506</v>
      </c>
      <c r="R27">
        <v>8.3000000000000004E-2</v>
      </c>
      <c r="S27">
        <f t="shared" ref="S27:S45" si="14">(S$2*R27)</f>
        <v>0.95865000000000011</v>
      </c>
      <c r="T27" t="s">
        <v>519</v>
      </c>
      <c r="U27">
        <v>2</v>
      </c>
      <c r="V27">
        <v>4</v>
      </c>
      <c r="W27">
        <f t="shared" ref="W27:W45" si="15">(W$2*V27)</f>
        <v>70.400000000000006</v>
      </c>
      <c r="X27" t="s">
        <v>520</v>
      </c>
      <c r="Y27">
        <v>2</v>
      </c>
      <c r="Z27">
        <v>4</v>
      </c>
      <c r="AA27">
        <f t="shared" ref="AA27:AA45" si="16">(AA$2*Z27)</f>
        <v>22</v>
      </c>
      <c r="AB27" t="s">
        <v>507</v>
      </c>
      <c r="AD27">
        <v>0.16</v>
      </c>
      <c r="AE27">
        <f t="shared" ref="AE27:AE45" si="17">(AE$2*AD27)</f>
        <v>1.2</v>
      </c>
      <c r="AF27">
        <f>SUM(AE27+AA27+W27+S27+O27+K27+G27)</f>
        <v>97.54834000000001</v>
      </c>
      <c r="AG27">
        <f t="shared" si="9"/>
        <v>-219.29869054054058</v>
      </c>
      <c r="AH27">
        <f t="shared" ref="AH27:AH33" si="18">(AG27)^2</f>
        <v>48091.915672795782</v>
      </c>
      <c r="AI27">
        <f t="shared" si="10"/>
        <v>3.2516113333333339</v>
      </c>
    </row>
    <row r="28" spans="1:35" x14ac:dyDescent="0.2">
      <c r="A28" t="s">
        <v>177</v>
      </c>
      <c r="B28" t="s">
        <v>477</v>
      </c>
      <c r="C28">
        <v>6</v>
      </c>
      <c r="D28" t="s">
        <v>510</v>
      </c>
      <c r="E28">
        <v>1</v>
      </c>
      <c r="F28">
        <v>0.16</v>
      </c>
      <c r="G28">
        <f t="shared" ref="G28:G44" si="19">($G$2*F28)</f>
        <v>1.7919999999999998</v>
      </c>
      <c r="H28">
        <v>0</v>
      </c>
      <c r="I28">
        <v>0</v>
      </c>
      <c r="J28">
        <v>0</v>
      </c>
      <c r="K28">
        <f t="shared" ref="K28:K45" si="20">(K$2*J28)</f>
        <v>0</v>
      </c>
      <c r="L28" t="s">
        <v>506</v>
      </c>
      <c r="N28">
        <v>8.3000000000000004E-2</v>
      </c>
      <c r="O28">
        <f t="shared" ref="O28:O45" si="21">(N28*$O$2)</f>
        <v>1.1976900000000001</v>
      </c>
      <c r="P28" t="s">
        <v>506</v>
      </c>
      <c r="R28">
        <v>8.3000000000000004E-2</v>
      </c>
      <c r="S28">
        <f t="shared" si="14"/>
        <v>0.95865000000000011</v>
      </c>
      <c r="T28" t="s">
        <v>519</v>
      </c>
      <c r="U28">
        <v>2</v>
      </c>
      <c r="V28">
        <v>4</v>
      </c>
      <c r="W28">
        <f t="shared" si="15"/>
        <v>70.400000000000006</v>
      </c>
      <c r="X28" t="s">
        <v>519</v>
      </c>
      <c r="Y28">
        <v>2</v>
      </c>
      <c r="Z28">
        <v>4</v>
      </c>
      <c r="AA28">
        <f t="shared" si="16"/>
        <v>22</v>
      </c>
      <c r="AB28" t="s">
        <v>507</v>
      </c>
      <c r="AD28">
        <v>0.16</v>
      </c>
      <c r="AE28">
        <f t="shared" si="17"/>
        <v>1.2</v>
      </c>
      <c r="AF28">
        <f t="shared" ref="AF28:AF45" si="22">SUM(AE28+AA28+W28+S28+O28+K28+G28)</f>
        <v>97.54834000000001</v>
      </c>
      <c r="AG28">
        <f t="shared" si="9"/>
        <v>-219.29869054054058</v>
      </c>
      <c r="AH28">
        <f t="shared" si="18"/>
        <v>48091.915672795782</v>
      </c>
      <c r="AI28">
        <f t="shared" si="10"/>
        <v>3.2516113333333339</v>
      </c>
    </row>
    <row r="29" spans="1:35" x14ac:dyDescent="0.2">
      <c r="A29" t="s">
        <v>180</v>
      </c>
      <c r="B29" t="s">
        <v>478</v>
      </c>
      <c r="D29">
        <v>2</v>
      </c>
      <c r="E29">
        <v>1</v>
      </c>
      <c r="F29">
        <v>8</v>
      </c>
      <c r="G29">
        <f t="shared" si="19"/>
        <v>89.6</v>
      </c>
      <c r="H29">
        <v>3</v>
      </c>
      <c r="I29">
        <v>1</v>
      </c>
      <c r="J29">
        <v>12</v>
      </c>
      <c r="K29">
        <f t="shared" si="20"/>
        <v>127.19999999999999</v>
      </c>
      <c r="L29" t="s">
        <v>521</v>
      </c>
      <c r="M29">
        <v>1</v>
      </c>
      <c r="N29">
        <v>0.5</v>
      </c>
      <c r="O29">
        <f t="shared" si="21"/>
        <v>7.2149999999999999</v>
      </c>
      <c r="P29" t="s">
        <v>521</v>
      </c>
      <c r="Q29">
        <v>1</v>
      </c>
      <c r="R29">
        <v>0.5</v>
      </c>
      <c r="S29">
        <f t="shared" si="14"/>
        <v>5.7750000000000004</v>
      </c>
      <c r="T29">
        <v>1</v>
      </c>
      <c r="U29">
        <v>1</v>
      </c>
      <c r="V29">
        <v>4</v>
      </c>
      <c r="W29">
        <f t="shared" si="15"/>
        <v>70.400000000000006</v>
      </c>
      <c r="X29">
        <v>1</v>
      </c>
      <c r="Y29">
        <v>1</v>
      </c>
      <c r="Z29">
        <v>4</v>
      </c>
      <c r="AA29">
        <f t="shared" si="16"/>
        <v>22</v>
      </c>
      <c r="AB29" t="s">
        <v>507</v>
      </c>
      <c r="AD29">
        <v>0.16</v>
      </c>
      <c r="AE29">
        <f t="shared" si="17"/>
        <v>1.2</v>
      </c>
      <c r="AF29">
        <f t="shared" si="22"/>
        <v>323.39</v>
      </c>
      <c r="AG29">
        <f t="shared" si="9"/>
        <v>6.5429694594594139</v>
      </c>
      <c r="AH29">
        <f t="shared" si="18"/>
        <v>42.810449347418611</v>
      </c>
      <c r="AI29">
        <f t="shared" si="10"/>
        <v>10.779666666666666</v>
      </c>
    </row>
    <row r="30" spans="1:35" x14ac:dyDescent="0.2">
      <c r="A30" t="s">
        <v>182</v>
      </c>
      <c r="B30" t="s">
        <v>479</v>
      </c>
      <c r="D30">
        <v>2</v>
      </c>
      <c r="E30">
        <v>1</v>
      </c>
      <c r="F30">
        <v>8</v>
      </c>
      <c r="G30">
        <f t="shared" si="19"/>
        <v>89.6</v>
      </c>
      <c r="H30">
        <v>3</v>
      </c>
      <c r="I30">
        <v>1</v>
      </c>
      <c r="J30">
        <v>12</v>
      </c>
      <c r="K30">
        <f t="shared" si="20"/>
        <v>127.19999999999999</v>
      </c>
      <c r="L30" t="s">
        <v>521</v>
      </c>
      <c r="M30">
        <v>1</v>
      </c>
      <c r="N30">
        <v>0.5</v>
      </c>
      <c r="O30">
        <f t="shared" si="21"/>
        <v>7.2149999999999999</v>
      </c>
      <c r="P30" t="s">
        <v>521</v>
      </c>
      <c r="Q30">
        <v>1</v>
      </c>
      <c r="R30">
        <v>0.5</v>
      </c>
      <c r="S30">
        <f t="shared" si="14"/>
        <v>5.7750000000000004</v>
      </c>
      <c r="T30">
        <v>1</v>
      </c>
      <c r="U30">
        <v>1</v>
      </c>
      <c r="V30">
        <v>4</v>
      </c>
      <c r="W30">
        <f t="shared" si="15"/>
        <v>70.400000000000006</v>
      </c>
      <c r="X30">
        <v>1</v>
      </c>
      <c r="Y30">
        <v>1</v>
      </c>
      <c r="Z30">
        <v>4</v>
      </c>
      <c r="AA30">
        <f t="shared" si="16"/>
        <v>22</v>
      </c>
      <c r="AB30" t="s">
        <v>507</v>
      </c>
      <c r="AD30">
        <v>0.16</v>
      </c>
      <c r="AE30">
        <f t="shared" si="17"/>
        <v>1.2</v>
      </c>
      <c r="AF30">
        <f t="shared" si="22"/>
        <v>323.39</v>
      </c>
      <c r="AG30">
        <f t="shared" si="9"/>
        <v>6.5429694594594139</v>
      </c>
      <c r="AH30">
        <f t="shared" si="18"/>
        <v>42.810449347418611</v>
      </c>
      <c r="AI30">
        <f t="shared" si="10"/>
        <v>10.779666666666666</v>
      </c>
    </row>
    <row r="31" spans="1:35" x14ac:dyDescent="0.2">
      <c r="A31" t="s">
        <v>214</v>
      </c>
      <c r="B31" t="s">
        <v>480</v>
      </c>
      <c r="C31">
        <v>10</v>
      </c>
      <c r="D31">
        <v>1</v>
      </c>
      <c r="E31">
        <v>1</v>
      </c>
      <c r="F31">
        <v>4</v>
      </c>
      <c r="G31">
        <f t="shared" si="19"/>
        <v>44.8</v>
      </c>
      <c r="H31">
        <v>1</v>
      </c>
      <c r="I31">
        <v>1</v>
      </c>
      <c r="J31">
        <v>4</v>
      </c>
      <c r="K31">
        <f t="shared" si="20"/>
        <v>42.4</v>
      </c>
      <c r="L31" t="s">
        <v>513</v>
      </c>
      <c r="N31">
        <v>1</v>
      </c>
      <c r="O31">
        <f t="shared" si="21"/>
        <v>14.43</v>
      </c>
      <c r="R31">
        <v>1</v>
      </c>
      <c r="S31">
        <f t="shared" si="14"/>
        <v>11.55</v>
      </c>
      <c r="T31">
        <v>1</v>
      </c>
      <c r="U31">
        <v>1</v>
      </c>
      <c r="V31">
        <v>4</v>
      </c>
      <c r="W31">
        <f t="shared" si="15"/>
        <v>70.400000000000006</v>
      </c>
      <c r="X31">
        <v>3</v>
      </c>
      <c r="Y31">
        <v>1</v>
      </c>
      <c r="Z31">
        <v>12</v>
      </c>
      <c r="AA31">
        <f t="shared" si="16"/>
        <v>66</v>
      </c>
      <c r="AB31">
        <v>1</v>
      </c>
      <c r="AC31">
        <v>1</v>
      </c>
      <c r="AD31">
        <v>4</v>
      </c>
      <c r="AE31">
        <f t="shared" si="17"/>
        <v>30</v>
      </c>
      <c r="AF31">
        <f t="shared" si="22"/>
        <v>279.58000000000004</v>
      </c>
      <c r="AG31">
        <f t="shared" si="9"/>
        <v>-37.267030540540532</v>
      </c>
      <c r="AH31">
        <f t="shared" si="18"/>
        <v>1388.8315653095808</v>
      </c>
      <c r="AI31">
        <f t="shared" si="10"/>
        <v>9.3193333333333346</v>
      </c>
    </row>
    <row r="32" spans="1:35" x14ac:dyDescent="0.2">
      <c r="A32" t="s">
        <v>481</v>
      </c>
      <c r="B32" t="s">
        <v>482</v>
      </c>
      <c r="C32">
        <v>9</v>
      </c>
      <c r="D32">
        <v>1</v>
      </c>
      <c r="E32">
        <v>1</v>
      </c>
      <c r="F32">
        <v>4</v>
      </c>
      <c r="G32">
        <f t="shared" si="19"/>
        <v>44.8</v>
      </c>
      <c r="H32">
        <v>1</v>
      </c>
      <c r="I32">
        <v>1</v>
      </c>
      <c r="J32">
        <v>4</v>
      </c>
      <c r="K32">
        <f t="shared" si="20"/>
        <v>42.4</v>
      </c>
      <c r="L32" t="s">
        <v>513</v>
      </c>
      <c r="N32">
        <v>1</v>
      </c>
      <c r="O32">
        <f t="shared" si="21"/>
        <v>14.43</v>
      </c>
      <c r="R32">
        <v>1</v>
      </c>
      <c r="S32">
        <f t="shared" si="14"/>
        <v>11.55</v>
      </c>
      <c r="T32">
        <v>1</v>
      </c>
      <c r="U32">
        <v>1</v>
      </c>
      <c r="V32">
        <v>4</v>
      </c>
      <c r="W32">
        <f t="shared" si="15"/>
        <v>70.400000000000006</v>
      </c>
      <c r="X32">
        <v>3</v>
      </c>
      <c r="Y32">
        <v>1</v>
      </c>
      <c r="Z32">
        <v>12</v>
      </c>
      <c r="AA32">
        <f t="shared" si="16"/>
        <v>66</v>
      </c>
      <c r="AB32">
        <v>1</v>
      </c>
      <c r="AC32">
        <v>1</v>
      </c>
      <c r="AD32">
        <v>4</v>
      </c>
      <c r="AE32">
        <f t="shared" si="17"/>
        <v>30</v>
      </c>
      <c r="AF32">
        <f t="shared" si="22"/>
        <v>279.58000000000004</v>
      </c>
      <c r="AG32">
        <f>AF32-$AF$48</f>
        <v>-37.267030540540532</v>
      </c>
      <c r="AH32">
        <f t="shared" si="18"/>
        <v>1388.8315653095808</v>
      </c>
      <c r="AI32">
        <f t="shared" si="10"/>
        <v>9.3193333333333346</v>
      </c>
    </row>
    <row r="33" spans="1:35" x14ac:dyDescent="0.2">
      <c r="A33" t="s">
        <v>80</v>
      </c>
      <c r="B33" t="s">
        <v>483</v>
      </c>
      <c r="C33">
        <v>6</v>
      </c>
      <c r="D33" t="s">
        <v>522</v>
      </c>
      <c r="E33">
        <v>1</v>
      </c>
      <c r="F33">
        <v>2</v>
      </c>
      <c r="G33">
        <f t="shared" si="19"/>
        <v>22.4</v>
      </c>
      <c r="H33" t="s">
        <v>513</v>
      </c>
      <c r="I33">
        <v>1</v>
      </c>
      <c r="J33">
        <v>1</v>
      </c>
      <c r="K33">
        <f t="shared" si="20"/>
        <v>10.6</v>
      </c>
      <c r="L33" t="s">
        <v>521</v>
      </c>
      <c r="M33">
        <v>1</v>
      </c>
      <c r="N33">
        <v>0.16</v>
      </c>
      <c r="O33">
        <f t="shared" si="21"/>
        <v>2.3088000000000002</v>
      </c>
      <c r="P33" t="s">
        <v>521</v>
      </c>
      <c r="Q33">
        <v>1</v>
      </c>
      <c r="R33">
        <v>0.16</v>
      </c>
      <c r="S33">
        <f t="shared" si="14"/>
        <v>1.8480000000000001</v>
      </c>
      <c r="T33" t="s">
        <v>523</v>
      </c>
      <c r="U33">
        <v>1</v>
      </c>
      <c r="V33">
        <v>2</v>
      </c>
      <c r="W33">
        <f t="shared" si="15"/>
        <v>35.200000000000003</v>
      </c>
      <c r="X33">
        <v>2</v>
      </c>
      <c r="Y33">
        <v>1</v>
      </c>
      <c r="Z33">
        <v>8</v>
      </c>
      <c r="AA33">
        <f t="shared" si="16"/>
        <v>44</v>
      </c>
      <c r="AB33" t="s">
        <v>521</v>
      </c>
      <c r="AC33">
        <v>2</v>
      </c>
      <c r="AD33">
        <v>1</v>
      </c>
      <c r="AE33">
        <f t="shared" si="17"/>
        <v>7.5</v>
      </c>
      <c r="AF33">
        <f t="shared" si="22"/>
        <v>123.85679999999999</v>
      </c>
      <c r="AG33">
        <f t="shared" si="9"/>
        <v>-192.99023054054058</v>
      </c>
      <c r="AH33">
        <f t="shared" si="18"/>
        <v>37245.229084090999</v>
      </c>
      <c r="AI33">
        <f t="shared" si="10"/>
        <v>4.1285599999999993</v>
      </c>
    </row>
    <row r="34" spans="1:35" x14ac:dyDescent="0.2">
      <c r="A34" t="s">
        <v>58</v>
      </c>
      <c r="B34" t="s">
        <v>484</v>
      </c>
      <c r="C34">
        <v>9</v>
      </c>
      <c r="D34">
        <v>2</v>
      </c>
      <c r="E34">
        <v>1</v>
      </c>
      <c r="F34">
        <v>8</v>
      </c>
      <c r="G34">
        <f t="shared" si="19"/>
        <v>89.6</v>
      </c>
      <c r="H34">
        <v>1</v>
      </c>
      <c r="I34">
        <v>1</v>
      </c>
      <c r="J34">
        <v>4</v>
      </c>
      <c r="K34">
        <f t="shared" si="20"/>
        <v>42.4</v>
      </c>
      <c r="L34" t="s">
        <v>513</v>
      </c>
      <c r="M34">
        <v>1</v>
      </c>
      <c r="N34">
        <v>1</v>
      </c>
      <c r="O34">
        <f t="shared" si="21"/>
        <v>14.43</v>
      </c>
      <c r="P34" t="s">
        <v>524</v>
      </c>
      <c r="Q34">
        <v>1</v>
      </c>
      <c r="R34">
        <v>2</v>
      </c>
      <c r="S34">
        <f t="shared" si="14"/>
        <v>23.1</v>
      </c>
      <c r="T34" t="s">
        <v>519</v>
      </c>
      <c r="U34">
        <v>1</v>
      </c>
      <c r="V34">
        <v>2</v>
      </c>
      <c r="W34">
        <f t="shared" si="15"/>
        <v>35.200000000000003</v>
      </c>
      <c r="X34">
        <v>3</v>
      </c>
      <c r="Y34">
        <v>1</v>
      </c>
      <c r="Z34">
        <v>12</v>
      </c>
      <c r="AA34">
        <f t="shared" si="16"/>
        <v>66</v>
      </c>
      <c r="AB34">
        <v>1</v>
      </c>
      <c r="AC34">
        <v>1</v>
      </c>
      <c r="AD34">
        <v>4</v>
      </c>
      <c r="AE34">
        <f t="shared" si="17"/>
        <v>30</v>
      </c>
      <c r="AF34">
        <f t="shared" si="22"/>
        <v>300.73</v>
      </c>
      <c r="AG34">
        <f t="shared" si="9"/>
        <v>-16.117030540540554</v>
      </c>
      <c r="AH34">
        <f>(AG34)^2</f>
        <v>259.75867344471698</v>
      </c>
      <c r="AI34">
        <f t="shared" si="10"/>
        <v>10.024333333333335</v>
      </c>
    </row>
    <row r="35" spans="1:35" x14ac:dyDescent="0.2">
      <c r="A35" t="s">
        <v>485</v>
      </c>
      <c r="B35" t="s">
        <v>486</v>
      </c>
      <c r="C35">
        <v>8</v>
      </c>
      <c r="D35">
        <v>2</v>
      </c>
      <c r="E35">
        <v>1</v>
      </c>
      <c r="F35">
        <v>8</v>
      </c>
      <c r="G35">
        <f t="shared" si="19"/>
        <v>89.6</v>
      </c>
      <c r="H35">
        <v>1</v>
      </c>
      <c r="I35">
        <v>1</v>
      </c>
      <c r="J35">
        <v>4</v>
      </c>
      <c r="K35">
        <f t="shared" si="20"/>
        <v>42.4</v>
      </c>
      <c r="L35" t="s">
        <v>513</v>
      </c>
      <c r="M35">
        <v>1</v>
      </c>
      <c r="N35">
        <v>1</v>
      </c>
      <c r="O35">
        <f t="shared" si="21"/>
        <v>14.43</v>
      </c>
      <c r="P35" t="s">
        <v>524</v>
      </c>
      <c r="Q35">
        <v>1</v>
      </c>
      <c r="R35">
        <v>2</v>
      </c>
      <c r="S35">
        <f t="shared" si="14"/>
        <v>23.1</v>
      </c>
      <c r="T35" t="s">
        <v>519</v>
      </c>
      <c r="U35">
        <v>1</v>
      </c>
      <c r="V35">
        <v>2</v>
      </c>
      <c r="W35">
        <f t="shared" si="15"/>
        <v>35.200000000000003</v>
      </c>
      <c r="X35">
        <v>3</v>
      </c>
      <c r="Y35">
        <v>1</v>
      </c>
      <c r="Z35">
        <v>12</v>
      </c>
      <c r="AA35">
        <f t="shared" si="16"/>
        <v>66</v>
      </c>
      <c r="AB35">
        <v>1</v>
      </c>
      <c r="AC35">
        <v>1</v>
      </c>
      <c r="AD35">
        <v>4</v>
      </c>
      <c r="AE35">
        <f t="shared" si="17"/>
        <v>30</v>
      </c>
      <c r="AF35">
        <f t="shared" si="22"/>
        <v>300.73</v>
      </c>
      <c r="AG35">
        <f t="shared" si="9"/>
        <v>-16.117030540540554</v>
      </c>
      <c r="AH35">
        <f>(AG35)^2</f>
        <v>259.75867344471698</v>
      </c>
      <c r="AI35">
        <f t="shared" si="10"/>
        <v>10.024333333333335</v>
      </c>
    </row>
    <row r="36" spans="1:35" x14ac:dyDescent="0.2">
      <c r="A36" t="s">
        <v>487</v>
      </c>
      <c r="B36" t="s">
        <v>488</v>
      </c>
      <c r="C36">
        <v>7</v>
      </c>
      <c r="D36">
        <v>2</v>
      </c>
      <c r="E36">
        <v>1</v>
      </c>
      <c r="F36">
        <v>8</v>
      </c>
      <c r="G36">
        <f t="shared" si="19"/>
        <v>89.6</v>
      </c>
      <c r="H36">
        <v>1</v>
      </c>
      <c r="I36">
        <v>1</v>
      </c>
      <c r="J36">
        <v>4</v>
      </c>
      <c r="K36">
        <f t="shared" si="20"/>
        <v>42.4</v>
      </c>
      <c r="L36" t="s">
        <v>513</v>
      </c>
      <c r="M36">
        <v>1</v>
      </c>
      <c r="N36">
        <v>1</v>
      </c>
      <c r="O36">
        <f t="shared" si="21"/>
        <v>14.43</v>
      </c>
      <c r="P36" t="s">
        <v>524</v>
      </c>
      <c r="Q36">
        <v>1</v>
      </c>
      <c r="R36">
        <v>2</v>
      </c>
      <c r="S36">
        <f t="shared" si="14"/>
        <v>23.1</v>
      </c>
      <c r="T36" t="s">
        <v>519</v>
      </c>
      <c r="U36">
        <v>1</v>
      </c>
      <c r="V36">
        <v>2</v>
      </c>
      <c r="W36">
        <f t="shared" si="15"/>
        <v>35.200000000000003</v>
      </c>
      <c r="X36">
        <v>3</v>
      </c>
      <c r="Y36">
        <v>1</v>
      </c>
      <c r="Z36">
        <v>12</v>
      </c>
      <c r="AA36">
        <f t="shared" si="16"/>
        <v>66</v>
      </c>
      <c r="AB36">
        <v>1</v>
      </c>
      <c r="AC36">
        <v>1</v>
      </c>
      <c r="AD36">
        <v>4</v>
      </c>
      <c r="AE36">
        <f t="shared" si="17"/>
        <v>30</v>
      </c>
      <c r="AF36">
        <f t="shared" si="22"/>
        <v>300.73</v>
      </c>
      <c r="AG36">
        <f t="shared" si="9"/>
        <v>-16.117030540540554</v>
      </c>
      <c r="AH36">
        <f t="shared" ref="AH36:AH42" si="23">(AG36)^2</f>
        <v>259.75867344471698</v>
      </c>
      <c r="AI36">
        <f t="shared" si="10"/>
        <v>10.024333333333335</v>
      </c>
    </row>
    <row r="37" spans="1:35" x14ac:dyDescent="0.2">
      <c r="A37" t="s">
        <v>208</v>
      </c>
      <c r="B37" t="s">
        <v>489</v>
      </c>
      <c r="C37">
        <v>5</v>
      </c>
      <c r="D37">
        <v>7</v>
      </c>
      <c r="E37">
        <v>1</v>
      </c>
      <c r="F37">
        <v>28</v>
      </c>
      <c r="G37">
        <f t="shared" si="19"/>
        <v>313.59999999999997</v>
      </c>
      <c r="H37">
        <v>1</v>
      </c>
      <c r="I37">
        <v>1</v>
      </c>
      <c r="J37">
        <v>4</v>
      </c>
      <c r="K37">
        <f t="shared" si="20"/>
        <v>42.4</v>
      </c>
      <c r="L37" t="s">
        <v>506</v>
      </c>
      <c r="M37">
        <v>1</v>
      </c>
      <c r="N37">
        <v>8.3000000000000004E-2</v>
      </c>
      <c r="O37">
        <f t="shared" si="21"/>
        <v>1.1976900000000001</v>
      </c>
      <c r="P37" t="s">
        <v>521</v>
      </c>
      <c r="Q37">
        <v>1</v>
      </c>
      <c r="R37">
        <v>0.5</v>
      </c>
      <c r="S37">
        <f t="shared" si="14"/>
        <v>5.7750000000000004</v>
      </c>
      <c r="T37">
        <v>1</v>
      </c>
      <c r="U37">
        <v>1</v>
      </c>
      <c r="V37">
        <v>4</v>
      </c>
      <c r="W37">
        <f t="shared" si="15"/>
        <v>70.400000000000006</v>
      </c>
      <c r="X37">
        <v>7</v>
      </c>
      <c r="Y37">
        <v>1</v>
      </c>
      <c r="Z37">
        <v>28</v>
      </c>
      <c r="AA37">
        <f t="shared" si="16"/>
        <v>154</v>
      </c>
      <c r="AB37" t="s">
        <v>513</v>
      </c>
      <c r="AC37">
        <v>1</v>
      </c>
      <c r="AD37">
        <v>1</v>
      </c>
      <c r="AE37">
        <f t="shared" si="17"/>
        <v>7.5</v>
      </c>
      <c r="AF37">
        <f t="shared" si="22"/>
        <v>594.87268999999992</v>
      </c>
      <c r="AG37">
        <f t="shared" si="9"/>
        <v>278.02565945945935</v>
      </c>
      <c r="AH37">
        <f t="shared" si="23"/>
        <v>77298.267317867256</v>
      </c>
      <c r="AI37">
        <f t="shared" si="10"/>
        <v>19.829089666666665</v>
      </c>
    </row>
    <row r="38" spans="1:35" x14ac:dyDescent="0.2">
      <c r="A38" t="s">
        <v>490</v>
      </c>
      <c r="B38" t="s">
        <v>491</v>
      </c>
      <c r="C38">
        <v>11</v>
      </c>
      <c r="D38">
        <v>2</v>
      </c>
      <c r="E38">
        <v>1</v>
      </c>
      <c r="F38">
        <v>8</v>
      </c>
      <c r="G38">
        <f t="shared" si="19"/>
        <v>89.6</v>
      </c>
      <c r="H38">
        <v>1</v>
      </c>
      <c r="I38">
        <v>1</v>
      </c>
      <c r="J38">
        <v>4</v>
      </c>
      <c r="K38">
        <f t="shared" si="20"/>
        <v>42.4</v>
      </c>
      <c r="L38">
        <v>0</v>
      </c>
      <c r="M38">
        <v>0</v>
      </c>
      <c r="N38">
        <v>0</v>
      </c>
      <c r="O38">
        <f t="shared" si="21"/>
        <v>0</v>
      </c>
      <c r="P38">
        <v>2</v>
      </c>
      <c r="Q38">
        <v>1</v>
      </c>
      <c r="R38">
        <v>8</v>
      </c>
      <c r="S38">
        <f t="shared" si="14"/>
        <v>92.4</v>
      </c>
      <c r="T38">
        <v>2</v>
      </c>
      <c r="U38">
        <v>1</v>
      </c>
      <c r="V38">
        <v>8</v>
      </c>
      <c r="W38">
        <f t="shared" si="15"/>
        <v>140.80000000000001</v>
      </c>
      <c r="X38">
        <v>2</v>
      </c>
      <c r="Y38">
        <v>2</v>
      </c>
      <c r="Z38">
        <v>16</v>
      </c>
      <c r="AA38">
        <f t="shared" si="16"/>
        <v>88</v>
      </c>
      <c r="AB38">
        <v>2</v>
      </c>
      <c r="AC38">
        <v>1</v>
      </c>
      <c r="AD38">
        <v>8</v>
      </c>
      <c r="AE38">
        <f t="shared" si="17"/>
        <v>60</v>
      </c>
      <c r="AF38">
        <f t="shared" si="22"/>
        <v>513.20000000000005</v>
      </c>
      <c r="AG38">
        <f t="shared" si="9"/>
        <v>196.35296945945947</v>
      </c>
      <c r="AH38">
        <f t="shared" si="23"/>
        <v>38554.488615547423</v>
      </c>
      <c r="AI38">
        <f t="shared" si="10"/>
        <v>17.106666666666669</v>
      </c>
    </row>
    <row r="39" spans="1:35" x14ac:dyDescent="0.2">
      <c r="A39" t="s">
        <v>200</v>
      </c>
      <c r="B39" t="s">
        <v>492</v>
      </c>
      <c r="C39">
        <v>9</v>
      </c>
      <c r="D39">
        <v>2</v>
      </c>
      <c r="E39">
        <v>1</v>
      </c>
      <c r="F39">
        <v>8</v>
      </c>
      <c r="G39">
        <f t="shared" si="19"/>
        <v>89.6</v>
      </c>
      <c r="H39">
        <v>1</v>
      </c>
      <c r="I39">
        <v>1</v>
      </c>
      <c r="J39">
        <v>4</v>
      </c>
      <c r="K39">
        <f t="shared" si="20"/>
        <v>42.4</v>
      </c>
      <c r="L39">
        <v>0</v>
      </c>
      <c r="M39">
        <v>0</v>
      </c>
      <c r="N39">
        <v>0</v>
      </c>
      <c r="O39">
        <f t="shared" si="21"/>
        <v>0</v>
      </c>
      <c r="P39">
        <v>2</v>
      </c>
      <c r="Q39">
        <v>1</v>
      </c>
      <c r="R39">
        <v>8</v>
      </c>
      <c r="S39">
        <f t="shared" si="14"/>
        <v>92.4</v>
      </c>
      <c r="T39">
        <v>2</v>
      </c>
      <c r="U39">
        <v>1</v>
      </c>
      <c r="V39">
        <v>8</v>
      </c>
      <c r="W39">
        <f t="shared" si="15"/>
        <v>140.80000000000001</v>
      </c>
      <c r="X39">
        <v>2</v>
      </c>
      <c r="Y39">
        <v>2</v>
      </c>
      <c r="Z39">
        <v>16</v>
      </c>
      <c r="AA39">
        <f t="shared" si="16"/>
        <v>88</v>
      </c>
      <c r="AB39">
        <v>2</v>
      </c>
      <c r="AC39">
        <v>1</v>
      </c>
      <c r="AD39">
        <v>8</v>
      </c>
      <c r="AE39">
        <f t="shared" si="17"/>
        <v>60</v>
      </c>
      <c r="AF39">
        <f t="shared" si="22"/>
        <v>513.20000000000005</v>
      </c>
      <c r="AG39">
        <f t="shared" si="9"/>
        <v>196.35296945945947</v>
      </c>
      <c r="AH39">
        <f t="shared" si="23"/>
        <v>38554.488615547423</v>
      </c>
      <c r="AI39">
        <f t="shared" si="10"/>
        <v>17.106666666666669</v>
      </c>
    </row>
    <row r="40" spans="1:35" x14ac:dyDescent="0.2">
      <c r="A40" t="s">
        <v>198</v>
      </c>
      <c r="B40" t="s">
        <v>493</v>
      </c>
      <c r="C40">
        <v>7</v>
      </c>
      <c r="D40">
        <v>2</v>
      </c>
      <c r="E40">
        <v>1</v>
      </c>
      <c r="F40">
        <v>8</v>
      </c>
      <c r="G40">
        <f t="shared" si="19"/>
        <v>89.6</v>
      </c>
      <c r="H40">
        <v>1</v>
      </c>
      <c r="I40">
        <v>1</v>
      </c>
      <c r="J40">
        <v>4</v>
      </c>
      <c r="K40">
        <f t="shared" si="20"/>
        <v>42.4</v>
      </c>
      <c r="L40">
        <v>0</v>
      </c>
      <c r="M40">
        <v>0</v>
      </c>
      <c r="N40">
        <v>0</v>
      </c>
      <c r="O40">
        <f t="shared" si="21"/>
        <v>0</v>
      </c>
      <c r="P40">
        <v>2</v>
      </c>
      <c r="Q40">
        <v>1</v>
      </c>
      <c r="R40">
        <v>8</v>
      </c>
      <c r="S40">
        <f t="shared" si="14"/>
        <v>92.4</v>
      </c>
      <c r="T40">
        <v>2</v>
      </c>
      <c r="U40">
        <v>1</v>
      </c>
      <c r="V40">
        <v>8</v>
      </c>
      <c r="W40">
        <f t="shared" si="15"/>
        <v>140.80000000000001</v>
      </c>
      <c r="X40">
        <v>2</v>
      </c>
      <c r="Y40">
        <v>2</v>
      </c>
      <c r="Z40">
        <v>16</v>
      </c>
      <c r="AA40">
        <f t="shared" si="16"/>
        <v>88</v>
      </c>
      <c r="AB40">
        <v>2</v>
      </c>
      <c r="AC40">
        <v>1</v>
      </c>
      <c r="AD40">
        <v>8</v>
      </c>
      <c r="AE40">
        <f t="shared" si="17"/>
        <v>60</v>
      </c>
      <c r="AF40">
        <f t="shared" si="22"/>
        <v>513.20000000000005</v>
      </c>
      <c r="AG40">
        <f>AF40-$AF$48</f>
        <v>196.35296945945947</v>
      </c>
      <c r="AH40">
        <f t="shared" si="23"/>
        <v>38554.488615547423</v>
      </c>
      <c r="AI40">
        <f t="shared" si="10"/>
        <v>17.106666666666669</v>
      </c>
    </row>
    <row r="41" spans="1:35" x14ac:dyDescent="0.2">
      <c r="A41" t="s">
        <v>38</v>
      </c>
      <c r="B41" t="s">
        <v>494</v>
      </c>
      <c r="C41">
        <v>10</v>
      </c>
      <c r="D41">
        <v>1</v>
      </c>
      <c r="E41">
        <v>1</v>
      </c>
      <c r="F41">
        <v>4</v>
      </c>
      <c r="G41">
        <f t="shared" si="19"/>
        <v>44.8</v>
      </c>
      <c r="H41">
        <v>1</v>
      </c>
      <c r="I41">
        <v>1</v>
      </c>
      <c r="J41">
        <v>4</v>
      </c>
      <c r="K41">
        <f t="shared" si="20"/>
        <v>42.4</v>
      </c>
      <c r="L41" t="s">
        <v>507</v>
      </c>
      <c r="M41">
        <v>1</v>
      </c>
      <c r="N41">
        <v>0.5</v>
      </c>
      <c r="O41">
        <f t="shared" si="21"/>
        <v>7.2149999999999999</v>
      </c>
      <c r="P41" t="s">
        <v>521</v>
      </c>
      <c r="Q41">
        <v>1</v>
      </c>
      <c r="R41">
        <v>0.5</v>
      </c>
      <c r="S41">
        <f t="shared" si="14"/>
        <v>5.7750000000000004</v>
      </c>
      <c r="T41" t="s">
        <v>523</v>
      </c>
      <c r="U41">
        <v>1</v>
      </c>
      <c r="V41">
        <v>2</v>
      </c>
      <c r="W41">
        <f t="shared" si="15"/>
        <v>35.200000000000003</v>
      </c>
      <c r="X41">
        <v>2</v>
      </c>
      <c r="Y41">
        <v>2</v>
      </c>
      <c r="Z41">
        <v>16</v>
      </c>
      <c r="AA41">
        <f t="shared" si="16"/>
        <v>88</v>
      </c>
      <c r="AB41" t="s">
        <v>513</v>
      </c>
      <c r="AC41">
        <v>1</v>
      </c>
      <c r="AD41">
        <v>1</v>
      </c>
      <c r="AE41">
        <f t="shared" si="17"/>
        <v>7.5</v>
      </c>
      <c r="AF41">
        <f t="shared" si="22"/>
        <v>230.89</v>
      </c>
      <c r="AG41">
        <f t="shared" si="9"/>
        <v>-85.957030540540586</v>
      </c>
      <c r="AH41">
        <f t="shared" si="23"/>
        <v>7388.6110993474267</v>
      </c>
      <c r="AI41">
        <f t="shared" si="10"/>
        <v>7.6963333333333326</v>
      </c>
    </row>
    <row r="42" spans="1:35" x14ac:dyDescent="0.2">
      <c r="A42" t="s">
        <v>495</v>
      </c>
      <c r="B42" t="s">
        <v>496</v>
      </c>
      <c r="C42">
        <v>8</v>
      </c>
      <c r="D42">
        <v>1</v>
      </c>
      <c r="E42">
        <v>1</v>
      </c>
      <c r="F42">
        <v>4</v>
      </c>
      <c r="G42">
        <f t="shared" si="19"/>
        <v>44.8</v>
      </c>
      <c r="H42">
        <v>1</v>
      </c>
      <c r="I42">
        <v>1</v>
      </c>
      <c r="J42">
        <v>4</v>
      </c>
      <c r="K42">
        <f t="shared" si="20"/>
        <v>42.4</v>
      </c>
      <c r="L42" t="s">
        <v>507</v>
      </c>
      <c r="M42">
        <v>1</v>
      </c>
      <c r="N42">
        <v>0.5</v>
      </c>
      <c r="O42">
        <f t="shared" si="21"/>
        <v>7.2149999999999999</v>
      </c>
      <c r="P42" t="s">
        <v>521</v>
      </c>
      <c r="Q42">
        <v>1</v>
      </c>
      <c r="R42">
        <v>0.5</v>
      </c>
      <c r="S42">
        <f t="shared" si="14"/>
        <v>5.7750000000000004</v>
      </c>
      <c r="T42" t="s">
        <v>523</v>
      </c>
      <c r="U42">
        <v>1</v>
      </c>
      <c r="V42">
        <v>2</v>
      </c>
      <c r="W42">
        <f t="shared" si="15"/>
        <v>35.200000000000003</v>
      </c>
      <c r="X42">
        <v>2</v>
      </c>
      <c r="Y42">
        <v>2</v>
      </c>
      <c r="Z42">
        <v>16</v>
      </c>
      <c r="AA42">
        <f t="shared" si="16"/>
        <v>88</v>
      </c>
      <c r="AB42" t="s">
        <v>513</v>
      </c>
      <c r="AC42">
        <v>1</v>
      </c>
      <c r="AD42">
        <v>1</v>
      </c>
      <c r="AE42">
        <f t="shared" si="17"/>
        <v>7.5</v>
      </c>
      <c r="AF42">
        <f t="shared" si="22"/>
        <v>230.89</v>
      </c>
      <c r="AG42">
        <f t="shared" si="9"/>
        <v>-85.957030540540586</v>
      </c>
      <c r="AH42">
        <f t="shared" si="23"/>
        <v>7388.6110993474267</v>
      </c>
      <c r="AI42">
        <f t="shared" si="10"/>
        <v>7.6963333333333326</v>
      </c>
    </row>
    <row r="43" spans="1:35" x14ac:dyDescent="0.2">
      <c r="A43" t="s">
        <v>18</v>
      </c>
      <c r="B43" t="s">
        <v>497</v>
      </c>
      <c r="C43">
        <v>10</v>
      </c>
      <c r="D43">
        <v>0</v>
      </c>
      <c r="E43">
        <v>0</v>
      </c>
      <c r="F43">
        <v>0</v>
      </c>
      <c r="G43">
        <f t="shared" si="19"/>
        <v>0</v>
      </c>
      <c r="H43" t="s">
        <v>513</v>
      </c>
      <c r="I43">
        <v>1</v>
      </c>
      <c r="J43">
        <v>1</v>
      </c>
      <c r="K43">
        <f t="shared" si="20"/>
        <v>10.6</v>
      </c>
      <c r="L43">
        <v>0</v>
      </c>
      <c r="M43">
        <v>0</v>
      </c>
      <c r="N43">
        <v>0</v>
      </c>
      <c r="O43">
        <f t="shared" si="21"/>
        <v>0</v>
      </c>
      <c r="P43" t="s">
        <v>522</v>
      </c>
      <c r="Q43">
        <v>1</v>
      </c>
      <c r="R43">
        <v>2</v>
      </c>
      <c r="S43">
        <f t="shared" si="14"/>
        <v>23.1</v>
      </c>
      <c r="T43">
        <v>1</v>
      </c>
      <c r="U43">
        <v>1</v>
      </c>
      <c r="V43">
        <v>4</v>
      </c>
      <c r="W43">
        <f t="shared" si="15"/>
        <v>70.400000000000006</v>
      </c>
      <c r="X43">
        <v>7</v>
      </c>
      <c r="Y43">
        <v>2</v>
      </c>
      <c r="Z43">
        <v>56</v>
      </c>
      <c r="AA43">
        <f t="shared" si="16"/>
        <v>308</v>
      </c>
      <c r="AB43">
        <v>0</v>
      </c>
      <c r="AC43">
        <v>0</v>
      </c>
      <c r="AD43">
        <v>0</v>
      </c>
      <c r="AE43">
        <f t="shared" si="17"/>
        <v>0</v>
      </c>
      <c r="AF43">
        <f t="shared" si="22"/>
        <v>412.1</v>
      </c>
      <c r="AG43">
        <f t="shared" si="9"/>
        <v>95.25296945945945</v>
      </c>
      <c r="AH43">
        <f>(AG43)^2</f>
        <v>9073.1281908447145</v>
      </c>
      <c r="AI43">
        <f t="shared" si="10"/>
        <v>13.736666666666668</v>
      </c>
    </row>
    <row r="44" spans="1:35" x14ac:dyDescent="0.2">
      <c r="A44" t="s">
        <v>221</v>
      </c>
      <c r="B44" t="s">
        <v>498</v>
      </c>
      <c r="D44">
        <v>3</v>
      </c>
      <c r="E44">
        <v>1</v>
      </c>
      <c r="F44">
        <v>12</v>
      </c>
      <c r="G44">
        <f t="shared" si="19"/>
        <v>134.39999999999998</v>
      </c>
      <c r="H44">
        <v>1</v>
      </c>
      <c r="I44">
        <v>1</v>
      </c>
      <c r="J44">
        <v>4</v>
      </c>
      <c r="K44">
        <f t="shared" si="20"/>
        <v>42.4</v>
      </c>
      <c r="L44">
        <v>1</v>
      </c>
      <c r="M44">
        <v>1</v>
      </c>
      <c r="N44">
        <v>4</v>
      </c>
      <c r="O44">
        <f t="shared" si="21"/>
        <v>57.72</v>
      </c>
      <c r="P44">
        <v>1</v>
      </c>
      <c r="Q44">
        <v>1</v>
      </c>
      <c r="R44">
        <v>4</v>
      </c>
      <c r="S44">
        <f t="shared" si="14"/>
        <v>46.2</v>
      </c>
      <c r="T44">
        <v>1</v>
      </c>
      <c r="U44">
        <v>1</v>
      </c>
      <c r="V44">
        <v>4</v>
      </c>
      <c r="W44">
        <f t="shared" si="15"/>
        <v>70.400000000000006</v>
      </c>
      <c r="X44">
        <v>1</v>
      </c>
      <c r="Y44">
        <v>1</v>
      </c>
      <c r="Z44">
        <v>4</v>
      </c>
      <c r="AA44">
        <f t="shared" si="16"/>
        <v>22</v>
      </c>
      <c r="AB44" t="s">
        <v>522</v>
      </c>
      <c r="AC44">
        <v>1</v>
      </c>
      <c r="AD44">
        <v>2</v>
      </c>
      <c r="AE44">
        <f t="shared" si="17"/>
        <v>15</v>
      </c>
      <c r="AF44">
        <f t="shared" si="22"/>
        <v>388.12</v>
      </c>
      <c r="AG44">
        <f t="shared" si="9"/>
        <v>71.272969459459432</v>
      </c>
      <c r="AH44">
        <f>(AG44)^2</f>
        <v>5079.8361755690366</v>
      </c>
      <c r="AI44">
        <f t="shared" si="10"/>
        <v>12.937333333333333</v>
      </c>
    </row>
    <row r="45" spans="1:35" x14ac:dyDescent="0.2">
      <c r="A45" t="s">
        <v>224</v>
      </c>
      <c r="B45" t="s">
        <v>499</v>
      </c>
      <c r="D45">
        <v>3</v>
      </c>
      <c r="E45">
        <v>1</v>
      </c>
      <c r="F45">
        <v>12</v>
      </c>
      <c r="G45">
        <f>($G$2*F45)</f>
        <v>134.39999999999998</v>
      </c>
      <c r="H45">
        <v>1</v>
      </c>
      <c r="I45">
        <v>1</v>
      </c>
      <c r="J45">
        <v>4</v>
      </c>
      <c r="K45">
        <f t="shared" si="20"/>
        <v>42.4</v>
      </c>
      <c r="L45">
        <v>1</v>
      </c>
      <c r="M45">
        <v>1</v>
      </c>
      <c r="N45">
        <v>4</v>
      </c>
      <c r="O45">
        <f t="shared" si="21"/>
        <v>57.72</v>
      </c>
      <c r="P45">
        <v>1</v>
      </c>
      <c r="Q45">
        <v>1</v>
      </c>
      <c r="R45">
        <v>4</v>
      </c>
      <c r="S45">
        <f t="shared" si="14"/>
        <v>46.2</v>
      </c>
      <c r="T45">
        <v>1</v>
      </c>
      <c r="U45">
        <v>1</v>
      </c>
      <c r="V45">
        <v>4</v>
      </c>
      <c r="W45">
        <f t="shared" si="15"/>
        <v>70.400000000000006</v>
      </c>
      <c r="X45">
        <v>1</v>
      </c>
      <c r="Y45">
        <v>1</v>
      </c>
      <c r="Z45">
        <v>4</v>
      </c>
      <c r="AA45">
        <f t="shared" si="16"/>
        <v>22</v>
      </c>
      <c r="AB45" t="s">
        <v>522</v>
      </c>
      <c r="AC45">
        <v>1</v>
      </c>
      <c r="AD45">
        <v>2</v>
      </c>
      <c r="AE45">
        <f t="shared" si="17"/>
        <v>15</v>
      </c>
      <c r="AF45">
        <f t="shared" si="22"/>
        <v>388.12</v>
      </c>
      <c r="AG45">
        <f t="shared" si="9"/>
        <v>71.272969459459432</v>
      </c>
      <c r="AH45">
        <f t="shared" ref="AH45" si="24">(AG45)^2</f>
        <v>5079.8361755690366</v>
      </c>
      <c r="AI45">
        <f t="shared" si="10"/>
        <v>12.937333333333333</v>
      </c>
    </row>
    <row r="47" spans="1:35" x14ac:dyDescent="0.2">
      <c r="AE47" t="s">
        <v>557</v>
      </c>
      <c r="AF47">
        <f>COUNT(AF4:AF45)</f>
        <v>37</v>
      </c>
    </row>
    <row r="48" spans="1:35" x14ac:dyDescent="0.2">
      <c r="AE48" t="s">
        <v>558</v>
      </c>
      <c r="AF48">
        <f>AVERAGE(AF4:AF45)</f>
        <v>316.84703054054057</v>
      </c>
    </row>
    <row r="50" spans="31:32" ht="32" x14ac:dyDescent="0.2">
      <c r="AE50" s="2" t="s">
        <v>560</v>
      </c>
      <c r="AF50">
        <f>SUM(AH4:AH45)</f>
        <v>619932.53473097819</v>
      </c>
    </row>
    <row r="51" spans="31:32" ht="32" x14ac:dyDescent="0.2">
      <c r="AE51" s="2" t="s">
        <v>553</v>
      </c>
      <c r="AF51">
        <f>(AF50/36)^0.5</f>
        <v>131.22632429117115</v>
      </c>
    </row>
  </sheetData>
  <pageMargins left="0.7" right="0.7" top="0.75" bottom="0.75" header="0.3" footer="0.3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73CECF-35DA-4336-99B1-55EBA3DF8081}">
  <dimension ref="A1:AK57"/>
  <sheetViews>
    <sheetView topLeftCell="V25" zoomScale="80" zoomScaleNormal="80" workbookViewId="0">
      <selection activeCell="AE46" sqref="AE46"/>
    </sheetView>
  </sheetViews>
  <sheetFormatPr baseColWidth="10" defaultRowHeight="15" x14ac:dyDescent="0.2"/>
  <cols>
    <col min="1" max="1" width="13.5" customWidth="1"/>
    <col min="2" max="2" width="33.5" customWidth="1"/>
    <col min="4" max="4" width="19.83203125" customWidth="1"/>
    <col min="5" max="5" width="16.33203125" customWidth="1"/>
    <col min="6" max="6" width="16.6640625" customWidth="1"/>
    <col min="7" max="7" width="15.6640625" customWidth="1"/>
    <col min="8" max="8" width="19.5" customWidth="1"/>
    <col min="10" max="10" width="16.5" customWidth="1"/>
    <col min="11" max="11" width="13.1640625" customWidth="1"/>
    <col min="12" max="12" width="19.6640625" customWidth="1"/>
    <col min="13" max="13" width="15.5" customWidth="1"/>
    <col min="14" max="14" width="15.6640625" customWidth="1"/>
    <col min="15" max="15" width="14.33203125" customWidth="1"/>
    <col min="16" max="16" width="21.6640625" customWidth="1"/>
    <col min="17" max="17" width="18.6640625" customWidth="1"/>
    <col min="18" max="18" width="18.5" customWidth="1"/>
    <col min="19" max="19" width="15.5" customWidth="1"/>
    <col min="20" max="20" width="20.5" customWidth="1"/>
    <col min="21" max="21" width="16.5" customWidth="1"/>
    <col min="22" max="22" width="18.5" customWidth="1"/>
    <col min="23" max="23" width="13.1640625" customWidth="1"/>
    <col min="24" max="24" width="21" customWidth="1"/>
    <col min="25" max="25" width="16.33203125" customWidth="1"/>
    <col min="26" max="27" width="15.5" customWidth="1"/>
    <col min="28" max="28" width="19.1640625" customWidth="1"/>
    <col min="29" max="29" width="15.33203125" customWidth="1"/>
    <col min="30" max="30" width="15.83203125" customWidth="1"/>
    <col min="31" max="31" width="14.1640625" customWidth="1"/>
    <col min="32" max="32" width="15" customWidth="1"/>
  </cols>
  <sheetData>
    <row r="1" spans="1:34" ht="25.5" customHeight="1" x14ac:dyDescent="0.2">
      <c r="A1" s="1" t="s">
        <v>129</v>
      </c>
      <c r="D1" t="s">
        <v>24</v>
      </c>
      <c r="H1" t="s">
        <v>25</v>
      </c>
      <c r="L1" t="s">
        <v>387</v>
      </c>
      <c r="P1" t="s">
        <v>389</v>
      </c>
      <c r="T1" t="s">
        <v>26</v>
      </c>
      <c r="X1" t="s">
        <v>27</v>
      </c>
      <c r="AB1" t="s">
        <v>28</v>
      </c>
    </row>
    <row r="2" spans="1:34" ht="46.5" customHeight="1" x14ac:dyDescent="0.2">
      <c r="C2" s="13"/>
      <c r="G2">
        <v>7.9</v>
      </c>
      <c r="K2">
        <v>7.9</v>
      </c>
      <c r="L2" t="s">
        <v>388</v>
      </c>
      <c r="O2">
        <v>4.5</v>
      </c>
      <c r="P2" t="s">
        <v>390</v>
      </c>
      <c r="S2">
        <v>5.5</v>
      </c>
      <c r="T2" t="s">
        <v>391</v>
      </c>
      <c r="W2">
        <v>13.8</v>
      </c>
      <c r="X2" t="s">
        <v>392</v>
      </c>
      <c r="AA2">
        <v>4.4000000000000004</v>
      </c>
      <c r="AB2" s="2" t="s">
        <v>394</v>
      </c>
      <c r="AE2">
        <v>0.5</v>
      </c>
    </row>
    <row r="3" spans="1:34" x14ac:dyDescent="0.2">
      <c r="A3" s="1" t="s">
        <v>176</v>
      </c>
      <c r="B3" s="1" t="s">
        <v>381</v>
      </c>
      <c r="C3" s="1" t="s">
        <v>382</v>
      </c>
      <c r="D3" s="14" t="s">
        <v>383</v>
      </c>
      <c r="E3" s="14" t="s">
        <v>384</v>
      </c>
      <c r="F3" s="14" t="s">
        <v>385</v>
      </c>
      <c r="G3" s="26" t="s">
        <v>446</v>
      </c>
      <c r="H3" s="14" t="s">
        <v>383</v>
      </c>
      <c r="I3" s="14" t="s">
        <v>384</v>
      </c>
      <c r="J3" s="14" t="s">
        <v>385</v>
      </c>
      <c r="K3" s="14" t="s">
        <v>446</v>
      </c>
      <c r="L3" s="14" t="s">
        <v>383</v>
      </c>
      <c r="M3" s="14" t="s">
        <v>384</v>
      </c>
      <c r="N3" s="14" t="s">
        <v>385</v>
      </c>
      <c r="O3" s="14" t="s">
        <v>446</v>
      </c>
      <c r="P3" s="14" t="s">
        <v>383</v>
      </c>
      <c r="Q3" s="14" t="s">
        <v>384</v>
      </c>
      <c r="R3" s="14" t="s">
        <v>385</v>
      </c>
      <c r="S3" s="14" t="s">
        <v>446</v>
      </c>
      <c r="T3" s="14" t="s">
        <v>383</v>
      </c>
      <c r="U3" s="14" t="s">
        <v>384</v>
      </c>
      <c r="V3" s="14" t="s">
        <v>385</v>
      </c>
      <c r="W3" s="14" t="s">
        <v>446</v>
      </c>
      <c r="X3" s="14" t="s">
        <v>383</v>
      </c>
      <c r="Y3" s="14" t="s">
        <v>384</v>
      </c>
      <c r="Z3" s="14" t="s">
        <v>393</v>
      </c>
      <c r="AA3" s="14" t="s">
        <v>446</v>
      </c>
      <c r="AB3" s="14" t="s">
        <v>383</v>
      </c>
      <c r="AC3" s="14" t="s">
        <v>384</v>
      </c>
      <c r="AD3" s="14" t="s">
        <v>385</v>
      </c>
      <c r="AE3" s="14" t="s">
        <v>446</v>
      </c>
      <c r="AF3" s="14" t="s">
        <v>395</v>
      </c>
      <c r="AG3" s="14" t="s">
        <v>561</v>
      </c>
      <c r="AH3" s="14" t="s">
        <v>551</v>
      </c>
    </row>
    <row r="4" spans="1:34" x14ac:dyDescent="0.2">
      <c r="A4" s="14" t="s">
        <v>138</v>
      </c>
      <c r="B4" s="14" t="s">
        <v>137</v>
      </c>
      <c r="C4" s="14">
        <v>6</v>
      </c>
      <c r="D4" s="14">
        <v>7</v>
      </c>
      <c r="E4" s="14">
        <v>2</v>
      </c>
      <c r="F4" s="14">
        <v>56</v>
      </c>
      <c r="G4">
        <f>F4*G2</f>
        <v>442.40000000000003</v>
      </c>
      <c r="H4" s="14">
        <v>3</v>
      </c>
      <c r="I4" s="14">
        <v>1</v>
      </c>
      <c r="J4" s="14">
        <v>12</v>
      </c>
      <c r="K4">
        <f>J4*K2</f>
        <v>94.800000000000011</v>
      </c>
      <c r="L4" s="14"/>
      <c r="M4" s="14"/>
      <c r="N4" s="14"/>
      <c r="P4" s="14">
        <v>1</v>
      </c>
      <c r="Q4" s="14">
        <v>1</v>
      </c>
      <c r="R4" s="14">
        <v>4</v>
      </c>
      <c r="S4">
        <f>R4*S2</f>
        <v>22</v>
      </c>
      <c r="T4" s="14">
        <v>3</v>
      </c>
      <c r="U4" s="14">
        <v>1</v>
      </c>
      <c r="V4" s="14">
        <v>12</v>
      </c>
      <c r="W4">
        <f>V4*W2</f>
        <v>165.60000000000002</v>
      </c>
      <c r="X4" s="14">
        <v>3</v>
      </c>
      <c r="Y4" s="14">
        <v>1</v>
      </c>
      <c r="Z4" s="14">
        <v>12</v>
      </c>
      <c r="AA4">
        <f>Z4*AA2</f>
        <v>52.800000000000004</v>
      </c>
      <c r="AB4" s="14">
        <v>1</v>
      </c>
      <c r="AC4" s="14">
        <v>1</v>
      </c>
      <c r="AD4" s="14">
        <v>4</v>
      </c>
      <c r="AE4">
        <f>AD4*AE2</f>
        <v>2</v>
      </c>
      <c r="AF4">
        <f t="shared" ref="AF4:AF22" si="0">AE4+AA4+W4+S4+O4+K4+G4</f>
        <v>779.60000000000014</v>
      </c>
      <c r="AG4">
        <f>AF4-$AF$42</f>
        <v>-54.711111111110995</v>
      </c>
      <c r="AH4">
        <f>AG4^2</f>
        <v>2993.3056790123328</v>
      </c>
    </row>
    <row r="5" spans="1:34" x14ac:dyDescent="0.2">
      <c r="A5" s="14" t="s">
        <v>133</v>
      </c>
      <c r="B5" s="14" t="s">
        <v>445</v>
      </c>
      <c r="C5" s="14">
        <v>6</v>
      </c>
      <c r="D5" s="14">
        <v>3</v>
      </c>
      <c r="E5" s="14">
        <v>1</v>
      </c>
      <c r="F5" s="14">
        <v>12</v>
      </c>
      <c r="G5">
        <f>F5*G2</f>
        <v>94.800000000000011</v>
      </c>
      <c r="H5" s="14">
        <v>1</v>
      </c>
      <c r="I5" s="14">
        <v>1</v>
      </c>
      <c r="J5" s="14">
        <v>4</v>
      </c>
      <c r="K5">
        <f>J5*K2</f>
        <v>31.6</v>
      </c>
      <c r="L5" s="14">
        <v>2</v>
      </c>
      <c r="M5" s="14">
        <v>1</v>
      </c>
      <c r="N5" s="14">
        <v>8</v>
      </c>
      <c r="O5">
        <f>N5*O2</f>
        <v>36</v>
      </c>
      <c r="P5" s="14">
        <v>1</v>
      </c>
      <c r="Q5" s="14">
        <v>1</v>
      </c>
      <c r="R5" s="14">
        <v>4</v>
      </c>
      <c r="S5">
        <f>R5*S2</f>
        <v>22</v>
      </c>
      <c r="T5" s="14">
        <v>3</v>
      </c>
      <c r="U5" s="14">
        <v>1</v>
      </c>
      <c r="V5" s="14">
        <v>12</v>
      </c>
      <c r="W5">
        <f>V5*W2</f>
        <v>165.60000000000002</v>
      </c>
      <c r="X5" s="14">
        <v>5</v>
      </c>
      <c r="Y5" s="14">
        <v>1</v>
      </c>
      <c r="Z5" s="14">
        <v>20</v>
      </c>
      <c r="AA5">
        <f>Z5*AA2</f>
        <v>88</v>
      </c>
      <c r="AB5" s="14">
        <v>0</v>
      </c>
      <c r="AC5" s="14">
        <v>0</v>
      </c>
      <c r="AD5" s="14">
        <v>0</v>
      </c>
      <c r="AE5">
        <f>AD5*AE2</f>
        <v>0</v>
      </c>
      <c r="AF5">
        <f t="shared" si="0"/>
        <v>438.00000000000006</v>
      </c>
      <c r="AG5">
        <f t="shared" ref="AG5:AG39" si="1">AF5-$AF$42</f>
        <v>-396.31111111111107</v>
      </c>
      <c r="AH5">
        <f t="shared" ref="AH5:AH39" si="2">AG5^2</f>
        <v>157062.49679012343</v>
      </c>
    </row>
    <row r="6" spans="1:34" x14ac:dyDescent="0.2">
      <c r="A6" s="14" t="s">
        <v>440</v>
      </c>
      <c r="B6" s="14" t="s">
        <v>441</v>
      </c>
      <c r="C6" s="14">
        <v>7</v>
      </c>
      <c r="D6" s="14">
        <v>7</v>
      </c>
      <c r="E6" s="14">
        <v>1</v>
      </c>
      <c r="F6" s="14">
        <v>28</v>
      </c>
      <c r="G6">
        <f>F6*G2</f>
        <v>221.20000000000002</v>
      </c>
      <c r="H6" s="14">
        <v>7</v>
      </c>
      <c r="I6" s="14">
        <v>1</v>
      </c>
      <c r="J6" s="14">
        <v>28</v>
      </c>
      <c r="K6">
        <f>J6*K2</f>
        <v>221.20000000000002</v>
      </c>
      <c r="L6" s="14">
        <v>1</v>
      </c>
      <c r="M6" s="14">
        <v>1</v>
      </c>
      <c r="N6" s="14">
        <v>4</v>
      </c>
      <c r="O6">
        <f>N6*O2</f>
        <v>18</v>
      </c>
      <c r="P6" s="14">
        <v>1</v>
      </c>
      <c r="Q6" s="14">
        <v>1</v>
      </c>
      <c r="R6" s="14">
        <v>4</v>
      </c>
      <c r="S6">
        <f>R6*S2</f>
        <v>22</v>
      </c>
      <c r="T6" s="14">
        <v>1</v>
      </c>
      <c r="U6" s="14">
        <v>1</v>
      </c>
      <c r="V6" s="14">
        <v>4</v>
      </c>
      <c r="W6">
        <f>V6*W2</f>
        <v>55.2</v>
      </c>
      <c r="X6" s="14">
        <v>7</v>
      </c>
      <c r="Y6" s="14">
        <v>1</v>
      </c>
      <c r="Z6" s="14">
        <v>28</v>
      </c>
      <c r="AA6">
        <f>Z6*AA2</f>
        <v>123.20000000000002</v>
      </c>
      <c r="AB6" s="14">
        <v>0</v>
      </c>
      <c r="AC6" s="14">
        <v>0</v>
      </c>
      <c r="AD6" s="14">
        <v>0</v>
      </c>
      <c r="AE6">
        <f>AD6*AE2</f>
        <v>0</v>
      </c>
      <c r="AF6">
        <f t="shared" si="0"/>
        <v>660.80000000000007</v>
      </c>
      <c r="AG6">
        <f t="shared" si="1"/>
        <v>-173.51111111111106</v>
      </c>
      <c r="AH6">
        <f t="shared" si="2"/>
        <v>30106.105679012329</v>
      </c>
    </row>
    <row r="7" spans="1:34" x14ac:dyDescent="0.2">
      <c r="A7" s="14" t="s">
        <v>145</v>
      </c>
      <c r="B7" s="14" t="s">
        <v>144</v>
      </c>
      <c r="C7" s="14">
        <v>9</v>
      </c>
      <c r="D7" s="14">
        <v>7</v>
      </c>
      <c r="E7" s="14">
        <v>2</v>
      </c>
      <c r="F7" s="14">
        <v>56</v>
      </c>
      <c r="G7">
        <f>F7*G2</f>
        <v>442.40000000000003</v>
      </c>
      <c r="H7" s="14">
        <v>3</v>
      </c>
      <c r="I7" s="14">
        <v>1</v>
      </c>
      <c r="J7" s="14">
        <v>12</v>
      </c>
      <c r="K7">
        <f>J7*K2</f>
        <v>94.800000000000011</v>
      </c>
      <c r="L7" s="14">
        <v>3</v>
      </c>
      <c r="M7" s="14">
        <v>1</v>
      </c>
      <c r="N7" s="14">
        <v>12</v>
      </c>
      <c r="O7">
        <f>N7*O2</f>
        <v>54</v>
      </c>
      <c r="P7" s="14">
        <v>3</v>
      </c>
      <c r="Q7" s="14">
        <v>1</v>
      </c>
      <c r="R7" s="14">
        <v>12</v>
      </c>
      <c r="S7">
        <f>R7*S2</f>
        <v>66</v>
      </c>
      <c r="T7" s="14">
        <v>4</v>
      </c>
      <c r="U7" s="14">
        <v>1</v>
      </c>
      <c r="V7" s="14">
        <v>16</v>
      </c>
      <c r="W7">
        <f>V7*W2</f>
        <v>220.8</v>
      </c>
      <c r="X7" s="14">
        <v>3</v>
      </c>
      <c r="Y7" s="14">
        <v>1</v>
      </c>
      <c r="Z7" s="14">
        <v>12</v>
      </c>
      <c r="AA7">
        <f>Z7*AA2</f>
        <v>52.800000000000004</v>
      </c>
      <c r="AB7" s="14">
        <v>1</v>
      </c>
      <c r="AC7" s="14">
        <v>1</v>
      </c>
      <c r="AD7" s="14">
        <v>4</v>
      </c>
      <c r="AE7">
        <f>AD7*AE2</f>
        <v>2</v>
      </c>
      <c r="AF7">
        <f t="shared" si="0"/>
        <v>932.80000000000007</v>
      </c>
      <c r="AG7">
        <f t="shared" si="1"/>
        <v>98.488888888888937</v>
      </c>
      <c r="AH7">
        <f t="shared" si="2"/>
        <v>9700.061234567911</v>
      </c>
    </row>
    <row r="8" spans="1:34" x14ac:dyDescent="0.2">
      <c r="A8" s="14" t="s">
        <v>149</v>
      </c>
      <c r="B8" s="14" t="s">
        <v>148</v>
      </c>
      <c r="C8" s="14">
        <v>9</v>
      </c>
      <c r="D8" s="14">
        <v>7</v>
      </c>
      <c r="E8" s="14">
        <v>2</v>
      </c>
      <c r="F8" s="14">
        <v>56</v>
      </c>
      <c r="G8">
        <f>F8*G2</f>
        <v>442.40000000000003</v>
      </c>
      <c r="H8" s="14">
        <v>3</v>
      </c>
      <c r="I8" s="14">
        <v>1</v>
      </c>
      <c r="J8" s="14">
        <v>12</v>
      </c>
      <c r="K8">
        <f>J8*K2</f>
        <v>94.800000000000011</v>
      </c>
      <c r="L8" s="14">
        <v>2</v>
      </c>
      <c r="M8" s="14">
        <v>1</v>
      </c>
      <c r="N8" s="14">
        <v>8</v>
      </c>
      <c r="O8">
        <f>N8*O2</f>
        <v>36</v>
      </c>
      <c r="P8" s="14">
        <v>3</v>
      </c>
      <c r="Q8" s="14">
        <v>2</v>
      </c>
      <c r="R8" s="14">
        <v>24</v>
      </c>
      <c r="S8">
        <f>R8*S2</f>
        <v>132</v>
      </c>
      <c r="T8" s="14">
        <v>3</v>
      </c>
      <c r="U8" s="14">
        <v>2</v>
      </c>
      <c r="V8" s="14">
        <v>24</v>
      </c>
      <c r="W8">
        <f>V8*W2</f>
        <v>331.20000000000005</v>
      </c>
      <c r="X8" s="14">
        <v>4</v>
      </c>
      <c r="Y8" s="14">
        <v>1</v>
      </c>
      <c r="Z8" s="14">
        <v>16</v>
      </c>
      <c r="AA8">
        <f>Z8*AA2</f>
        <v>70.400000000000006</v>
      </c>
      <c r="AB8" s="14">
        <v>2</v>
      </c>
      <c r="AC8" s="14">
        <v>1</v>
      </c>
      <c r="AD8" s="14">
        <v>8</v>
      </c>
      <c r="AE8">
        <f>AD8*AE2</f>
        <v>4</v>
      </c>
      <c r="AF8">
        <f t="shared" si="0"/>
        <v>1110.8000000000002</v>
      </c>
      <c r="AG8">
        <f t="shared" si="1"/>
        <v>276.48888888888905</v>
      </c>
      <c r="AH8">
        <f t="shared" si="2"/>
        <v>76446.105679012442</v>
      </c>
    </row>
    <row r="9" spans="1:34" x14ac:dyDescent="0.2">
      <c r="A9" s="14" t="s">
        <v>438</v>
      </c>
      <c r="B9" s="14" t="s">
        <v>439</v>
      </c>
      <c r="C9" s="14">
        <v>9</v>
      </c>
      <c r="D9" s="14">
        <v>4</v>
      </c>
      <c r="E9" s="14">
        <v>1</v>
      </c>
      <c r="F9" s="14">
        <v>16</v>
      </c>
      <c r="G9">
        <f>F9*G2</f>
        <v>126.4</v>
      </c>
      <c r="H9" s="14">
        <v>3</v>
      </c>
      <c r="I9" s="14">
        <v>1</v>
      </c>
      <c r="J9" s="14">
        <v>12</v>
      </c>
      <c r="K9">
        <f>J9*K2</f>
        <v>94.800000000000011</v>
      </c>
      <c r="L9" s="14">
        <v>2</v>
      </c>
      <c r="M9" s="14">
        <v>1</v>
      </c>
      <c r="N9" s="14">
        <v>8</v>
      </c>
      <c r="O9">
        <f>N9*O2</f>
        <v>36</v>
      </c>
      <c r="P9" s="14">
        <v>4</v>
      </c>
      <c r="Q9" s="14">
        <v>1</v>
      </c>
      <c r="R9" s="14">
        <v>16</v>
      </c>
      <c r="S9">
        <f>R9*S2</f>
        <v>88</v>
      </c>
      <c r="T9" s="14">
        <v>4</v>
      </c>
      <c r="U9" s="14">
        <v>1</v>
      </c>
      <c r="V9" s="14">
        <v>16</v>
      </c>
      <c r="W9">
        <f>V9*W2</f>
        <v>220.8</v>
      </c>
      <c r="X9" s="14">
        <v>5</v>
      </c>
      <c r="Y9" s="14">
        <v>2</v>
      </c>
      <c r="Z9" s="14">
        <v>40</v>
      </c>
      <c r="AA9">
        <f>Z9*AA2</f>
        <v>176</v>
      </c>
      <c r="AB9" s="14">
        <v>2</v>
      </c>
      <c r="AC9" s="14">
        <v>1</v>
      </c>
      <c r="AD9" s="14">
        <v>8</v>
      </c>
      <c r="AE9">
        <f>AD9*AE2</f>
        <v>4</v>
      </c>
      <c r="AF9">
        <f t="shared" si="0"/>
        <v>745.99999999999989</v>
      </c>
      <c r="AG9">
        <f t="shared" si="1"/>
        <v>-88.311111111111245</v>
      </c>
      <c r="AH9">
        <f t="shared" si="2"/>
        <v>7798.8523456790363</v>
      </c>
    </row>
    <row r="10" spans="1:34" x14ac:dyDescent="0.2">
      <c r="A10" s="14" t="s">
        <v>434</v>
      </c>
      <c r="B10" s="14" t="s">
        <v>437</v>
      </c>
      <c r="C10" s="14">
        <v>6</v>
      </c>
      <c r="D10" s="14">
        <v>7</v>
      </c>
      <c r="E10" s="14">
        <v>2</v>
      </c>
      <c r="F10" s="14">
        <v>56</v>
      </c>
      <c r="G10">
        <f>F10*G2</f>
        <v>442.40000000000003</v>
      </c>
      <c r="H10" s="14">
        <v>2</v>
      </c>
      <c r="I10" s="14">
        <v>1</v>
      </c>
      <c r="J10" s="14">
        <v>8</v>
      </c>
      <c r="K10">
        <f>J10*K2</f>
        <v>63.2</v>
      </c>
      <c r="L10" s="14">
        <v>1</v>
      </c>
      <c r="M10" s="14">
        <v>1</v>
      </c>
      <c r="N10" s="14">
        <v>4</v>
      </c>
      <c r="O10">
        <f>N10*O2</f>
        <v>18</v>
      </c>
      <c r="P10" s="14">
        <v>2</v>
      </c>
      <c r="Q10" s="14">
        <v>1</v>
      </c>
      <c r="R10" s="14">
        <v>8</v>
      </c>
      <c r="S10">
        <f>R10*S2</f>
        <v>44</v>
      </c>
      <c r="T10" s="14">
        <v>6</v>
      </c>
      <c r="U10" s="14">
        <v>1</v>
      </c>
      <c r="V10" s="14">
        <v>24</v>
      </c>
      <c r="W10">
        <f>V10*W2</f>
        <v>331.20000000000005</v>
      </c>
      <c r="X10" s="14">
        <v>6</v>
      </c>
      <c r="Y10" s="14">
        <v>1</v>
      </c>
      <c r="Z10" s="14">
        <v>24</v>
      </c>
      <c r="AA10">
        <f>Z10*AA2</f>
        <v>105.60000000000001</v>
      </c>
      <c r="AB10" s="14">
        <v>1</v>
      </c>
      <c r="AC10" s="14">
        <v>1</v>
      </c>
      <c r="AD10" s="14">
        <v>4</v>
      </c>
      <c r="AE10">
        <f>AD10*AE2</f>
        <v>2</v>
      </c>
      <c r="AF10">
        <f t="shared" si="0"/>
        <v>1006.4000000000001</v>
      </c>
      <c r="AG10">
        <f t="shared" si="1"/>
        <v>172.08888888888896</v>
      </c>
      <c r="AH10">
        <f t="shared" si="2"/>
        <v>29614.585679012369</v>
      </c>
    </row>
    <row r="11" spans="1:34" x14ac:dyDescent="0.2">
      <c r="A11" s="14" t="s">
        <v>165</v>
      </c>
      <c r="B11" s="14" t="s">
        <v>164</v>
      </c>
      <c r="C11" s="14">
        <v>9</v>
      </c>
      <c r="D11" s="14">
        <v>2</v>
      </c>
      <c r="E11" s="14">
        <v>2</v>
      </c>
      <c r="F11" s="14">
        <v>16</v>
      </c>
      <c r="G11">
        <f>F11*G2</f>
        <v>126.4</v>
      </c>
      <c r="H11" s="14">
        <v>1</v>
      </c>
      <c r="I11" s="14">
        <v>1</v>
      </c>
      <c r="J11" s="14">
        <v>4</v>
      </c>
      <c r="K11">
        <f>J11*K2</f>
        <v>31.6</v>
      </c>
      <c r="L11" s="14"/>
      <c r="M11" s="14"/>
      <c r="N11" s="14"/>
      <c r="P11" s="14"/>
      <c r="Q11" s="14"/>
      <c r="R11" s="14"/>
      <c r="T11" s="14">
        <v>4</v>
      </c>
      <c r="U11" s="14">
        <v>4</v>
      </c>
      <c r="V11" s="14">
        <v>64</v>
      </c>
      <c r="W11">
        <f>V11*W2</f>
        <v>883.2</v>
      </c>
      <c r="X11" s="14">
        <v>3</v>
      </c>
      <c r="Y11" s="14">
        <v>3</v>
      </c>
      <c r="Z11" s="14">
        <v>36</v>
      </c>
      <c r="AA11">
        <f>Z11*AA2</f>
        <v>158.4</v>
      </c>
      <c r="AB11" s="14">
        <v>1</v>
      </c>
      <c r="AC11" s="14">
        <v>1</v>
      </c>
      <c r="AD11" s="14">
        <v>4</v>
      </c>
      <c r="AE11">
        <f>AD11*AE2</f>
        <v>2</v>
      </c>
      <c r="AF11">
        <f t="shared" si="0"/>
        <v>1201.6000000000001</v>
      </c>
      <c r="AG11">
        <f t="shared" si="1"/>
        <v>367.28888888888901</v>
      </c>
      <c r="AH11">
        <f t="shared" si="2"/>
        <v>134901.12790123466</v>
      </c>
    </row>
    <row r="12" spans="1:34" x14ac:dyDescent="0.2">
      <c r="A12" s="14" t="s">
        <v>442</v>
      </c>
      <c r="B12" s="14" t="s">
        <v>444</v>
      </c>
      <c r="C12" s="14">
        <v>6</v>
      </c>
      <c r="D12" s="14">
        <v>7</v>
      </c>
      <c r="E12" s="14">
        <v>2</v>
      </c>
      <c r="F12" s="14">
        <v>56</v>
      </c>
      <c r="G12">
        <f>F12*G2</f>
        <v>442.40000000000003</v>
      </c>
      <c r="H12" s="14">
        <v>5</v>
      </c>
      <c r="I12" s="14">
        <v>1</v>
      </c>
      <c r="J12" s="14">
        <v>40</v>
      </c>
      <c r="K12">
        <f>J12*K2</f>
        <v>316</v>
      </c>
      <c r="L12" s="14">
        <v>1</v>
      </c>
      <c r="M12" s="14">
        <v>1</v>
      </c>
      <c r="N12" s="14">
        <v>4</v>
      </c>
      <c r="O12">
        <f>N12*O2</f>
        <v>18</v>
      </c>
      <c r="P12" s="14">
        <v>2</v>
      </c>
      <c r="Q12" s="14">
        <v>1</v>
      </c>
      <c r="R12" s="14">
        <v>8</v>
      </c>
      <c r="S12">
        <f>R12*S2</f>
        <v>44</v>
      </c>
      <c r="T12" s="14">
        <v>3</v>
      </c>
      <c r="U12" s="14">
        <v>1</v>
      </c>
      <c r="V12" s="14">
        <v>12</v>
      </c>
      <c r="W12">
        <f>V12*W2</f>
        <v>165.60000000000002</v>
      </c>
      <c r="X12" s="14">
        <v>5</v>
      </c>
      <c r="Y12" s="14">
        <v>1</v>
      </c>
      <c r="Z12" s="14">
        <v>40</v>
      </c>
      <c r="AA12">
        <f>Z12*AA2</f>
        <v>176</v>
      </c>
      <c r="AB12" s="14">
        <v>2</v>
      </c>
      <c r="AC12" s="14">
        <v>1</v>
      </c>
      <c r="AD12" s="14">
        <v>8</v>
      </c>
      <c r="AE12">
        <f>AD12*AE2</f>
        <v>4</v>
      </c>
      <c r="AF12">
        <f t="shared" si="0"/>
        <v>1166</v>
      </c>
      <c r="AG12">
        <f t="shared" si="1"/>
        <v>331.68888888888887</v>
      </c>
      <c r="AH12">
        <f t="shared" si="2"/>
        <v>110017.51901234567</v>
      </c>
    </row>
    <row r="13" spans="1:34" x14ac:dyDescent="0.2">
      <c r="A13" s="14" t="s">
        <v>435</v>
      </c>
      <c r="B13" s="14" t="s">
        <v>436</v>
      </c>
      <c r="C13" s="14">
        <v>9</v>
      </c>
      <c r="D13" s="14"/>
      <c r="E13" s="14"/>
      <c r="F13" s="14"/>
      <c r="H13" s="14"/>
      <c r="I13" s="14"/>
      <c r="J13" s="14"/>
      <c r="L13" s="14"/>
      <c r="M13" s="14"/>
      <c r="N13" s="14"/>
      <c r="P13" s="14">
        <v>2</v>
      </c>
      <c r="Q13" s="14">
        <v>1</v>
      </c>
      <c r="R13" s="14">
        <v>8</v>
      </c>
      <c r="S13">
        <f>R13*S2</f>
        <v>44</v>
      </c>
      <c r="T13" s="14"/>
      <c r="U13" s="14"/>
      <c r="V13" s="14"/>
      <c r="X13" s="14">
        <v>5</v>
      </c>
      <c r="Y13" s="14">
        <v>1</v>
      </c>
      <c r="Z13" s="14">
        <v>20</v>
      </c>
      <c r="AA13">
        <f>Z13*AA2</f>
        <v>88</v>
      </c>
      <c r="AB13" s="14"/>
      <c r="AC13" s="14"/>
      <c r="AD13" s="14"/>
      <c r="AF13">
        <f t="shared" si="0"/>
        <v>132</v>
      </c>
      <c r="AG13">
        <f t="shared" si="1"/>
        <v>-702.31111111111113</v>
      </c>
      <c r="AH13">
        <f t="shared" si="2"/>
        <v>493240.89679012349</v>
      </c>
    </row>
    <row r="14" spans="1:34" x14ac:dyDescent="0.2">
      <c r="A14" s="14" t="s">
        <v>399</v>
      </c>
      <c r="B14" s="14" t="s">
        <v>322</v>
      </c>
      <c r="C14" s="14">
        <v>7</v>
      </c>
      <c r="D14" s="14">
        <v>7</v>
      </c>
      <c r="E14" s="14">
        <v>3</v>
      </c>
      <c r="F14" s="14">
        <v>84</v>
      </c>
      <c r="G14">
        <f>F14*G2</f>
        <v>663.6</v>
      </c>
      <c r="H14" s="14">
        <v>5</v>
      </c>
      <c r="I14" s="14">
        <v>1</v>
      </c>
      <c r="J14" s="14">
        <v>20</v>
      </c>
      <c r="K14">
        <f>J14*K2</f>
        <v>158</v>
      </c>
      <c r="L14" s="14">
        <v>1</v>
      </c>
      <c r="M14" s="14">
        <v>1</v>
      </c>
      <c r="N14" s="14">
        <v>4</v>
      </c>
      <c r="O14">
        <f>N14*O2</f>
        <v>18</v>
      </c>
      <c r="P14" s="14">
        <v>4</v>
      </c>
      <c r="Q14" s="14">
        <v>1</v>
      </c>
      <c r="R14" s="14">
        <v>16</v>
      </c>
      <c r="S14">
        <f>R14*S2</f>
        <v>88</v>
      </c>
      <c r="T14" s="14">
        <v>3</v>
      </c>
      <c r="U14" s="14">
        <v>1</v>
      </c>
      <c r="V14" s="14">
        <v>12</v>
      </c>
      <c r="W14">
        <f>V14*W2</f>
        <v>165.60000000000002</v>
      </c>
      <c r="X14" s="14">
        <v>3</v>
      </c>
      <c r="Y14" s="14">
        <v>1</v>
      </c>
      <c r="Z14" s="14">
        <v>12</v>
      </c>
      <c r="AA14">
        <f>Z14*AA2</f>
        <v>52.800000000000004</v>
      </c>
      <c r="AB14" s="14">
        <v>2</v>
      </c>
      <c r="AC14" s="14">
        <v>1</v>
      </c>
      <c r="AD14" s="14">
        <v>8</v>
      </c>
      <c r="AE14">
        <f>AD14*AE2</f>
        <v>4</v>
      </c>
      <c r="AF14">
        <f t="shared" si="0"/>
        <v>1150</v>
      </c>
      <c r="AG14">
        <f t="shared" si="1"/>
        <v>315.68888888888887</v>
      </c>
      <c r="AH14">
        <f t="shared" si="2"/>
        <v>99659.474567901227</v>
      </c>
    </row>
    <row r="15" spans="1:34" x14ac:dyDescent="0.2">
      <c r="A15" s="14" t="s">
        <v>331</v>
      </c>
      <c r="B15" s="14" t="s">
        <v>405</v>
      </c>
      <c r="C15" s="14">
        <v>10</v>
      </c>
      <c r="D15" s="14">
        <v>7</v>
      </c>
      <c r="E15" s="14">
        <v>2</v>
      </c>
      <c r="F15" s="14">
        <v>56</v>
      </c>
      <c r="G15">
        <f>F15*G2</f>
        <v>442.40000000000003</v>
      </c>
      <c r="H15" s="14">
        <v>5</v>
      </c>
      <c r="I15" s="14">
        <v>1</v>
      </c>
      <c r="J15" s="14">
        <v>20</v>
      </c>
      <c r="K15">
        <f>J15*K2</f>
        <v>158</v>
      </c>
      <c r="L15" s="14">
        <v>3</v>
      </c>
      <c r="M15" s="14">
        <v>1</v>
      </c>
      <c r="N15" s="14">
        <v>12</v>
      </c>
      <c r="O15">
        <f>N15*O2</f>
        <v>54</v>
      </c>
      <c r="P15" s="14">
        <v>2</v>
      </c>
      <c r="Q15" s="14">
        <v>1</v>
      </c>
      <c r="R15" s="14">
        <v>8</v>
      </c>
      <c r="S15">
        <f>R15*S2</f>
        <v>44</v>
      </c>
      <c r="T15" s="14">
        <v>3</v>
      </c>
      <c r="U15" s="14">
        <v>2</v>
      </c>
      <c r="V15" s="14">
        <v>24</v>
      </c>
      <c r="W15">
        <f>V15*W2</f>
        <v>331.20000000000005</v>
      </c>
      <c r="X15" s="14">
        <v>3</v>
      </c>
      <c r="Y15" s="14">
        <v>3</v>
      </c>
      <c r="Z15" s="14">
        <v>36</v>
      </c>
      <c r="AA15">
        <f>Z15*AA2</f>
        <v>158.4</v>
      </c>
      <c r="AB15" s="14">
        <v>3</v>
      </c>
      <c r="AC15" s="14">
        <v>1</v>
      </c>
      <c r="AD15" s="14">
        <v>12</v>
      </c>
      <c r="AE15">
        <f>AD15*AE2</f>
        <v>6</v>
      </c>
      <c r="AF15">
        <f t="shared" si="0"/>
        <v>1194</v>
      </c>
      <c r="AG15">
        <f t="shared" si="1"/>
        <v>359.68888888888887</v>
      </c>
      <c r="AH15">
        <f t="shared" si="2"/>
        <v>129376.09679012344</v>
      </c>
    </row>
    <row r="16" spans="1:34" x14ac:dyDescent="0.2">
      <c r="A16" s="14" t="s">
        <v>407</v>
      </c>
      <c r="B16" s="14" t="s">
        <v>408</v>
      </c>
      <c r="C16" s="14">
        <v>7</v>
      </c>
      <c r="D16" s="14">
        <v>7</v>
      </c>
      <c r="E16" s="14">
        <v>2</v>
      </c>
      <c r="F16" s="14">
        <v>56</v>
      </c>
      <c r="G16">
        <f>F16*G2</f>
        <v>442.40000000000003</v>
      </c>
      <c r="H16" s="14">
        <v>5</v>
      </c>
      <c r="I16" s="14">
        <v>1</v>
      </c>
      <c r="J16" s="14">
        <v>20</v>
      </c>
      <c r="K16">
        <f>J16*K2</f>
        <v>158</v>
      </c>
      <c r="L16" s="14">
        <v>3</v>
      </c>
      <c r="M16" s="14">
        <v>1</v>
      </c>
      <c r="N16" s="14">
        <v>12</v>
      </c>
      <c r="O16">
        <f>N16*O2</f>
        <v>54</v>
      </c>
      <c r="P16" s="14">
        <v>2</v>
      </c>
      <c r="Q16" s="14">
        <v>1</v>
      </c>
      <c r="R16" s="14">
        <v>8</v>
      </c>
      <c r="S16">
        <f>R16*S2</f>
        <v>44</v>
      </c>
      <c r="T16" s="14">
        <v>3</v>
      </c>
      <c r="U16" s="14">
        <v>2</v>
      </c>
      <c r="V16" s="14">
        <v>24</v>
      </c>
      <c r="W16">
        <f>V16*W2</f>
        <v>331.20000000000005</v>
      </c>
      <c r="X16" s="14">
        <v>3</v>
      </c>
      <c r="Y16" s="14">
        <v>3</v>
      </c>
      <c r="Z16" s="14">
        <v>36</v>
      </c>
      <c r="AA16">
        <f>Z16*AA2</f>
        <v>158.4</v>
      </c>
      <c r="AB16" s="14">
        <v>3</v>
      </c>
      <c r="AC16" s="14">
        <v>1</v>
      </c>
      <c r="AD16" s="14">
        <v>12</v>
      </c>
      <c r="AE16">
        <f>AD16*AE2</f>
        <v>6</v>
      </c>
      <c r="AF16">
        <f t="shared" si="0"/>
        <v>1194</v>
      </c>
      <c r="AG16">
        <f t="shared" si="1"/>
        <v>359.68888888888887</v>
      </c>
      <c r="AH16">
        <f t="shared" si="2"/>
        <v>129376.09679012344</v>
      </c>
    </row>
    <row r="17" spans="1:34" x14ac:dyDescent="0.2">
      <c r="A17" s="14" t="s">
        <v>409</v>
      </c>
      <c r="B17" s="14" t="s">
        <v>374</v>
      </c>
      <c r="C17" s="14">
        <v>10</v>
      </c>
      <c r="D17" s="14">
        <v>5</v>
      </c>
      <c r="E17" s="14">
        <v>1</v>
      </c>
      <c r="F17" s="14">
        <v>20</v>
      </c>
      <c r="G17">
        <f>F17*G2</f>
        <v>158</v>
      </c>
      <c r="H17" s="14">
        <v>3</v>
      </c>
      <c r="I17" s="14">
        <v>1</v>
      </c>
      <c r="J17" s="14">
        <v>12</v>
      </c>
      <c r="K17">
        <f>J17*K2</f>
        <v>94.800000000000011</v>
      </c>
      <c r="L17" s="14">
        <v>0</v>
      </c>
      <c r="M17" s="14">
        <v>0</v>
      </c>
      <c r="N17" s="14">
        <v>0</v>
      </c>
      <c r="O17">
        <f>N17*O2</f>
        <v>0</v>
      </c>
      <c r="P17" s="14">
        <v>2</v>
      </c>
      <c r="Q17" s="14">
        <v>1</v>
      </c>
      <c r="R17" s="14">
        <v>8</v>
      </c>
      <c r="S17">
        <f>R17*S2</f>
        <v>44</v>
      </c>
      <c r="T17" s="14">
        <v>2</v>
      </c>
      <c r="U17" s="14">
        <v>1</v>
      </c>
      <c r="V17" s="14">
        <v>8</v>
      </c>
      <c r="W17">
        <f>V17*W2</f>
        <v>110.4</v>
      </c>
      <c r="X17" s="14">
        <v>0</v>
      </c>
      <c r="Y17" s="14">
        <v>0</v>
      </c>
      <c r="Z17" s="14">
        <v>0</v>
      </c>
      <c r="AA17">
        <f>Z17*AA2</f>
        <v>0</v>
      </c>
      <c r="AB17" s="14">
        <v>1</v>
      </c>
      <c r="AC17" s="14">
        <v>1</v>
      </c>
      <c r="AD17" s="14">
        <v>4</v>
      </c>
      <c r="AE17">
        <f>AD17*AE2</f>
        <v>2</v>
      </c>
      <c r="AF17">
        <f t="shared" si="0"/>
        <v>409.20000000000005</v>
      </c>
      <c r="AG17">
        <f t="shared" si="1"/>
        <v>-425.11111111111109</v>
      </c>
      <c r="AH17">
        <f t="shared" si="2"/>
        <v>180719.45679012343</v>
      </c>
    </row>
    <row r="18" spans="1:34" x14ac:dyDescent="0.2">
      <c r="A18" s="14" t="s">
        <v>410</v>
      </c>
      <c r="B18" s="14" t="s">
        <v>411</v>
      </c>
      <c r="C18" s="14">
        <v>6</v>
      </c>
      <c r="D18" s="14">
        <v>2</v>
      </c>
      <c r="E18" s="14">
        <v>1</v>
      </c>
      <c r="F18" s="14">
        <v>8</v>
      </c>
      <c r="G18">
        <f>F18*G2</f>
        <v>63.2</v>
      </c>
      <c r="H18" s="14">
        <v>2</v>
      </c>
      <c r="I18" s="14">
        <v>1</v>
      </c>
      <c r="J18" s="14">
        <v>8</v>
      </c>
      <c r="K18">
        <f>J18*K2</f>
        <v>63.2</v>
      </c>
      <c r="L18" s="14">
        <v>0</v>
      </c>
      <c r="M18" s="14">
        <v>0</v>
      </c>
      <c r="N18" s="14">
        <v>0</v>
      </c>
      <c r="O18">
        <f>N18*O2</f>
        <v>0</v>
      </c>
      <c r="P18" s="14">
        <v>2</v>
      </c>
      <c r="Q18" s="14">
        <v>1</v>
      </c>
      <c r="R18" s="14">
        <v>8</v>
      </c>
      <c r="S18">
        <f>R18*S2</f>
        <v>44</v>
      </c>
      <c r="T18" s="14">
        <v>3</v>
      </c>
      <c r="U18" s="14">
        <v>1</v>
      </c>
      <c r="V18" s="14">
        <v>12</v>
      </c>
      <c r="W18">
        <f>V18*W2</f>
        <v>165.60000000000002</v>
      </c>
      <c r="X18" s="14">
        <v>0</v>
      </c>
      <c r="Y18" s="14">
        <v>0</v>
      </c>
      <c r="Z18" s="14">
        <v>0</v>
      </c>
      <c r="AA18">
        <f>Z18*AA2</f>
        <v>0</v>
      </c>
      <c r="AB18" s="14">
        <v>1</v>
      </c>
      <c r="AC18" s="14">
        <v>1</v>
      </c>
      <c r="AD18" s="14">
        <v>4</v>
      </c>
      <c r="AE18">
        <f>AD18*AE2</f>
        <v>2</v>
      </c>
      <c r="AF18">
        <f t="shared" si="0"/>
        <v>338</v>
      </c>
      <c r="AG18">
        <f t="shared" si="1"/>
        <v>-496.31111111111113</v>
      </c>
      <c r="AH18">
        <f t="shared" si="2"/>
        <v>246324.71901234571</v>
      </c>
    </row>
    <row r="19" spans="1:34" x14ac:dyDescent="0.2">
      <c r="A19" s="14" t="s">
        <v>339</v>
      </c>
      <c r="B19" s="14" t="s">
        <v>338</v>
      </c>
      <c r="C19" s="14">
        <v>8</v>
      </c>
      <c r="D19" s="14">
        <v>7</v>
      </c>
      <c r="E19" s="14">
        <v>2</v>
      </c>
      <c r="F19" s="14">
        <v>56</v>
      </c>
      <c r="G19">
        <f>F19*G2</f>
        <v>442.40000000000003</v>
      </c>
      <c r="H19" s="14">
        <v>1</v>
      </c>
      <c r="I19" s="14">
        <v>2</v>
      </c>
      <c r="J19" s="14">
        <v>8</v>
      </c>
      <c r="K19">
        <f>J19*K2</f>
        <v>63.2</v>
      </c>
      <c r="L19" s="14">
        <v>1</v>
      </c>
      <c r="M19" s="14">
        <v>1</v>
      </c>
      <c r="N19" s="14">
        <v>4</v>
      </c>
      <c r="O19">
        <f>N19*O2</f>
        <v>18</v>
      </c>
      <c r="P19" s="14">
        <v>3</v>
      </c>
      <c r="Q19" s="14">
        <v>4</v>
      </c>
      <c r="R19" s="14">
        <v>48</v>
      </c>
      <c r="S19">
        <f>R19*S2</f>
        <v>264</v>
      </c>
      <c r="T19" s="14">
        <v>2</v>
      </c>
      <c r="U19" s="14">
        <v>1</v>
      </c>
      <c r="V19" s="14">
        <v>8</v>
      </c>
      <c r="W19">
        <f>V19*W2</f>
        <v>110.4</v>
      </c>
      <c r="X19" s="14">
        <v>5</v>
      </c>
      <c r="Y19" s="14">
        <v>1</v>
      </c>
      <c r="Z19" s="14">
        <v>20</v>
      </c>
      <c r="AA19">
        <f>Z19*AA2</f>
        <v>88</v>
      </c>
      <c r="AB19" s="14">
        <v>2</v>
      </c>
      <c r="AC19" s="14">
        <v>1</v>
      </c>
      <c r="AD19" s="14">
        <v>8</v>
      </c>
      <c r="AE19">
        <f>AD19*AE2</f>
        <v>4</v>
      </c>
      <c r="AF19">
        <f t="shared" si="0"/>
        <v>990</v>
      </c>
      <c r="AG19">
        <f t="shared" si="1"/>
        <v>155.68888888888887</v>
      </c>
      <c r="AH19">
        <f>AG19^2</f>
        <v>24239.030123456785</v>
      </c>
    </row>
    <row r="20" spans="1:34" x14ac:dyDescent="0.2">
      <c r="A20" s="14" t="s">
        <v>342</v>
      </c>
      <c r="B20" s="14" t="s">
        <v>414</v>
      </c>
      <c r="C20" s="14">
        <v>7</v>
      </c>
      <c r="D20" s="14">
        <v>7</v>
      </c>
      <c r="E20" s="14">
        <v>2</v>
      </c>
      <c r="F20" s="14">
        <v>56</v>
      </c>
      <c r="G20">
        <f>F20*G2</f>
        <v>442.40000000000003</v>
      </c>
      <c r="H20" s="14">
        <v>5</v>
      </c>
      <c r="I20" s="14">
        <v>1</v>
      </c>
      <c r="J20" s="14">
        <v>20</v>
      </c>
      <c r="K20">
        <f>J20*K2</f>
        <v>158</v>
      </c>
      <c r="L20" s="14">
        <v>1</v>
      </c>
      <c r="M20" s="14">
        <v>1</v>
      </c>
      <c r="N20" s="14">
        <v>4</v>
      </c>
      <c r="O20">
        <f>N20*O2</f>
        <v>18</v>
      </c>
      <c r="P20" s="14">
        <v>2</v>
      </c>
      <c r="Q20" s="14">
        <v>1</v>
      </c>
      <c r="R20" s="14">
        <v>8</v>
      </c>
      <c r="S20">
        <f>R20*S2</f>
        <v>44</v>
      </c>
      <c r="T20" s="14">
        <v>3</v>
      </c>
      <c r="U20" s="14">
        <v>1</v>
      </c>
      <c r="V20" s="14">
        <v>12</v>
      </c>
      <c r="W20">
        <f>V20*W2</f>
        <v>165.60000000000002</v>
      </c>
      <c r="X20" s="14">
        <v>3</v>
      </c>
      <c r="Y20" s="14">
        <v>1</v>
      </c>
      <c r="Z20" s="14">
        <v>12</v>
      </c>
      <c r="AA20">
        <f>Z20*AA2</f>
        <v>52.800000000000004</v>
      </c>
      <c r="AB20" s="14">
        <v>1</v>
      </c>
      <c r="AC20" s="14">
        <v>1</v>
      </c>
      <c r="AD20" s="14">
        <v>4</v>
      </c>
      <c r="AE20">
        <f>AD20*AE2</f>
        <v>2</v>
      </c>
      <c r="AF20">
        <f t="shared" si="0"/>
        <v>882.80000000000007</v>
      </c>
      <c r="AG20">
        <f t="shared" si="1"/>
        <v>48.488888888888937</v>
      </c>
      <c r="AH20">
        <f t="shared" si="2"/>
        <v>2351.1723456790169</v>
      </c>
    </row>
    <row r="21" spans="1:34" x14ac:dyDescent="0.2">
      <c r="A21" s="14" t="s">
        <v>415</v>
      </c>
      <c r="B21" s="14" t="s">
        <v>416</v>
      </c>
      <c r="C21" s="14">
        <v>6</v>
      </c>
      <c r="D21" s="14">
        <v>5</v>
      </c>
      <c r="E21" s="14">
        <v>1</v>
      </c>
      <c r="F21" s="14">
        <v>20</v>
      </c>
      <c r="G21">
        <f>F21*G2</f>
        <v>158</v>
      </c>
      <c r="H21" s="14">
        <v>0</v>
      </c>
      <c r="I21" s="14">
        <v>0</v>
      </c>
      <c r="J21" s="14">
        <v>0</v>
      </c>
      <c r="K21">
        <f>J21*K2</f>
        <v>0</v>
      </c>
      <c r="L21" s="14">
        <v>0</v>
      </c>
      <c r="M21" s="14">
        <v>0</v>
      </c>
      <c r="N21" s="14">
        <v>0</v>
      </c>
      <c r="O21">
        <f>N21*O2</f>
        <v>0</v>
      </c>
      <c r="P21" s="14">
        <v>2</v>
      </c>
      <c r="Q21" s="14">
        <v>1</v>
      </c>
      <c r="R21" s="14">
        <v>8</v>
      </c>
      <c r="S21">
        <f>R21*S2</f>
        <v>44</v>
      </c>
      <c r="T21" s="14">
        <v>4</v>
      </c>
      <c r="U21" s="14">
        <v>1</v>
      </c>
      <c r="V21" s="14">
        <v>16</v>
      </c>
      <c r="W21">
        <f>V21*W2</f>
        <v>220.8</v>
      </c>
      <c r="X21" s="14">
        <v>5</v>
      </c>
      <c r="Y21" s="14">
        <v>1</v>
      </c>
      <c r="Z21" s="14">
        <v>20</v>
      </c>
      <c r="AA21">
        <f>Z21*AA2</f>
        <v>88</v>
      </c>
      <c r="AB21" s="14">
        <v>0</v>
      </c>
      <c r="AC21" s="14">
        <v>0</v>
      </c>
      <c r="AD21" s="14">
        <v>0</v>
      </c>
      <c r="AE21">
        <f>AD21*AE2</f>
        <v>0</v>
      </c>
      <c r="AF21">
        <f t="shared" si="0"/>
        <v>510.8</v>
      </c>
      <c r="AG21">
        <f t="shared" si="1"/>
        <v>-323.51111111111112</v>
      </c>
      <c r="AH21">
        <f t="shared" si="2"/>
        <v>104659.43901234568</v>
      </c>
    </row>
    <row r="22" spans="1:34" x14ac:dyDescent="0.2">
      <c r="A22" s="14" t="s">
        <v>354</v>
      </c>
      <c r="B22" s="14" t="s">
        <v>353</v>
      </c>
      <c r="C22" s="14">
        <v>9</v>
      </c>
      <c r="D22" s="14">
        <v>7</v>
      </c>
      <c r="E22" s="14">
        <v>2</v>
      </c>
      <c r="F22" s="14">
        <v>56</v>
      </c>
      <c r="G22">
        <f>F22*G2</f>
        <v>442.40000000000003</v>
      </c>
      <c r="H22" s="14">
        <v>2</v>
      </c>
      <c r="I22" s="14">
        <v>1</v>
      </c>
      <c r="J22" s="14">
        <v>8</v>
      </c>
      <c r="K22">
        <f>J22*K2</f>
        <v>63.2</v>
      </c>
      <c r="L22" s="14">
        <v>1</v>
      </c>
      <c r="M22" s="14">
        <v>1</v>
      </c>
      <c r="N22" s="14">
        <v>4</v>
      </c>
      <c r="O22">
        <f>N22*O2</f>
        <v>18</v>
      </c>
      <c r="P22" s="14">
        <v>3</v>
      </c>
      <c r="Q22" s="14">
        <v>1</v>
      </c>
      <c r="R22" s="14">
        <v>12</v>
      </c>
      <c r="S22">
        <f>R22*S2</f>
        <v>66</v>
      </c>
      <c r="T22" s="14">
        <v>2</v>
      </c>
      <c r="U22" s="14">
        <v>1</v>
      </c>
      <c r="V22" s="14">
        <v>8</v>
      </c>
      <c r="W22">
        <f>V22*W2</f>
        <v>110.4</v>
      </c>
      <c r="X22" s="14">
        <v>1</v>
      </c>
      <c r="Y22" s="14">
        <v>1</v>
      </c>
      <c r="Z22" s="14">
        <v>4</v>
      </c>
      <c r="AA22">
        <f>Z22*AA2</f>
        <v>17.600000000000001</v>
      </c>
      <c r="AB22" s="14">
        <v>1</v>
      </c>
      <c r="AC22" s="14">
        <v>1</v>
      </c>
      <c r="AD22" s="14">
        <v>4</v>
      </c>
      <c r="AE22">
        <f>AD22*AE2</f>
        <v>2</v>
      </c>
      <c r="AF22">
        <f t="shared" si="0"/>
        <v>719.6</v>
      </c>
      <c r="AG22">
        <f t="shared" si="1"/>
        <v>-114.71111111111111</v>
      </c>
      <c r="AH22">
        <f t="shared" si="2"/>
        <v>13158.639012345679</v>
      </c>
    </row>
    <row r="23" spans="1:34" x14ac:dyDescent="0.2">
      <c r="A23" s="14" t="s">
        <v>311</v>
      </c>
      <c r="B23" s="14" t="s">
        <v>310</v>
      </c>
      <c r="C23" s="14">
        <v>7</v>
      </c>
      <c r="D23" s="14">
        <v>5</v>
      </c>
      <c r="E23" s="14">
        <v>2</v>
      </c>
      <c r="F23" s="14">
        <v>40</v>
      </c>
      <c r="G23">
        <f>F23*G2</f>
        <v>316</v>
      </c>
      <c r="H23" s="14">
        <v>5</v>
      </c>
      <c r="I23" s="14">
        <v>2</v>
      </c>
      <c r="J23" s="14">
        <v>40</v>
      </c>
      <c r="K23">
        <f>J23*K2</f>
        <v>316</v>
      </c>
      <c r="L23" s="14">
        <v>0</v>
      </c>
      <c r="M23" s="14">
        <v>0</v>
      </c>
      <c r="N23" s="14">
        <v>0</v>
      </c>
      <c r="O23">
        <f>N23*O2</f>
        <v>0</v>
      </c>
      <c r="P23" s="14">
        <v>2</v>
      </c>
      <c r="Q23" s="14">
        <v>1</v>
      </c>
      <c r="R23" s="14">
        <v>8</v>
      </c>
      <c r="S23">
        <f>R23*S2</f>
        <v>44</v>
      </c>
      <c r="T23" s="14">
        <v>2</v>
      </c>
      <c r="U23" s="14">
        <v>1</v>
      </c>
      <c r="V23" s="14">
        <v>8</v>
      </c>
      <c r="W23">
        <f>V23*W2</f>
        <v>110.4</v>
      </c>
      <c r="X23" s="14">
        <v>2</v>
      </c>
      <c r="Y23" s="14">
        <v>1</v>
      </c>
      <c r="Z23" s="14">
        <v>8</v>
      </c>
      <c r="AA23">
        <f>Z23*AA2</f>
        <v>35.200000000000003</v>
      </c>
      <c r="AB23" s="14">
        <v>2</v>
      </c>
      <c r="AC23" s="14">
        <v>1</v>
      </c>
      <c r="AD23" s="14">
        <v>8</v>
      </c>
      <c r="AE23">
        <f>AD23*AE2</f>
        <v>4</v>
      </c>
      <c r="AF23">
        <f>AE23+AA23+W22+S22+O22+K22+G22</f>
        <v>739.2</v>
      </c>
      <c r="AG23">
        <f>AF23-$AF$42</f>
        <v>-95.111111111111086</v>
      </c>
      <c r="AH23">
        <f t="shared" si="2"/>
        <v>9046.1234567901192</v>
      </c>
    </row>
    <row r="24" spans="1:34" x14ac:dyDescent="0.2">
      <c r="A24" s="14" t="s">
        <v>313</v>
      </c>
      <c r="B24" s="14" t="s">
        <v>312</v>
      </c>
      <c r="C24" s="14">
        <v>7</v>
      </c>
      <c r="D24" s="14">
        <v>6</v>
      </c>
      <c r="E24" s="14">
        <v>2</v>
      </c>
      <c r="F24" s="14">
        <v>48</v>
      </c>
      <c r="G24">
        <f>F24*G2</f>
        <v>379.20000000000005</v>
      </c>
      <c r="H24" s="14">
        <v>3</v>
      </c>
      <c r="I24" s="14">
        <v>2</v>
      </c>
      <c r="J24" s="14">
        <v>24</v>
      </c>
      <c r="K24">
        <f>J24*K2</f>
        <v>189.60000000000002</v>
      </c>
      <c r="L24" s="14">
        <v>0</v>
      </c>
      <c r="M24" s="14">
        <v>0</v>
      </c>
      <c r="N24" s="14">
        <v>0</v>
      </c>
      <c r="O24">
        <f>N24*O2</f>
        <v>0</v>
      </c>
      <c r="P24" s="14">
        <v>3</v>
      </c>
      <c r="Q24" s="14">
        <v>1</v>
      </c>
      <c r="R24" s="14">
        <v>12</v>
      </c>
      <c r="S24">
        <f>R24*S2</f>
        <v>66</v>
      </c>
      <c r="T24" s="14">
        <v>3</v>
      </c>
      <c r="U24" s="14">
        <v>1</v>
      </c>
      <c r="V24" s="14">
        <v>12</v>
      </c>
      <c r="W24">
        <f>V24*W2</f>
        <v>165.60000000000002</v>
      </c>
      <c r="X24" s="14">
        <v>3</v>
      </c>
      <c r="Y24" s="14">
        <v>1</v>
      </c>
      <c r="Z24" s="14">
        <v>12</v>
      </c>
      <c r="AA24">
        <f>Z24*AA2</f>
        <v>52.800000000000004</v>
      </c>
      <c r="AB24" s="14">
        <v>2</v>
      </c>
      <c r="AC24" s="14">
        <v>1</v>
      </c>
      <c r="AD24" s="14">
        <v>8</v>
      </c>
      <c r="AE24">
        <f>AD24*AE2</f>
        <v>4</v>
      </c>
      <c r="AF24">
        <f>AE24+AA24+W23+S23+O23+K23+G23</f>
        <v>843.2</v>
      </c>
      <c r="AG24">
        <f t="shared" si="1"/>
        <v>8.8888888888889142</v>
      </c>
      <c r="AH24">
        <f t="shared" si="2"/>
        <v>79.012345679012796</v>
      </c>
    </row>
    <row r="25" spans="1:34" x14ac:dyDescent="0.2">
      <c r="A25" s="14" t="s">
        <v>317</v>
      </c>
      <c r="B25" s="14" t="s">
        <v>417</v>
      </c>
      <c r="C25" s="14">
        <v>8</v>
      </c>
      <c r="D25" s="14">
        <v>4</v>
      </c>
      <c r="E25" s="14">
        <v>1</v>
      </c>
      <c r="F25" s="14">
        <v>16</v>
      </c>
      <c r="G25">
        <f>F25*G2</f>
        <v>126.4</v>
      </c>
      <c r="H25" s="14">
        <v>5</v>
      </c>
      <c r="I25" s="14">
        <v>1</v>
      </c>
      <c r="J25" s="14">
        <v>20</v>
      </c>
      <c r="K25">
        <f>J25*K2</f>
        <v>158</v>
      </c>
      <c r="L25" s="14">
        <v>0</v>
      </c>
      <c r="M25" s="14">
        <v>0</v>
      </c>
      <c r="N25" s="14">
        <v>0</v>
      </c>
      <c r="O25">
        <f>N25*O2</f>
        <v>0</v>
      </c>
      <c r="P25" s="14">
        <v>1</v>
      </c>
      <c r="Q25" s="14">
        <v>1</v>
      </c>
      <c r="R25" s="14">
        <v>4</v>
      </c>
      <c r="S25">
        <f>R25*S2</f>
        <v>22</v>
      </c>
      <c r="T25" s="14">
        <v>4</v>
      </c>
      <c r="U25" s="14">
        <v>1</v>
      </c>
      <c r="V25" s="14">
        <v>16</v>
      </c>
      <c r="W25">
        <f>V25*W2</f>
        <v>220.8</v>
      </c>
      <c r="X25" s="14">
        <v>4</v>
      </c>
      <c r="Y25" s="14">
        <v>1</v>
      </c>
      <c r="Z25" s="14">
        <v>16</v>
      </c>
      <c r="AA25">
        <f>Z25*AA2</f>
        <v>70.400000000000006</v>
      </c>
      <c r="AB25" s="14">
        <v>1</v>
      </c>
      <c r="AC25" s="14">
        <v>1</v>
      </c>
      <c r="AD25" s="14">
        <v>4</v>
      </c>
      <c r="AE25">
        <f>AD25*AE2</f>
        <v>2</v>
      </c>
      <c r="AF25">
        <f>AE25+AA24+W24+S24+O24+K24+G24</f>
        <v>855.2</v>
      </c>
      <c r="AG25">
        <f t="shared" si="1"/>
        <v>20.888888888888914</v>
      </c>
      <c r="AH25">
        <f t="shared" si="2"/>
        <v>436.34567901234675</v>
      </c>
    </row>
    <row r="26" spans="1:34" x14ac:dyDescent="0.2">
      <c r="A26" t="s">
        <v>9</v>
      </c>
      <c r="B26" t="s">
        <v>268</v>
      </c>
      <c r="C26">
        <v>10</v>
      </c>
      <c r="D26">
        <v>7</v>
      </c>
      <c r="E26">
        <v>1</v>
      </c>
      <c r="F26">
        <v>28</v>
      </c>
      <c r="G26">
        <f>F26*G2</f>
        <v>221.20000000000002</v>
      </c>
      <c r="H26">
        <v>2</v>
      </c>
      <c r="I26">
        <v>1</v>
      </c>
      <c r="J26">
        <v>8</v>
      </c>
      <c r="K26">
        <f>J26*K2</f>
        <v>63.2</v>
      </c>
      <c r="L26">
        <v>1</v>
      </c>
      <c r="M26">
        <v>1</v>
      </c>
      <c r="N26">
        <v>4</v>
      </c>
      <c r="O26">
        <f>N26*O2</f>
        <v>18</v>
      </c>
      <c r="P26">
        <v>1</v>
      </c>
      <c r="Q26">
        <v>1</v>
      </c>
      <c r="R26">
        <v>4</v>
      </c>
      <c r="S26">
        <f>R26*S2</f>
        <v>22</v>
      </c>
      <c r="T26">
        <v>1</v>
      </c>
      <c r="U26">
        <v>1</v>
      </c>
      <c r="V26">
        <v>4</v>
      </c>
      <c r="W26">
        <f>V26*W2</f>
        <v>55.2</v>
      </c>
      <c r="X26">
        <v>4</v>
      </c>
      <c r="Y26">
        <v>1</v>
      </c>
      <c r="Z26">
        <v>16</v>
      </c>
      <c r="AA26">
        <f>Z26*AA2</f>
        <v>70.400000000000006</v>
      </c>
      <c r="AB26">
        <v>1</v>
      </c>
      <c r="AC26">
        <v>1</v>
      </c>
      <c r="AD26">
        <v>4</v>
      </c>
      <c r="AE26">
        <f>AD26*AE2</f>
        <v>2</v>
      </c>
      <c r="AF26">
        <f t="shared" ref="AF26:AF38" si="3">AE26+AA26+W26+S26+O26+K26+G26</f>
        <v>452</v>
      </c>
      <c r="AG26">
        <f t="shared" si="1"/>
        <v>-382.31111111111113</v>
      </c>
      <c r="AH26">
        <f t="shared" si="2"/>
        <v>146161.78567901236</v>
      </c>
    </row>
    <row r="27" spans="1:34" x14ac:dyDescent="0.2">
      <c r="A27" t="s">
        <v>14</v>
      </c>
      <c r="B27" t="s">
        <v>13</v>
      </c>
      <c r="C27">
        <v>8</v>
      </c>
      <c r="D27">
        <v>5</v>
      </c>
      <c r="E27">
        <v>1</v>
      </c>
      <c r="F27">
        <v>20</v>
      </c>
      <c r="G27">
        <f>F27*G2</f>
        <v>158</v>
      </c>
      <c r="H27">
        <v>2</v>
      </c>
      <c r="I27">
        <v>1</v>
      </c>
      <c r="J27">
        <v>8</v>
      </c>
      <c r="K27">
        <f>J27*K2</f>
        <v>63.2</v>
      </c>
      <c r="L27" s="5"/>
      <c r="M27" s="5"/>
      <c r="N27" s="5"/>
      <c r="P27" s="5"/>
      <c r="Q27" s="5"/>
      <c r="R27" s="5"/>
      <c r="T27">
        <v>4</v>
      </c>
      <c r="U27">
        <v>1</v>
      </c>
      <c r="V27">
        <v>16</v>
      </c>
      <c r="W27">
        <f>V27*W2</f>
        <v>220.8</v>
      </c>
      <c r="X27">
        <v>2</v>
      </c>
      <c r="Y27">
        <v>1</v>
      </c>
      <c r="Z27">
        <v>8</v>
      </c>
      <c r="AA27">
        <f>Z27*AA2</f>
        <v>35.200000000000003</v>
      </c>
      <c r="AB27">
        <v>1</v>
      </c>
      <c r="AC27">
        <v>1</v>
      </c>
      <c r="AD27">
        <v>4</v>
      </c>
      <c r="AE27">
        <f>AD27*AE2</f>
        <v>2</v>
      </c>
      <c r="AF27">
        <f t="shared" si="3"/>
        <v>479.2</v>
      </c>
      <c r="AG27">
        <f t="shared" si="1"/>
        <v>-355.11111111111114</v>
      </c>
      <c r="AH27">
        <f t="shared" si="2"/>
        <v>126103.90123456792</v>
      </c>
    </row>
    <row r="28" spans="1:34" x14ac:dyDescent="0.2">
      <c r="A28" t="s">
        <v>272</v>
      </c>
      <c r="B28" t="s">
        <v>419</v>
      </c>
      <c r="C28">
        <v>7</v>
      </c>
      <c r="D28">
        <v>0</v>
      </c>
      <c r="E28">
        <v>0</v>
      </c>
      <c r="F28">
        <v>0</v>
      </c>
      <c r="G28">
        <f>F28*G2</f>
        <v>0</v>
      </c>
      <c r="H28">
        <v>2</v>
      </c>
      <c r="I28">
        <v>1</v>
      </c>
      <c r="J28">
        <v>8</v>
      </c>
      <c r="K28">
        <f>J28*K2</f>
        <v>63.2</v>
      </c>
      <c r="L28">
        <v>2</v>
      </c>
      <c r="M28">
        <v>1</v>
      </c>
      <c r="N28">
        <v>8</v>
      </c>
      <c r="O28">
        <f>N28*O2</f>
        <v>36</v>
      </c>
      <c r="P28">
        <v>1</v>
      </c>
      <c r="Q28">
        <v>1</v>
      </c>
      <c r="R28">
        <v>4</v>
      </c>
      <c r="S28">
        <f>R28*S2</f>
        <v>22</v>
      </c>
      <c r="T28">
        <v>2</v>
      </c>
      <c r="U28">
        <v>1</v>
      </c>
      <c r="V28">
        <v>8</v>
      </c>
      <c r="W28">
        <f>V28*W2</f>
        <v>110.4</v>
      </c>
      <c r="X28">
        <v>2</v>
      </c>
      <c r="Y28">
        <v>1</v>
      </c>
      <c r="Z28">
        <v>8</v>
      </c>
      <c r="AA28">
        <f>Z28*AA2</f>
        <v>35.200000000000003</v>
      </c>
      <c r="AB28">
        <v>1</v>
      </c>
      <c r="AC28">
        <v>1</v>
      </c>
      <c r="AD28">
        <v>4</v>
      </c>
      <c r="AE28">
        <f>AD28*AE2</f>
        <v>2</v>
      </c>
      <c r="AF28">
        <f t="shared" si="3"/>
        <v>268.8</v>
      </c>
      <c r="AG28">
        <f t="shared" si="1"/>
        <v>-565.51111111111118</v>
      </c>
      <c r="AH28">
        <f t="shared" si="2"/>
        <v>319802.81679012353</v>
      </c>
    </row>
    <row r="29" spans="1:34" x14ac:dyDescent="0.2">
      <c r="A29" t="s">
        <v>369</v>
      </c>
      <c r="B29" t="s">
        <v>368</v>
      </c>
      <c r="C29">
        <v>10</v>
      </c>
      <c r="D29">
        <v>7</v>
      </c>
      <c r="E29">
        <v>2</v>
      </c>
      <c r="F29">
        <v>56</v>
      </c>
      <c r="G29">
        <f>F29*G2</f>
        <v>442.40000000000003</v>
      </c>
      <c r="H29">
        <v>4</v>
      </c>
      <c r="I29">
        <v>1</v>
      </c>
      <c r="J29">
        <v>16</v>
      </c>
      <c r="K29">
        <f>J29*K2</f>
        <v>126.4</v>
      </c>
      <c r="L29">
        <v>1</v>
      </c>
      <c r="M29">
        <v>1</v>
      </c>
      <c r="N29">
        <v>4</v>
      </c>
      <c r="O29">
        <f>N29*O2</f>
        <v>18</v>
      </c>
      <c r="P29">
        <v>2</v>
      </c>
      <c r="Q29">
        <v>1</v>
      </c>
      <c r="R29">
        <v>8</v>
      </c>
      <c r="S29">
        <f>R29*S2</f>
        <v>44</v>
      </c>
      <c r="T29">
        <v>2</v>
      </c>
      <c r="U29">
        <v>1</v>
      </c>
      <c r="V29">
        <v>8</v>
      </c>
      <c r="W29">
        <f>V29*W2</f>
        <v>110.4</v>
      </c>
      <c r="X29">
        <v>7</v>
      </c>
      <c r="Y29">
        <v>2</v>
      </c>
      <c r="Z29">
        <v>56</v>
      </c>
      <c r="AA29">
        <f>Z29*AA2</f>
        <v>246.40000000000003</v>
      </c>
      <c r="AB29">
        <v>1</v>
      </c>
      <c r="AC29">
        <v>1</v>
      </c>
      <c r="AD29">
        <v>4</v>
      </c>
      <c r="AE29">
        <f>AD29*AE2</f>
        <v>2</v>
      </c>
      <c r="AF29">
        <f t="shared" si="3"/>
        <v>989.60000000000014</v>
      </c>
      <c r="AG29">
        <f t="shared" si="1"/>
        <v>155.28888888888901</v>
      </c>
      <c r="AH29">
        <f t="shared" si="2"/>
        <v>24114.639012345717</v>
      </c>
    </row>
    <row r="30" spans="1:34" x14ac:dyDescent="0.2">
      <c r="A30" t="s">
        <v>370</v>
      </c>
      <c r="B30" t="s">
        <v>367</v>
      </c>
      <c r="C30">
        <v>7</v>
      </c>
      <c r="D30">
        <v>7</v>
      </c>
      <c r="E30">
        <v>2</v>
      </c>
      <c r="F30">
        <v>56</v>
      </c>
      <c r="G30">
        <f>F30*G2</f>
        <v>442.40000000000003</v>
      </c>
      <c r="H30">
        <v>4</v>
      </c>
      <c r="I30">
        <v>1</v>
      </c>
      <c r="J30">
        <v>16</v>
      </c>
      <c r="K30">
        <f>J30*K2</f>
        <v>126.4</v>
      </c>
      <c r="L30">
        <v>4</v>
      </c>
      <c r="M30">
        <v>1</v>
      </c>
      <c r="N30">
        <v>16</v>
      </c>
      <c r="O30">
        <f>N30*O2</f>
        <v>72</v>
      </c>
      <c r="P30">
        <v>1</v>
      </c>
      <c r="Q30">
        <v>1</v>
      </c>
      <c r="R30">
        <v>4</v>
      </c>
      <c r="S30">
        <f>R30*S2</f>
        <v>22</v>
      </c>
      <c r="T30">
        <v>2</v>
      </c>
      <c r="U30">
        <v>1</v>
      </c>
      <c r="V30">
        <v>8</v>
      </c>
      <c r="W30">
        <f>V30*W2</f>
        <v>110.4</v>
      </c>
      <c r="X30">
        <v>7</v>
      </c>
      <c r="Y30">
        <v>1</v>
      </c>
      <c r="Z30">
        <v>28</v>
      </c>
      <c r="AA30">
        <f>Z30*AA2</f>
        <v>123.20000000000002</v>
      </c>
      <c r="AB30">
        <v>1</v>
      </c>
      <c r="AC30">
        <v>1</v>
      </c>
      <c r="AD30">
        <v>4</v>
      </c>
      <c r="AE30">
        <f>AD30*AE2</f>
        <v>2</v>
      </c>
      <c r="AF30">
        <f t="shared" si="3"/>
        <v>898.40000000000009</v>
      </c>
      <c r="AG30">
        <f t="shared" si="1"/>
        <v>64.08888888888896</v>
      </c>
      <c r="AH30">
        <f t="shared" si="2"/>
        <v>4107.3856790123546</v>
      </c>
    </row>
    <row r="31" spans="1:34" x14ac:dyDescent="0.2">
      <c r="A31" t="s">
        <v>327</v>
      </c>
      <c r="B31" t="s">
        <v>420</v>
      </c>
      <c r="C31">
        <v>8</v>
      </c>
      <c r="D31">
        <v>6</v>
      </c>
      <c r="E31">
        <v>1</v>
      </c>
      <c r="F31">
        <v>24</v>
      </c>
      <c r="G31">
        <f>F31*G2</f>
        <v>189.60000000000002</v>
      </c>
      <c r="H31">
        <v>0</v>
      </c>
      <c r="I31">
        <v>0</v>
      </c>
      <c r="J31">
        <v>0</v>
      </c>
      <c r="K31">
        <f>J31*K2</f>
        <v>0</v>
      </c>
      <c r="L31">
        <v>1</v>
      </c>
      <c r="M31">
        <v>1</v>
      </c>
      <c r="N31">
        <v>4</v>
      </c>
      <c r="O31">
        <f>N31*O2</f>
        <v>18</v>
      </c>
      <c r="P31">
        <v>3</v>
      </c>
      <c r="Q31">
        <v>1</v>
      </c>
      <c r="R31">
        <v>12</v>
      </c>
      <c r="S31">
        <f>R31*S2</f>
        <v>66</v>
      </c>
      <c r="T31">
        <v>3</v>
      </c>
      <c r="U31">
        <v>1</v>
      </c>
      <c r="V31">
        <v>12</v>
      </c>
      <c r="W31">
        <f>V31*W2</f>
        <v>165.60000000000002</v>
      </c>
      <c r="X31">
        <v>7</v>
      </c>
      <c r="Y31">
        <v>1</v>
      </c>
      <c r="Z31">
        <v>28</v>
      </c>
      <c r="AA31">
        <f>Z31*AA2</f>
        <v>123.20000000000002</v>
      </c>
      <c r="AB31">
        <v>1</v>
      </c>
      <c r="AC31">
        <v>1</v>
      </c>
      <c r="AD31">
        <v>4</v>
      </c>
      <c r="AE31">
        <f>AD31*AE2</f>
        <v>2</v>
      </c>
      <c r="AF31">
        <f t="shared" si="3"/>
        <v>564.40000000000009</v>
      </c>
      <c r="AG31">
        <f t="shared" si="1"/>
        <v>-269.91111111111104</v>
      </c>
      <c r="AH31">
        <f>AG31^2</f>
        <v>72852.007901234523</v>
      </c>
    </row>
    <row r="32" spans="1:34" x14ac:dyDescent="0.2">
      <c r="A32" t="s">
        <v>275</v>
      </c>
      <c r="B32" t="s">
        <v>421</v>
      </c>
      <c r="C32">
        <v>8</v>
      </c>
      <c r="D32">
        <v>7</v>
      </c>
      <c r="E32">
        <v>2</v>
      </c>
      <c r="F32">
        <v>56</v>
      </c>
      <c r="G32">
        <f>F32*G2</f>
        <v>442.40000000000003</v>
      </c>
      <c r="H32">
        <v>1</v>
      </c>
      <c r="I32">
        <v>1</v>
      </c>
      <c r="J32">
        <v>4</v>
      </c>
      <c r="K32">
        <f>J32*K2</f>
        <v>31.6</v>
      </c>
      <c r="L32">
        <v>1</v>
      </c>
      <c r="M32">
        <v>1</v>
      </c>
      <c r="N32">
        <v>4</v>
      </c>
      <c r="O32">
        <f>N32*O2</f>
        <v>18</v>
      </c>
      <c r="P32">
        <v>1</v>
      </c>
      <c r="Q32">
        <v>1</v>
      </c>
      <c r="R32">
        <v>4</v>
      </c>
      <c r="S32">
        <f>R32*S2</f>
        <v>22</v>
      </c>
      <c r="T32">
        <v>2</v>
      </c>
      <c r="U32">
        <v>1</v>
      </c>
      <c r="V32">
        <v>8</v>
      </c>
      <c r="W32">
        <f>V32*W2</f>
        <v>110.4</v>
      </c>
      <c r="X32">
        <v>3</v>
      </c>
      <c r="Y32">
        <v>1</v>
      </c>
      <c r="Z32">
        <v>12</v>
      </c>
      <c r="AA32">
        <f>Z32*AA2</f>
        <v>52.800000000000004</v>
      </c>
      <c r="AB32">
        <v>0</v>
      </c>
      <c r="AC32">
        <v>0</v>
      </c>
      <c r="AD32">
        <v>0</v>
      </c>
      <c r="AE32">
        <f>AD32*AE2</f>
        <v>0</v>
      </c>
      <c r="AF32">
        <f t="shared" si="3"/>
        <v>677.2</v>
      </c>
      <c r="AG32">
        <f t="shared" si="1"/>
        <v>-157.11111111111109</v>
      </c>
      <c r="AH32">
        <f t="shared" si="2"/>
        <v>24683.901234567893</v>
      </c>
    </row>
    <row r="33" spans="1:34" x14ac:dyDescent="0.2">
      <c r="A33" t="s">
        <v>280</v>
      </c>
      <c r="B33" t="s">
        <v>422</v>
      </c>
      <c r="C33">
        <v>8</v>
      </c>
      <c r="D33">
        <v>6</v>
      </c>
      <c r="E33">
        <v>2</v>
      </c>
      <c r="F33">
        <v>48</v>
      </c>
      <c r="G33">
        <f>F33*G2</f>
        <v>379.20000000000005</v>
      </c>
      <c r="H33">
        <v>0</v>
      </c>
      <c r="I33">
        <v>0</v>
      </c>
      <c r="J33">
        <v>0</v>
      </c>
      <c r="K33">
        <f>J33*K2</f>
        <v>0</v>
      </c>
      <c r="L33">
        <v>1</v>
      </c>
      <c r="M33">
        <v>1</v>
      </c>
      <c r="N33">
        <v>4</v>
      </c>
      <c r="O33">
        <f>N33*O2</f>
        <v>18</v>
      </c>
      <c r="P33">
        <v>3</v>
      </c>
      <c r="Q33">
        <v>2</v>
      </c>
      <c r="R33">
        <v>24</v>
      </c>
      <c r="S33">
        <f>R33*S2</f>
        <v>132</v>
      </c>
      <c r="T33">
        <v>4</v>
      </c>
      <c r="U33">
        <v>3</v>
      </c>
      <c r="V33">
        <v>48</v>
      </c>
      <c r="W33">
        <f>V33*W2</f>
        <v>662.40000000000009</v>
      </c>
      <c r="X33">
        <v>4</v>
      </c>
      <c r="Y33">
        <v>1</v>
      </c>
      <c r="Z33">
        <v>16</v>
      </c>
      <c r="AA33">
        <f>Z33*AA2</f>
        <v>70.400000000000006</v>
      </c>
      <c r="AB33">
        <v>1</v>
      </c>
      <c r="AC33">
        <v>1</v>
      </c>
      <c r="AD33">
        <v>4</v>
      </c>
      <c r="AE33">
        <f>AD33*AE2</f>
        <v>2</v>
      </c>
      <c r="AF33">
        <f t="shared" si="3"/>
        <v>1264</v>
      </c>
      <c r="AG33">
        <f t="shared" si="1"/>
        <v>429.68888888888887</v>
      </c>
      <c r="AH33">
        <f t="shared" si="2"/>
        <v>184632.54123456788</v>
      </c>
    </row>
    <row r="34" spans="1:34" x14ac:dyDescent="0.2">
      <c r="A34" t="s">
        <v>285</v>
      </c>
      <c r="B34" t="s">
        <v>423</v>
      </c>
      <c r="C34">
        <v>10</v>
      </c>
      <c r="D34">
        <v>5</v>
      </c>
      <c r="E34">
        <v>2</v>
      </c>
      <c r="F34">
        <v>40</v>
      </c>
      <c r="G34">
        <f>F34*G2</f>
        <v>316</v>
      </c>
      <c r="H34">
        <v>2</v>
      </c>
      <c r="I34">
        <v>1</v>
      </c>
      <c r="J34">
        <v>8</v>
      </c>
      <c r="K34">
        <f>J34*K2</f>
        <v>63.2</v>
      </c>
      <c r="L34">
        <v>1</v>
      </c>
      <c r="M34">
        <v>1</v>
      </c>
      <c r="N34">
        <v>4</v>
      </c>
      <c r="O34">
        <f>N34*O2</f>
        <v>18</v>
      </c>
      <c r="P34">
        <v>2</v>
      </c>
      <c r="Q34">
        <v>1</v>
      </c>
      <c r="R34">
        <v>8</v>
      </c>
      <c r="S34">
        <f>R34*S2</f>
        <v>44</v>
      </c>
      <c r="T34">
        <v>3</v>
      </c>
      <c r="U34">
        <v>2</v>
      </c>
      <c r="V34">
        <v>24</v>
      </c>
      <c r="W34">
        <f>V34*W2</f>
        <v>331.20000000000005</v>
      </c>
      <c r="X34">
        <v>2</v>
      </c>
      <c r="Y34">
        <v>1</v>
      </c>
      <c r="Z34">
        <v>8</v>
      </c>
      <c r="AA34">
        <f>Z34*AA2</f>
        <v>35.200000000000003</v>
      </c>
      <c r="AB34">
        <v>1</v>
      </c>
      <c r="AC34">
        <v>1</v>
      </c>
      <c r="AD34">
        <v>4</v>
      </c>
      <c r="AE34">
        <f>AD34*AE2</f>
        <v>2</v>
      </c>
      <c r="AF34">
        <f t="shared" si="3"/>
        <v>809.6</v>
      </c>
      <c r="AG34">
        <f t="shared" si="1"/>
        <v>-24.711111111111109</v>
      </c>
      <c r="AH34">
        <f t="shared" si="2"/>
        <v>610.63901234567891</v>
      </c>
    </row>
    <row r="35" spans="1:34" x14ac:dyDescent="0.2">
      <c r="A35" t="s">
        <v>424</v>
      </c>
      <c r="B35" t="s">
        <v>425</v>
      </c>
      <c r="C35">
        <v>6</v>
      </c>
      <c r="D35">
        <v>5</v>
      </c>
      <c r="E35">
        <v>2</v>
      </c>
      <c r="F35">
        <v>40</v>
      </c>
      <c r="G35">
        <f>F35*G2</f>
        <v>316</v>
      </c>
      <c r="H35">
        <v>2</v>
      </c>
      <c r="I35">
        <v>1</v>
      </c>
      <c r="J35">
        <v>8</v>
      </c>
      <c r="K35">
        <f>J35*K2</f>
        <v>63.2</v>
      </c>
      <c r="L35">
        <v>1</v>
      </c>
      <c r="M35">
        <v>1</v>
      </c>
      <c r="N35">
        <v>4</v>
      </c>
      <c r="O35">
        <f>N35*O2</f>
        <v>18</v>
      </c>
      <c r="P35">
        <v>2</v>
      </c>
      <c r="Q35">
        <v>1</v>
      </c>
      <c r="R35">
        <v>8</v>
      </c>
      <c r="S35">
        <f>R35*S2</f>
        <v>44</v>
      </c>
      <c r="T35">
        <v>3</v>
      </c>
      <c r="U35">
        <v>2</v>
      </c>
      <c r="V35">
        <v>24</v>
      </c>
      <c r="W35">
        <f>V35*W2</f>
        <v>331.20000000000005</v>
      </c>
      <c r="X35">
        <v>2</v>
      </c>
      <c r="Y35">
        <v>1</v>
      </c>
      <c r="Z35">
        <v>8</v>
      </c>
      <c r="AA35">
        <f>Z35*AA2</f>
        <v>35.200000000000003</v>
      </c>
      <c r="AB35">
        <v>1</v>
      </c>
      <c r="AC35">
        <v>1</v>
      </c>
      <c r="AD35">
        <v>4</v>
      </c>
      <c r="AE35">
        <f>AD35*AE2</f>
        <v>2</v>
      </c>
      <c r="AF35">
        <f t="shared" si="3"/>
        <v>809.6</v>
      </c>
      <c r="AG35">
        <f t="shared" si="1"/>
        <v>-24.711111111111109</v>
      </c>
      <c r="AH35">
        <f t="shared" si="2"/>
        <v>610.63901234567891</v>
      </c>
    </row>
    <row r="36" spans="1:34" x14ac:dyDescent="0.2">
      <c r="A36" t="s">
        <v>291</v>
      </c>
      <c r="B36" t="s">
        <v>290</v>
      </c>
      <c r="C36">
        <v>9</v>
      </c>
      <c r="D36">
        <v>1</v>
      </c>
      <c r="E36">
        <v>1</v>
      </c>
      <c r="F36">
        <v>4</v>
      </c>
      <c r="G36">
        <f>F36*G2</f>
        <v>31.6</v>
      </c>
      <c r="H36">
        <v>0</v>
      </c>
      <c r="I36">
        <v>0</v>
      </c>
      <c r="J36">
        <v>0</v>
      </c>
      <c r="K36">
        <f>J36*K2</f>
        <v>0</v>
      </c>
      <c r="L36">
        <v>1</v>
      </c>
      <c r="M36">
        <v>1</v>
      </c>
      <c r="N36">
        <v>4</v>
      </c>
      <c r="O36">
        <f>N36*O2</f>
        <v>18</v>
      </c>
      <c r="P36">
        <v>3</v>
      </c>
      <c r="Q36">
        <v>1</v>
      </c>
      <c r="R36">
        <v>12</v>
      </c>
      <c r="S36">
        <f>R36*S2</f>
        <v>66</v>
      </c>
      <c r="T36">
        <v>4</v>
      </c>
      <c r="U36">
        <v>1</v>
      </c>
      <c r="V36">
        <v>16</v>
      </c>
      <c r="W36">
        <f>V36*W2</f>
        <v>220.8</v>
      </c>
      <c r="X36">
        <v>5</v>
      </c>
      <c r="Y36">
        <v>1</v>
      </c>
      <c r="Z36">
        <v>20</v>
      </c>
      <c r="AA36">
        <f>Z36*AA2</f>
        <v>88</v>
      </c>
      <c r="AB36">
        <v>1</v>
      </c>
      <c r="AC36">
        <v>1</v>
      </c>
      <c r="AD36">
        <v>4</v>
      </c>
      <c r="AE36">
        <f>AD36*AE2</f>
        <v>2</v>
      </c>
      <c r="AF36">
        <f t="shared" si="3"/>
        <v>426.40000000000003</v>
      </c>
      <c r="AG36">
        <f t="shared" si="1"/>
        <v>-407.9111111111111</v>
      </c>
      <c r="AH36">
        <f t="shared" si="2"/>
        <v>166391.47456790123</v>
      </c>
    </row>
    <row r="37" spans="1:34" x14ac:dyDescent="0.2">
      <c r="A37" t="s">
        <v>295</v>
      </c>
      <c r="B37" t="s">
        <v>426</v>
      </c>
      <c r="C37">
        <v>6</v>
      </c>
      <c r="D37">
        <v>7</v>
      </c>
      <c r="E37">
        <v>7</v>
      </c>
      <c r="F37">
        <v>196</v>
      </c>
      <c r="G37">
        <f>F37*G2</f>
        <v>1548.4</v>
      </c>
      <c r="H37">
        <v>3</v>
      </c>
      <c r="I37">
        <v>1</v>
      </c>
      <c r="J37">
        <v>12</v>
      </c>
      <c r="K37">
        <f>J37*K2</f>
        <v>94.800000000000011</v>
      </c>
      <c r="L37">
        <v>0</v>
      </c>
      <c r="M37">
        <v>0</v>
      </c>
      <c r="N37">
        <v>0</v>
      </c>
      <c r="O37">
        <f>N37*O2</f>
        <v>0</v>
      </c>
      <c r="P37">
        <v>1</v>
      </c>
      <c r="Q37">
        <v>2</v>
      </c>
      <c r="R37">
        <v>8</v>
      </c>
      <c r="S37">
        <f>R37*S2</f>
        <v>44</v>
      </c>
      <c r="T37">
        <v>5</v>
      </c>
      <c r="U37">
        <v>5</v>
      </c>
      <c r="V37">
        <v>100</v>
      </c>
      <c r="W37">
        <f>V37*W2</f>
        <v>1380</v>
      </c>
      <c r="X37">
        <v>1</v>
      </c>
      <c r="Y37">
        <v>2</v>
      </c>
      <c r="Z37">
        <v>8</v>
      </c>
      <c r="AA37">
        <f>Z37*AA2</f>
        <v>35.200000000000003</v>
      </c>
      <c r="AB37">
        <v>1</v>
      </c>
      <c r="AC37">
        <v>1</v>
      </c>
      <c r="AD37">
        <v>4</v>
      </c>
      <c r="AE37">
        <f>AD37*AE2</f>
        <v>2</v>
      </c>
      <c r="AF37">
        <f t="shared" si="3"/>
        <v>3104.4</v>
      </c>
      <c r="AG37">
        <f>AF37-$AF$42</f>
        <v>2270.088888888889</v>
      </c>
      <c r="AH37">
        <f t="shared" si="2"/>
        <v>5153303.5634567905</v>
      </c>
    </row>
    <row r="38" spans="1:34" x14ac:dyDescent="0.2">
      <c r="A38" t="s">
        <v>359</v>
      </c>
      <c r="B38" t="s">
        <v>427</v>
      </c>
      <c r="C38">
        <v>7</v>
      </c>
      <c r="D38">
        <v>5</v>
      </c>
      <c r="E38">
        <v>1</v>
      </c>
      <c r="F38">
        <v>20</v>
      </c>
      <c r="G38">
        <f>F38*G2</f>
        <v>158</v>
      </c>
      <c r="H38">
        <v>5</v>
      </c>
      <c r="I38">
        <v>1</v>
      </c>
      <c r="J38">
        <v>20</v>
      </c>
      <c r="K38">
        <f>J38*K2</f>
        <v>158</v>
      </c>
      <c r="L38">
        <v>1</v>
      </c>
      <c r="M38">
        <v>1</v>
      </c>
      <c r="N38">
        <v>4</v>
      </c>
      <c r="O38">
        <f>N38*O2</f>
        <v>18</v>
      </c>
      <c r="P38">
        <v>3</v>
      </c>
      <c r="Q38">
        <v>1</v>
      </c>
      <c r="R38">
        <v>12</v>
      </c>
      <c r="S38">
        <f>R38*S2</f>
        <v>66</v>
      </c>
      <c r="T38">
        <v>3</v>
      </c>
      <c r="U38">
        <v>1</v>
      </c>
      <c r="V38">
        <v>12</v>
      </c>
      <c r="W38">
        <f>V38*W2</f>
        <v>165.60000000000002</v>
      </c>
      <c r="X38">
        <v>4</v>
      </c>
      <c r="Y38">
        <v>1</v>
      </c>
      <c r="Z38">
        <v>16</v>
      </c>
      <c r="AA38">
        <f>Z38*AA2</f>
        <v>70.400000000000006</v>
      </c>
      <c r="AB38">
        <v>1</v>
      </c>
      <c r="AC38">
        <v>1</v>
      </c>
      <c r="AD38">
        <v>4</v>
      </c>
      <c r="AE38">
        <f>AD38*AE21</f>
        <v>0</v>
      </c>
      <c r="AF38">
        <f t="shared" si="3"/>
        <v>636</v>
      </c>
      <c r="AG38">
        <f t="shared" si="1"/>
        <v>-198.31111111111113</v>
      </c>
      <c r="AH38">
        <f t="shared" si="2"/>
        <v>39327.296790123466</v>
      </c>
    </row>
    <row r="39" spans="1:34" x14ac:dyDescent="0.2">
      <c r="A39" t="s">
        <v>430</v>
      </c>
      <c r="B39" t="s">
        <v>431</v>
      </c>
      <c r="C39">
        <v>8</v>
      </c>
      <c r="D39">
        <v>6</v>
      </c>
      <c r="E39">
        <v>1</v>
      </c>
      <c r="F39">
        <v>24</v>
      </c>
      <c r="G39">
        <f>F39*G2</f>
        <v>189.60000000000002</v>
      </c>
      <c r="H39">
        <v>0</v>
      </c>
      <c r="I39">
        <v>0</v>
      </c>
      <c r="J39">
        <v>0</v>
      </c>
      <c r="K39">
        <f>J39*K2</f>
        <v>0</v>
      </c>
      <c r="L39">
        <v>1</v>
      </c>
      <c r="M39">
        <v>1</v>
      </c>
      <c r="N39">
        <v>4</v>
      </c>
      <c r="O39">
        <f>N39*O2</f>
        <v>18</v>
      </c>
      <c r="P39">
        <v>2</v>
      </c>
      <c r="Q39">
        <v>1</v>
      </c>
      <c r="R39">
        <v>8</v>
      </c>
      <c r="S39">
        <f>R39*S2</f>
        <v>44</v>
      </c>
      <c r="T39">
        <v>2</v>
      </c>
      <c r="U39">
        <v>1</v>
      </c>
      <c r="V39">
        <v>8</v>
      </c>
      <c r="W39">
        <f>V39*W2</f>
        <v>110.4</v>
      </c>
      <c r="X39">
        <v>5</v>
      </c>
      <c r="Y39">
        <v>1</v>
      </c>
      <c r="Z39">
        <v>20</v>
      </c>
      <c r="AA39">
        <f>Z39*AA2</f>
        <v>88</v>
      </c>
      <c r="AB39">
        <v>1</v>
      </c>
      <c r="AC39">
        <v>1</v>
      </c>
      <c r="AD39">
        <v>4</v>
      </c>
      <c r="AE39">
        <f>AD39*AE2</f>
        <v>2</v>
      </c>
      <c r="AF39">
        <f>AE39+AA39+W38+S38+O38+K38+G38</f>
        <v>655.6</v>
      </c>
      <c r="AG39">
        <f t="shared" si="1"/>
        <v>-178.71111111111111</v>
      </c>
      <c r="AH39">
        <f t="shared" si="2"/>
        <v>31937.661234567899</v>
      </c>
    </row>
    <row r="41" spans="1:34" x14ac:dyDescent="0.2">
      <c r="AE41" t="s">
        <v>550</v>
      </c>
      <c r="AF41">
        <f>COUNT(AF4:AF39)</f>
        <v>36</v>
      </c>
    </row>
    <row r="42" spans="1:34" x14ac:dyDescent="0.2">
      <c r="AE42" t="s">
        <v>548</v>
      </c>
      <c r="AF42">
        <f>AVERAGE(AF4:AF39)</f>
        <v>834.31111111111113</v>
      </c>
    </row>
    <row r="44" spans="1:34" x14ac:dyDescent="0.2">
      <c r="AE44" t="s">
        <v>556</v>
      </c>
      <c r="AF44">
        <f>SUM(AH4:AH39)</f>
        <v>8285946.9155555572</v>
      </c>
    </row>
    <row r="45" spans="1:34" ht="32" x14ac:dyDescent="0.2">
      <c r="AE45" s="2" t="s">
        <v>553</v>
      </c>
      <c r="AF45">
        <f>(AF44/35)^0.5</f>
        <v>486.56072636870778</v>
      </c>
    </row>
    <row r="49" spans="1:37" ht="64" x14ac:dyDescent="0.2">
      <c r="A49" s="25" t="s">
        <v>400</v>
      </c>
    </row>
    <row r="51" spans="1:37" x14ac:dyDescent="0.2">
      <c r="A51" s="1" t="s">
        <v>129</v>
      </c>
      <c r="C51" s="14"/>
      <c r="D51" t="s">
        <v>24</v>
      </c>
      <c r="H51" t="s">
        <v>25</v>
      </c>
      <c r="L51" t="s">
        <v>387</v>
      </c>
      <c r="P51" t="s">
        <v>389</v>
      </c>
      <c r="T51" t="s">
        <v>26</v>
      </c>
      <c r="X51" t="s">
        <v>27</v>
      </c>
      <c r="AB51" t="s">
        <v>28</v>
      </c>
      <c r="AK51" s="2"/>
    </row>
    <row r="52" spans="1:37" ht="32" x14ac:dyDescent="0.2">
      <c r="F52" s="13"/>
      <c r="G52">
        <v>7.9</v>
      </c>
      <c r="K52">
        <v>7.9</v>
      </c>
      <c r="L52" t="s">
        <v>388</v>
      </c>
      <c r="O52">
        <v>4.5</v>
      </c>
      <c r="P52" t="s">
        <v>390</v>
      </c>
      <c r="S52">
        <v>5.5</v>
      </c>
      <c r="T52" t="s">
        <v>391</v>
      </c>
      <c r="W52">
        <v>13.8</v>
      </c>
      <c r="X52" t="s">
        <v>392</v>
      </c>
      <c r="AA52">
        <v>4.4000000000000004</v>
      </c>
      <c r="AB52" s="2" t="s">
        <v>402</v>
      </c>
      <c r="AE52">
        <v>0.5</v>
      </c>
    </row>
    <row r="53" spans="1:37" x14ac:dyDescent="0.2">
      <c r="A53" s="1" t="s">
        <v>176</v>
      </c>
      <c r="B53" s="1" t="s">
        <v>381</v>
      </c>
      <c r="C53" s="1" t="s">
        <v>382</v>
      </c>
      <c r="D53" s="14" t="s">
        <v>383</v>
      </c>
      <c r="E53" s="14" t="s">
        <v>384</v>
      </c>
      <c r="F53" s="14" t="s">
        <v>385</v>
      </c>
      <c r="G53" s="14" t="s">
        <v>446</v>
      </c>
      <c r="H53" s="14" t="s">
        <v>383</v>
      </c>
      <c r="I53" s="14" t="s">
        <v>384</v>
      </c>
      <c r="J53" s="14" t="s">
        <v>385</v>
      </c>
      <c r="K53" s="14" t="s">
        <v>446</v>
      </c>
      <c r="L53" s="14" t="s">
        <v>383</v>
      </c>
      <c r="M53" s="14" t="s">
        <v>384</v>
      </c>
      <c r="N53" s="14" t="s">
        <v>385</v>
      </c>
      <c r="O53" s="14" t="s">
        <v>446</v>
      </c>
      <c r="P53" s="14" t="s">
        <v>383</v>
      </c>
      <c r="Q53" s="14" t="s">
        <v>384</v>
      </c>
      <c r="R53" s="14" t="s">
        <v>385</v>
      </c>
      <c r="S53" s="14" t="s">
        <v>446</v>
      </c>
      <c r="T53" s="14" t="s">
        <v>383</v>
      </c>
      <c r="U53" s="14" t="s">
        <v>384</v>
      </c>
      <c r="V53" s="14" t="s">
        <v>385</v>
      </c>
      <c r="W53" s="14" t="s">
        <v>446</v>
      </c>
      <c r="X53" s="14" t="s">
        <v>383</v>
      </c>
      <c r="Y53" s="14" t="s">
        <v>384</v>
      </c>
      <c r="Z53" s="14" t="s">
        <v>393</v>
      </c>
      <c r="AA53" s="14" t="s">
        <v>446</v>
      </c>
      <c r="AB53" s="14" t="s">
        <v>383</v>
      </c>
      <c r="AC53" s="14" t="s">
        <v>384</v>
      </c>
      <c r="AD53" s="14" t="s">
        <v>385</v>
      </c>
      <c r="AE53" s="14" t="s">
        <v>446</v>
      </c>
      <c r="AF53" t="s">
        <v>395</v>
      </c>
    </row>
    <row r="54" spans="1:37" x14ac:dyDescent="0.2">
      <c r="A54" s="14" t="s">
        <v>442</v>
      </c>
      <c r="B54" s="14" t="s">
        <v>443</v>
      </c>
      <c r="C54" s="14">
        <v>6</v>
      </c>
      <c r="D54" s="14">
        <v>7</v>
      </c>
      <c r="E54" s="14">
        <v>2</v>
      </c>
      <c r="F54" s="14">
        <v>56</v>
      </c>
      <c r="G54" s="14">
        <f>F54*G52</f>
        <v>442.40000000000003</v>
      </c>
      <c r="H54" s="14">
        <v>4</v>
      </c>
      <c r="I54" s="14">
        <v>1</v>
      </c>
      <c r="J54" s="14">
        <v>16</v>
      </c>
      <c r="K54" s="14">
        <f>J54*K52</f>
        <v>126.4</v>
      </c>
      <c r="L54" s="14">
        <v>3</v>
      </c>
      <c r="M54" s="14">
        <v>1</v>
      </c>
      <c r="N54" s="14">
        <v>12</v>
      </c>
      <c r="O54" s="14">
        <f>N54*O52</f>
        <v>54</v>
      </c>
      <c r="P54" s="14">
        <v>3</v>
      </c>
      <c r="Q54" s="14">
        <v>1</v>
      </c>
      <c r="R54" s="14">
        <v>12</v>
      </c>
      <c r="S54" s="14">
        <f>R54*S52</f>
        <v>66</v>
      </c>
      <c r="T54" s="14">
        <v>4</v>
      </c>
      <c r="U54" s="14">
        <v>1</v>
      </c>
      <c r="V54" s="14">
        <v>16</v>
      </c>
      <c r="W54" s="14">
        <f>V54*W52</f>
        <v>220.8</v>
      </c>
      <c r="X54" s="14">
        <v>4</v>
      </c>
      <c r="Y54" s="14">
        <v>1</v>
      </c>
      <c r="Z54" s="14">
        <v>16</v>
      </c>
      <c r="AA54" s="14">
        <f>Z54*AA52</f>
        <v>70.400000000000006</v>
      </c>
      <c r="AB54" s="14">
        <v>2</v>
      </c>
      <c r="AC54" s="14">
        <v>1</v>
      </c>
      <c r="AD54" s="14">
        <v>8</v>
      </c>
      <c r="AE54" s="14">
        <f>AD54*AE52</f>
        <v>4</v>
      </c>
      <c r="AF54">
        <f>AE54+AA54+W54+S54+O54+K54+G54</f>
        <v>984</v>
      </c>
    </row>
    <row r="55" spans="1:37" x14ac:dyDescent="0.2">
      <c r="A55" t="s">
        <v>331</v>
      </c>
      <c r="B55" t="s">
        <v>405</v>
      </c>
      <c r="C55">
        <v>10</v>
      </c>
      <c r="D55">
        <v>5</v>
      </c>
      <c r="E55">
        <v>1</v>
      </c>
      <c r="F55">
        <v>20</v>
      </c>
      <c r="G55">
        <f>F55*G52</f>
        <v>158</v>
      </c>
      <c r="H55">
        <v>3</v>
      </c>
      <c r="I55">
        <v>1</v>
      </c>
      <c r="J55">
        <v>12</v>
      </c>
      <c r="K55">
        <f>J55*K52</f>
        <v>94.800000000000011</v>
      </c>
      <c r="L55">
        <v>2</v>
      </c>
      <c r="M55">
        <v>1</v>
      </c>
      <c r="N55">
        <v>8</v>
      </c>
      <c r="O55">
        <f>N55*O52</f>
        <v>36</v>
      </c>
      <c r="P55">
        <v>4</v>
      </c>
      <c r="Q55">
        <v>1</v>
      </c>
      <c r="R55">
        <v>16</v>
      </c>
      <c r="S55">
        <f>R55*S52</f>
        <v>88</v>
      </c>
      <c r="T55">
        <v>3</v>
      </c>
      <c r="U55">
        <v>2</v>
      </c>
      <c r="V55">
        <v>24</v>
      </c>
      <c r="W55">
        <f>V55*W52</f>
        <v>331.20000000000005</v>
      </c>
      <c r="X55">
        <v>4</v>
      </c>
      <c r="Y55">
        <v>1</v>
      </c>
      <c r="Z55">
        <v>16</v>
      </c>
      <c r="AA55">
        <f>Z55*AA52</f>
        <v>70.400000000000006</v>
      </c>
      <c r="AB55">
        <v>2</v>
      </c>
      <c r="AC55">
        <v>1</v>
      </c>
      <c r="AD55">
        <v>8</v>
      </c>
      <c r="AE55">
        <f>AD55*AE52</f>
        <v>4</v>
      </c>
      <c r="AF55">
        <f>AE55+AA55+W55+S55+O55+K55+G55</f>
        <v>782.40000000000009</v>
      </c>
    </row>
    <row r="56" spans="1:37" x14ac:dyDescent="0.2">
      <c r="A56" s="14" t="s">
        <v>333</v>
      </c>
      <c r="B56" t="s">
        <v>406</v>
      </c>
      <c r="C56">
        <v>7</v>
      </c>
      <c r="D56">
        <v>7</v>
      </c>
      <c r="E56">
        <v>1</v>
      </c>
      <c r="F56">
        <v>28</v>
      </c>
      <c r="G56">
        <f>F56*G52</f>
        <v>221.20000000000002</v>
      </c>
      <c r="H56">
        <v>3</v>
      </c>
      <c r="I56">
        <v>1</v>
      </c>
      <c r="J56">
        <v>12</v>
      </c>
      <c r="K56">
        <f>J56*K52</f>
        <v>94.800000000000011</v>
      </c>
      <c r="L56">
        <v>3</v>
      </c>
      <c r="M56">
        <v>1</v>
      </c>
      <c r="N56">
        <v>12</v>
      </c>
      <c r="O56">
        <f>N56*O52</f>
        <v>54</v>
      </c>
      <c r="P56">
        <v>4</v>
      </c>
      <c r="Q56">
        <v>2</v>
      </c>
      <c r="R56">
        <v>16</v>
      </c>
      <c r="S56">
        <f>R56*S52</f>
        <v>88</v>
      </c>
      <c r="T56">
        <v>3</v>
      </c>
      <c r="U56">
        <v>1</v>
      </c>
      <c r="V56">
        <v>12</v>
      </c>
      <c r="W56">
        <f>V56*W52</f>
        <v>165.60000000000002</v>
      </c>
      <c r="X56">
        <v>3</v>
      </c>
      <c r="Y56">
        <v>1</v>
      </c>
      <c r="Z56">
        <v>12</v>
      </c>
      <c r="AA56">
        <f>Z56*AA52</f>
        <v>52.800000000000004</v>
      </c>
      <c r="AB56">
        <v>2</v>
      </c>
      <c r="AC56">
        <v>1</v>
      </c>
      <c r="AD56">
        <v>8</v>
      </c>
      <c r="AE56">
        <f>AD56*AE52</f>
        <v>4</v>
      </c>
      <c r="AF56">
        <f>AE56+AA56+W56+S56+O56+K56+G56</f>
        <v>680.40000000000009</v>
      </c>
    </row>
    <row r="57" spans="1:37" x14ac:dyDescent="0.2">
      <c r="A57" s="14" t="s">
        <v>440</v>
      </c>
      <c r="B57" t="s">
        <v>441</v>
      </c>
      <c r="C57">
        <v>7</v>
      </c>
      <c r="D57">
        <v>1</v>
      </c>
      <c r="E57">
        <v>1</v>
      </c>
      <c r="F57">
        <v>4</v>
      </c>
      <c r="G57">
        <f>F57*G52</f>
        <v>31.6</v>
      </c>
      <c r="H57">
        <v>1</v>
      </c>
      <c r="I57">
        <v>1</v>
      </c>
      <c r="J57">
        <v>4</v>
      </c>
      <c r="K57">
        <f>J57*K52</f>
        <v>31.6</v>
      </c>
      <c r="L57">
        <v>0</v>
      </c>
      <c r="M57">
        <v>0</v>
      </c>
      <c r="N57">
        <v>0</v>
      </c>
      <c r="O57">
        <f>N57*O52</f>
        <v>0</v>
      </c>
      <c r="P57">
        <v>0</v>
      </c>
      <c r="Q57">
        <v>0</v>
      </c>
      <c r="R57">
        <v>0</v>
      </c>
      <c r="S57">
        <f>R57*S52</f>
        <v>0</v>
      </c>
      <c r="T57">
        <v>4</v>
      </c>
      <c r="U57">
        <v>2</v>
      </c>
      <c r="V57">
        <v>32</v>
      </c>
      <c r="W57">
        <f>V57*W52</f>
        <v>441.6</v>
      </c>
      <c r="X57">
        <v>2</v>
      </c>
      <c r="Y57">
        <v>1</v>
      </c>
      <c r="Z57">
        <v>8</v>
      </c>
      <c r="AA57">
        <f>Z57*AA52</f>
        <v>35.200000000000003</v>
      </c>
      <c r="AB57">
        <v>0</v>
      </c>
      <c r="AC57">
        <v>0</v>
      </c>
      <c r="AD57">
        <v>0</v>
      </c>
      <c r="AE57">
        <f>AD57*AE52</f>
        <v>0</v>
      </c>
      <c r="AF57">
        <f>AE57+AA57+W57+S57+O57+K57+G57</f>
        <v>540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47BA93-3FEC-4A81-BB7E-BAB8005EAB73}">
  <dimension ref="A1:AR50"/>
  <sheetViews>
    <sheetView zoomScale="80" zoomScaleNormal="80" workbookViewId="0">
      <selection activeCell="AP13" sqref="AP13"/>
    </sheetView>
  </sheetViews>
  <sheetFormatPr baseColWidth="10" defaultRowHeight="15" x14ac:dyDescent="0.2"/>
  <cols>
    <col min="1" max="1" width="15.83203125" customWidth="1"/>
    <col min="2" max="2" width="34.5" customWidth="1"/>
    <col min="3" max="3" width="17.83203125" customWidth="1"/>
    <col min="4" max="4" width="15.1640625" customWidth="1"/>
    <col min="7" max="7" width="14.5" customWidth="1"/>
    <col min="8" max="8" width="13.5" customWidth="1"/>
    <col min="9" max="9" width="12" customWidth="1"/>
    <col min="33" max="33" width="19.83203125" customWidth="1"/>
    <col min="36" max="36" width="14.1640625" customWidth="1"/>
    <col min="37" max="37" width="19.5" customWidth="1"/>
    <col min="39" max="39" width="14.1640625" customWidth="1"/>
    <col min="40" max="40" width="13.5" customWidth="1"/>
    <col min="41" max="41" width="18" customWidth="1"/>
    <col min="42" max="42" width="17.1640625" customWidth="1"/>
    <col min="43" max="43" width="16.33203125" customWidth="1"/>
  </cols>
  <sheetData>
    <row r="1" spans="1:44" ht="25" x14ac:dyDescent="0.2">
      <c r="A1" s="27" t="s">
        <v>88</v>
      </c>
      <c r="B1" s="27"/>
      <c r="C1" s="27"/>
      <c r="D1" s="64" t="s">
        <v>24</v>
      </c>
      <c r="E1" s="53"/>
      <c r="F1" s="65"/>
      <c r="G1" s="66"/>
      <c r="H1" s="66"/>
      <c r="I1" s="64" t="s">
        <v>500</v>
      </c>
      <c r="J1" s="64"/>
      <c r="K1" s="64"/>
      <c r="L1" s="67"/>
      <c r="M1" s="64" t="s">
        <v>528</v>
      </c>
      <c r="N1" s="53" t="s">
        <v>529</v>
      </c>
      <c r="O1" s="65"/>
      <c r="P1" s="65"/>
      <c r="Q1" s="64" t="s">
        <v>530</v>
      </c>
      <c r="R1" s="53"/>
      <c r="S1" s="65"/>
      <c r="T1" s="66"/>
      <c r="U1" s="64" t="s">
        <v>387</v>
      </c>
      <c r="V1" s="53"/>
      <c r="W1" s="65"/>
      <c r="X1" s="66"/>
      <c r="Y1" s="64" t="s">
        <v>389</v>
      </c>
      <c r="Z1" s="53"/>
      <c r="AA1" s="65"/>
      <c r="AB1" s="65"/>
      <c r="AC1" s="64" t="s">
        <v>26</v>
      </c>
      <c r="AD1" s="53"/>
      <c r="AE1" s="65"/>
      <c r="AF1" s="66"/>
      <c r="AG1" s="64" t="s">
        <v>27</v>
      </c>
      <c r="AH1" s="53"/>
      <c r="AI1" s="65"/>
      <c r="AJ1" s="66"/>
      <c r="AK1" s="64" t="s">
        <v>28</v>
      </c>
      <c r="AL1" s="53"/>
      <c r="AM1" s="65"/>
      <c r="AN1" s="66"/>
      <c r="AO1" s="27"/>
      <c r="AP1" s="27"/>
    </row>
    <row r="2" spans="1:44" ht="25" x14ac:dyDescent="0.2">
      <c r="D2" s="68" t="s">
        <v>516</v>
      </c>
      <c r="E2" s="69"/>
      <c r="G2" s="70"/>
      <c r="H2" s="71">
        <v>7.9</v>
      </c>
      <c r="I2" s="68" t="s">
        <v>517</v>
      </c>
      <c r="J2" s="68"/>
      <c r="K2" s="68"/>
      <c r="L2" s="72">
        <v>7.9</v>
      </c>
      <c r="M2" s="68" t="s">
        <v>531</v>
      </c>
      <c r="N2" s="69"/>
      <c r="O2" s="71"/>
      <c r="P2" s="71">
        <v>5.3</v>
      </c>
      <c r="Q2" s="68" t="s">
        <v>532</v>
      </c>
      <c r="R2" s="69"/>
      <c r="T2" s="71"/>
      <c r="U2" s="68" t="s">
        <v>390</v>
      </c>
      <c r="V2" s="69"/>
      <c r="X2" s="71">
        <v>4.5</v>
      </c>
      <c r="Y2" s="68" t="s">
        <v>390</v>
      </c>
      <c r="Z2" s="69"/>
      <c r="AA2" s="71"/>
      <c r="AB2" s="71">
        <v>5.5</v>
      </c>
      <c r="AC2" s="68" t="s">
        <v>391</v>
      </c>
      <c r="AD2" s="69"/>
      <c r="AE2" s="71"/>
      <c r="AF2" s="73">
        <f>13.8</f>
        <v>13.8</v>
      </c>
      <c r="AG2" s="68" t="s">
        <v>392</v>
      </c>
      <c r="AH2" s="69"/>
      <c r="AI2" s="71"/>
      <c r="AJ2" s="74">
        <v>4.4000000000000004</v>
      </c>
      <c r="AK2" s="68" t="s">
        <v>501</v>
      </c>
      <c r="AL2" s="69"/>
      <c r="AM2" s="71"/>
      <c r="AN2" s="74">
        <v>0.5</v>
      </c>
    </row>
    <row r="3" spans="1:44" x14ac:dyDescent="0.2">
      <c r="A3" s="28" t="s">
        <v>176</v>
      </c>
      <c r="B3" s="28" t="s">
        <v>381</v>
      </c>
      <c r="C3" s="28" t="s">
        <v>382</v>
      </c>
      <c r="D3" s="75" t="s">
        <v>383</v>
      </c>
      <c r="E3" s="76" t="s">
        <v>384</v>
      </c>
      <c r="F3" s="77" t="s">
        <v>385</v>
      </c>
      <c r="G3" s="77"/>
      <c r="H3" s="77" t="s">
        <v>446</v>
      </c>
      <c r="I3" s="75" t="s">
        <v>383</v>
      </c>
      <c r="J3" s="76" t="s">
        <v>384</v>
      </c>
      <c r="K3" s="77" t="s">
        <v>385</v>
      </c>
      <c r="L3" s="77" t="s">
        <v>446</v>
      </c>
      <c r="M3" s="75" t="s">
        <v>383</v>
      </c>
      <c r="N3" s="76" t="s">
        <v>384</v>
      </c>
      <c r="O3" s="77" t="s">
        <v>385</v>
      </c>
      <c r="P3" s="78" t="s">
        <v>446</v>
      </c>
      <c r="Q3" s="75" t="s">
        <v>383</v>
      </c>
      <c r="R3" s="76" t="s">
        <v>384</v>
      </c>
      <c r="S3" s="77" t="s">
        <v>385</v>
      </c>
      <c r="T3" s="77">
        <v>4.3</v>
      </c>
      <c r="U3" s="75" t="s">
        <v>383</v>
      </c>
      <c r="V3" s="76" t="s">
        <v>384</v>
      </c>
      <c r="W3" s="77" t="s">
        <v>385</v>
      </c>
      <c r="X3" s="77" t="s">
        <v>446</v>
      </c>
      <c r="Y3" s="75" t="s">
        <v>383</v>
      </c>
      <c r="Z3" s="76" t="s">
        <v>384</v>
      </c>
      <c r="AA3" s="77" t="s">
        <v>385</v>
      </c>
      <c r="AB3" s="78" t="s">
        <v>502</v>
      </c>
      <c r="AC3" s="75" t="s">
        <v>383</v>
      </c>
      <c r="AD3" s="76" t="s">
        <v>384</v>
      </c>
      <c r="AE3" s="77" t="s">
        <v>385</v>
      </c>
      <c r="AF3" s="78" t="s">
        <v>533</v>
      </c>
      <c r="AG3" s="75" t="s">
        <v>383</v>
      </c>
      <c r="AH3" s="76" t="s">
        <v>384</v>
      </c>
      <c r="AI3" s="77" t="s">
        <v>393</v>
      </c>
      <c r="AJ3" s="78" t="s">
        <v>502</v>
      </c>
      <c r="AK3" s="75" t="s">
        <v>383</v>
      </c>
      <c r="AL3" s="76" t="s">
        <v>384</v>
      </c>
      <c r="AM3" s="77" t="s">
        <v>385</v>
      </c>
      <c r="AN3" s="78" t="s">
        <v>502</v>
      </c>
      <c r="AO3" s="27" t="s">
        <v>534</v>
      </c>
      <c r="AP3" s="79" t="s">
        <v>535</v>
      </c>
      <c r="AQ3" s="80" t="s">
        <v>549</v>
      </c>
      <c r="AR3" t="s">
        <v>555</v>
      </c>
    </row>
    <row r="4" spans="1:44" ht="18.75" customHeight="1" x14ac:dyDescent="0.2">
      <c r="A4" s="29" t="s">
        <v>447</v>
      </c>
      <c r="B4" s="30" t="s">
        <v>448</v>
      </c>
      <c r="C4" s="31">
        <v>7</v>
      </c>
      <c r="D4" s="51">
        <v>1</v>
      </c>
      <c r="E4" s="51">
        <v>1</v>
      </c>
      <c r="F4" s="51">
        <v>4</v>
      </c>
      <c r="G4" s="74">
        <f>H4/30</f>
        <v>1.0533333333333335</v>
      </c>
      <c r="H4" s="74">
        <f t="shared" ref="H4:H20" si="0">$H$2*F4</f>
        <v>31.6</v>
      </c>
      <c r="I4" s="51">
        <v>1</v>
      </c>
      <c r="J4" s="51">
        <v>1</v>
      </c>
      <c r="K4" s="51">
        <v>4</v>
      </c>
      <c r="L4" s="74">
        <f t="shared" ref="L4:L20" si="1">$L$2*K4</f>
        <v>31.6</v>
      </c>
      <c r="M4" s="51" t="s">
        <v>506</v>
      </c>
      <c r="O4" s="51">
        <v>8.3000000000000004E-2</v>
      </c>
      <c r="P4" s="74">
        <f t="shared" ref="P4:P20" si="2">(P$2*O4)</f>
        <v>0.43990000000000001</v>
      </c>
      <c r="Q4" s="51">
        <v>0</v>
      </c>
      <c r="R4" s="51">
        <v>0</v>
      </c>
      <c r="S4" s="51">
        <v>0</v>
      </c>
      <c r="T4" s="74">
        <f t="shared" ref="T4:T20" si="3">(T$3*S4)</f>
        <v>0</v>
      </c>
      <c r="U4" s="51">
        <v>3</v>
      </c>
      <c r="V4" s="51">
        <v>1</v>
      </c>
      <c r="W4" s="74">
        <f>((U4*V4)*4)</f>
        <v>12</v>
      </c>
      <c r="X4" s="74">
        <f>W4*X2</f>
        <v>54</v>
      </c>
      <c r="Y4" s="51">
        <v>0</v>
      </c>
      <c r="AA4" s="74">
        <f>((Y4*Z4)*4)</f>
        <v>0</v>
      </c>
      <c r="AB4" s="74">
        <f t="shared" ref="AB4:AB20" si="4">(AB$2*AA4)</f>
        <v>0</v>
      </c>
      <c r="AC4" s="51">
        <v>2</v>
      </c>
      <c r="AD4" s="51">
        <v>1</v>
      </c>
      <c r="AE4" s="74">
        <f>((AC4*AD4)*4)</f>
        <v>8</v>
      </c>
      <c r="AF4" s="74">
        <f t="shared" ref="AF4:AF20" si="5">(AF$2*AE4)</f>
        <v>110.4</v>
      </c>
      <c r="AG4" s="51">
        <v>3</v>
      </c>
      <c r="AH4" s="51">
        <v>3</v>
      </c>
      <c r="AI4" s="81">
        <f t="shared" ref="AI4:AI14" si="6">(AG4*AH4)*4</f>
        <v>36</v>
      </c>
      <c r="AJ4" s="74">
        <f t="shared" ref="AJ4:AJ20" si="7">(AJ$2*AI4)</f>
        <v>158.4</v>
      </c>
      <c r="AM4" s="74">
        <f>(AK4*AL4)*4</f>
        <v>0</v>
      </c>
      <c r="AN4" s="74">
        <f t="shared" ref="AN4:AN20" si="8">(AN$2*AM4)</f>
        <v>0</v>
      </c>
      <c r="AO4">
        <f t="shared" ref="AO4:AO20" si="9">AP4/30</f>
        <v>11.081330000000003</v>
      </c>
      <c r="AP4" s="80">
        <f t="shared" ref="AP4:AP20" si="10">(AN4+AJ4+AF4+AB4+T4+P4+L4+H4)</f>
        <v>332.43990000000008</v>
      </c>
      <c r="AQ4" s="80">
        <f>AP4-$AP$47</f>
        <v>28.59681944444452</v>
      </c>
      <c r="AR4">
        <f>AQ4^2</f>
        <v>817.77808233816017</v>
      </c>
    </row>
    <row r="5" spans="1:44" x14ac:dyDescent="0.2">
      <c r="A5" s="32" t="s">
        <v>449</v>
      </c>
      <c r="B5" s="33" t="s">
        <v>450</v>
      </c>
      <c r="C5" s="34">
        <v>8</v>
      </c>
      <c r="D5" s="51">
        <v>3</v>
      </c>
      <c r="E5" s="51">
        <v>1</v>
      </c>
      <c r="F5" s="51">
        <v>12</v>
      </c>
      <c r="G5" s="74"/>
      <c r="H5" s="74">
        <f t="shared" si="0"/>
        <v>94.800000000000011</v>
      </c>
      <c r="I5" s="51">
        <v>1</v>
      </c>
      <c r="J5" s="51">
        <v>1</v>
      </c>
      <c r="K5" s="51">
        <v>4</v>
      </c>
      <c r="L5" s="74">
        <f t="shared" si="1"/>
        <v>31.6</v>
      </c>
      <c r="M5" s="51" t="s">
        <v>536</v>
      </c>
      <c r="N5" s="51">
        <v>1</v>
      </c>
      <c r="O5" s="51">
        <v>0.16</v>
      </c>
      <c r="P5" s="74">
        <f t="shared" si="2"/>
        <v>0.84799999999999998</v>
      </c>
      <c r="Q5" s="51">
        <v>5</v>
      </c>
      <c r="R5" s="51">
        <v>1</v>
      </c>
      <c r="S5" s="51">
        <v>20</v>
      </c>
      <c r="T5" s="74">
        <f t="shared" si="3"/>
        <v>86</v>
      </c>
      <c r="U5" s="51" t="s">
        <v>503</v>
      </c>
      <c r="V5" s="51">
        <v>1</v>
      </c>
      <c r="W5" s="74">
        <v>0.16</v>
      </c>
      <c r="X5" s="74">
        <f>X2*W5</f>
        <v>0.72</v>
      </c>
      <c r="Y5" s="51" t="s">
        <v>504</v>
      </c>
      <c r="AA5" s="74">
        <v>0.25</v>
      </c>
      <c r="AB5" s="74">
        <f t="shared" si="4"/>
        <v>1.375</v>
      </c>
      <c r="AC5" s="51" t="s">
        <v>503</v>
      </c>
      <c r="AE5" s="74">
        <v>0.16</v>
      </c>
      <c r="AF5" s="74">
        <f t="shared" si="5"/>
        <v>2.2080000000000002</v>
      </c>
      <c r="AG5" s="51">
        <v>3</v>
      </c>
      <c r="AH5" s="51">
        <v>1</v>
      </c>
      <c r="AI5" s="81">
        <f t="shared" si="6"/>
        <v>12</v>
      </c>
      <c r="AJ5" s="74">
        <f t="shared" si="7"/>
        <v>52.800000000000004</v>
      </c>
      <c r="AK5" s="51"/>
      <c r="AL5" s="51"/>
      <c r="AM5" s="74">
        <v>1</v>
      </c>
      <c r="AN5" s="74">
        <f t="shared" si="8"/>
        <v>0.5</v>
      </c>
      <c r="AO5">
        <f t="shared" si="9"/>
        <v>9.0043666666666677</v>
      </c>
      <c r="AP5" s="80">
        <f t="shared" si="10"/>
        <v>270.13100000000003</v>
      </c>
      <c r="AQ5" s="80">
        <f t="shared" ref="AQ5:AQ43" si="11">AP5-$AP$47</f>
        <v>-33.712080555555531</v>
      </c>
      <c r="AR5">
        <f t="shared" ref="AR5:AR42" si="12">AQ5^2</f>
        <v>1136.5043753842654</v>
      </c>
    </row>
    <row r="6" spans="1:44" ht="19.5" customHeight="1" x14ac:dyDescent="0.2">
      <c r="A6" s="35" t="s">
        <v>451</v>
      </c>
      <c r="B6" s="36" t="s">
        <v>452</v>
      </c>
      <c r="C6" s="37">
        <v>5</v>
      </c>
      <c r="D6" s="51">
        <v>3</v>
      </c>
      <c r="E6" s="51">
        <v>1</v>
      </c>
      <c r="F6" s="51">
        <v>12</v>
      </c>
      <c r="G6" s="74"/>
      <c r="H6" s="74">
        <f t="shared" si="0"/>
        <v>94.800000000000011</v>
      </c>
      <c r="I6" s="51">
        <v>1</v>
      </c>
      <c r="J6" s="51">
        <v>1</v>
      </c>
      <c r="K6" s="51">
        <v>4</v>
      </c>
      <c r="L6" s="74">
        <f t="shared" si="1"/>
        <v>31.6</v>
      </c>
      <c r="M6" s="51" t="s">
        <v>536</v>
      </c>
      <c r="N6" s="51">
        <v>1</v>
      </c>
      <c r="O6" s="51">
        <v>0.16</v>
      </c>
      <c r="P6" s="74">
        <f t="shared" si="2"/>
        <v>0.84799999999999998</v>
      </c>
      <c r="Q6" s="51">
        <v>5</v>
      </c>
      <c r="R6" s="51">
        <v>1</v>
      </c>
      <c r="S6" s="51">
        <v>20</v>
      </c>
      <c r="T6" s="74">
        <f t="shared" si="3"/>
        <v>86</v>
      </c>
      <c r="U6" s="51" t="s">
        <v>503</v>
      </c>
      <c r="V6" s="51">
        <v>1</v>
      </c>
      <c r="W6" s="74">
        <v>0.16</v>
      </c>
      <c r="X6" s="74">
        <f t="shared" ref="X6:X20" si="13">W6*$P$2</f>
        <v>0.84799999999999998</v>
      </c>
      <c r="Y6" s="51" t="s">
        <v>505</v>
      </c>
      <c r="AA6" s="74">
        <v>0.25</v>
      </c>
      <c r="AB6" s="74">
        <f t="shared" si="4"/>
        <v>1.375</v>
      </c>
      <c r="AC6" s="51" t="s">
        <v>504</v>
      </c>
      <c r="AE6" s="74">
        <v>0.16</v>
      </c>
      <c r="AF6" s="74">
        <f t="shared" si="5"/>
        <v>2.2080000000000002</v>
      </c>
      <c r="AG6" s="51">
        <v>3</v>
      </c>
      <c r="AH6" s="51">
        <v>1</v>
      </c>
      <c r="AI6" s="81">
        <f t="shared" si="6"/>
        <v>12</v>
      </c>
      <c r="AJ6" s="74">
        <f t="shared" si="7"/>
        <v>52.800000000000004</v>
      </c>
      <c r="AK6" s="51"/>
      <c r="AL6" s="51"/>
      <c r="AM6" s="74">
        <v>1</v>
      </c>
      <c r="AN6" s="74">
        <f t="shared" si="8"/>
        <v>0.5</v>
      </c>
      <c r="AO6">
        <f t="shared" si="9"/>
        <v>9.0043666666666677</v>
      </c>
      <c r="AP6" s="80">
        <f t="shared" si="10"/>
        <v>270.13100000000003</v>
      </c>
      <c r="AQ6" s="80">
        <f t="shared" si="11"/>
        <v>-33.712080555555531</v>
      </c>
      <c r="AR6">
        <f t="shared" si="12"/>
        <v>1136.5043753842654</v>
      </c>
    </row>
    <row r="7" spans="1:44" ht="20.25" customHeight="1" x14ac:dyDescent="0.2">
      <c r="A7" s="32" t="s">
        <v>109</v>
      </c>
      <c r="B7" s="33" t="s">
        <v>453</v>
      </c>
      <c r="C7" s="34">
        <v>7</v>
      </c>
      <c r="D7" s="51">
        <v>1</v>
      </c>
      <c r="E7" s="51">
        <v>2</v>
      </c>
      <c r="F7" s="51">
        <v>8</v>
      </c>
      <c r="G7" s="74"/>
      <c r="H7" s="74">
        <f t="shared" si="0"/>
        <v>63.2</v>
      </c>
      <c r="I7" s="51">
        <v>1</v>
      </c>
      <c r="J7" s="51">
        <v>1</v>
      </c>
      <c r="K7" s="51">
        <v>4</v>
      </c>
      <c r="L7" s="74">
        <f t="shared" si="1"/>
        <v>31.6</v>
      </c>
      <c r="M7" s="51">
        <v>0</v>
      </c>
      <c r="N7" s="51">
        <v>0</v>
      </c>
      <c r="O7" s="51">
        <v>0</v>
      </c>
      <c r="P7" s="74">
        <f t="shared" si="2"/>
        <v>0</v>
      </c>
      <c r="Q7" s="51">
        <v>0</v>
      </c>
      <c r="R7" s="51">
        <v>0</v>
      </c>
      <c r="S7" s="51">
        <v>0</v>
      </c>
      <c r="T7" s="74">
        <f t="shared" si="3"/>
        <v>0</v>
      </c>
      <c r="U7" s="51">
        <v>1</v>
      </c>
      <c r="V7" s="51">
        <v>1</v>
      </c>
      <c r="W7" s="74">
        <f t="shared" ref="W7:W13" si="14">((U7*V7)*4)</f>
        <v>4</v>
      </c>
      <c r="X7" s="74">
        <f t="shared" si="13"/>
        <v>21.2</v>
      </c>
      <c r="Y7" s="51">
        <v>0</v>
      </c>
      <c r="Z7" s="51">
        <v>0</v>
      </c>
      <c r="AA7" s="74">
        <v>0</v>
      </c>
      <c r="AB7" s="74">
        <f t="shared" si="4"/>
        <v>0</v>
      </c>
      <c r="AC7" s="51">
        <v>1</v>
      </c>
      <c r="AD7" s="51">
        <v>2</v>
      </c>
      <c r="AE7" s="74">
        <f t="shared" ref="AE7:AE12" si="15">((AC7*AD7)*4)</f>
        <v>8</v>
      </c>
      <c r="AF7" s="74">
        <f t="shared" si="5"/>
        <v>110.4</v>
      </c>
      <c r="AG7" s="51">
        <v>1</v>
      </c>
      <c r="AH7" s="51">
        <v>4</v>
      </c>
      <c r="AI7" s="81">
        <f t="shared" si="6"/>
        <v>16</v>
      </c>
      <c r="AJ7" s="74">
        <f t="shared" si="7"/>
        <v>70.400000000000006</v>
      </c>
      <c r="AK7" s="51">
        <v>0</v>
      </c>
      <c r="AL7" s="51">
        <v>0</v>
      </c>
      <c r="AM7" s="74">
        <v>0</v>
      </c>
      <c r="AN7" s="74">
        <f t="shared" si="8"/>
        <v>0</v>
      </c>
      <c r="AO7">
        <f t="shared" si="9"/>
        <v>9.1866666666666674</v>
      </c>
      <c r="AP7" s="80">
        <f t="shared" si="10"/>
        <v>275.60000000000002</v>
      </c>
      <c r="AQ7" s="80">
        <f t="shared" si="11"/>
        <v>-28.243080555555537</v>
      </c>
      <c r="AR7">
        <f t="shared" si="12"/>
        <v>797.67159926759928</v>
      </c>
    </row>
    <row r="8" spans="1:44" x14ac:dyDescent="0.2">
      <c r="A8" s="38" t="s">
        <v>111</v>
      </c>
      <c r="B8" s="39" t="s">
        <v>454</v>
      </c>
      <c r="C8" s="40">
        <v>6</v>
      </c>
      <c r="D8" s="51">
        <v>1</v>
      </c>
      <c r="E8" s="51">
        <v>2</v>
      </c>
      <c r="F8" s="51">
        <v>8</v>
      </c>
      <c r="G8" s="74"/>
      <c r="H8" s="74">
        <f t="shared" si="0"/>
        <v>63.2</v>
      </c>
      <c r="I8" s="51">
        <v>0</v>
      </c>
      <c r="J8" s="51">
        <v>0</v>
      </c>
      <c r="K8" s="51">
        <v>0</v>
      </c>
      <c r="L8" s="74">
        <f t="shared" si="1"/>
        <v>0</v>
      </c>
      <c r="M8" s="51">
        <v>0</v>
      </c>
      <c r="N8" s="51">
        <v>0</v>
      </c>
      <c r="O8" s="51">
        <v>0</v>
      </c>
      <c r="P8" s="74">
        <f t="shared" si="2"/>
        <v>0</v>
      </c>
      <c r="Q8" s="51">
        <v>0</v>
      </c>
      <c r="R8" s="51">
        <v>0</v>
      </c>
      <c r="S8" s="51">
        <v>0</v>
      </c>
      <c r="T8" s="74">
        <f t="shared" si="3"/>
        <v>0</v>
      </c>
      <c r="U8" s="51">
        <v>1</v>
      </c>
      <c r="V8" s="51">
        <v>1</v>
      </c>
      <c r="W8" s="74">
        <f t="shared" si="14"/>
        <v>4</v>
      </c>
      <c r="X8" s="74">
        <f t="shared" si="13"/>
        <v>21.2</v>
      </c>
      <c r="Y8" s="51">
        <v>0</v>
      </c>
      <c r="Z8" s="51">
        <v>0</v>
      </c>
      <c r="AA8" s="74">
        <v>0</v>
      </c>
      <c r="AB8" s="74">
        <f t="shared" si="4"/>
        <v>0</v>
      </c>
      <c r="AC8" s="51">
        <v>1</v>
      </c>
      <c r="AD8" s="51">
        <v>2</v>
      </c>
      <c r="AE8" s="74">
        <f t="shared" si="15"/>
        <v>8</v>
      </c>
      <c r="AF8" s="74">
        <f t="shared" si="5"/>
        <v>110.4</v>
      </c>
      <c r="AG8" s="51">
        <v>1</v>
      </c>
      <c r="AH8" s="51">
        <v>4</v>
      </c>
      <c r="AI8" s="81">
        <f t="shared" si="6"/>
        <v>16</v>
      </c>
      <c r="AJ8" s="74">
        <f t="shared" si="7"/>
        <v>70.400000000000006</v>
      </c>
      <c r="AK8" s="51">
        <v>0</v>
      </c>
      <c r="AL8" s="51">
        <v>0</v>
      </c>
      <c r="AM8" s="74">
        <v>0</v>
      </c>
      <c r="AN8" s="74">
        <f t="shared" si="8"/>
        <v>0</v>
      </c>
      <c r="AO8">
        <f t="shared" si="9"/>
        <v>8.1333333333333329</v>
      </c>
      <c r="AP8" s="80">
        <f t="shared" si="10"/>
        <v>244</v>
      </c>
      <c r="AQ8" s="80">
        <f t="shared" si="11"/>
        <v>-59.843080555555559</v>
      </c>
      <c r="AR8">
        <f t="shared" si="12"/>
        <v>3581.1942903787117</v>
      </c>
    </row>
    <row r="9" spans="1:44" x14ac:dyDescent="0.2">
      <c r="A9" s="32" t="s">
        <v>455</v>
      </c>
      <c r="B9" s="33" t="s">
        <v>456</v>
      </c>
      <c r="C9" s="34">
        <v>10</v>
      </c>
      <c r="D9" s="51">
        <v>1</v>
      </c>
      <c r="E9" s="51">
        <v>1</v>
      </c>
      <c r="F9" s="51">
        <v>4</v>
      </c>
      <c r="G9" s="74"/>
      <c r="H9" s="74">
        <f t="shared" si="0"/>
        <v>31.6</v>
      </c>
      <c r="I9" s="51">
        <v>0</v>
      </c>
      <c r="J9" s="51">
        <v>0</v>
      </c>
      <c r="K9" s="51">
        <v>0</v>
      </c>
      <c r="L9" s="74">
        <f t="shared" si="1"/>
        <v>0</v>
      </c>
      <c r="M9" s="51">
        <v>0</v>
      </c>
      <c r="N9" s="51">
        <v>0</v>
      </c>
      <c r="O9" s="51">
        <v>0</v>
      </c>
      <c r="P9" s="74">
        <f t="shared" si="2"/>
        <v>0</v>
      </c>
      <c r="Q9" s="51">
        <v>0</v>
      </c>
      <c r="R9" s="51">
        <v>0</v>
      </c>
      <c r="S9" s="51">
        <v>0</v>
      </c>
      <c r="T9" s="74">
        <f t="shared" si="3"/>
        <v>0</v>
      </c>
      <c r="U9" s="51">
        <v>0</v>
      </c>
      <c r="V9" s="51">
        <v>0</v>
      </c>
      <c r="W9" s="74">
        <f t="shared" si="14"/>
        <v>0</v>
      </c>
      <c r="X9" s="74">
        <f t="shared" si="13"/>
        <v>0</v>
      </c>
      <c r="Y9" s="51">
        <v>0</v>
      </c>
      <c r="Z9" s="51">
        <v>0</v>
      </c>
      <c r="AA9" s="74">
        <v>0</v>
      </c>
      <c r="AB9" s="74">
        <f t="shared" si="4"/>
        <v>0</v>
      </c>
      <c r="AC9" s="51">
        <v>1</v>
      </c>
      <c r="AD9" s="51">
        <v>1</v>
      </c>
      <c r="AE9" s="74">
        <f t="shared" si="15"/>
        <v>4</v>
      </c>
      <c r="AF9" s="74">
        <f t="shared" si="5"/>
        <v>55.2</v>
      </c>
      <c r="AG9" s="51">
        <v>2</v>
      </c>
      <c r="AH9" s="51">
        <v>1</v>
      </c>
      <c r="AI9" s="81">
        <f t="shared" si="6"/>
        <v>8</v>
      </c>
      <c r="AJ9" s="74">
        <f t="shared" si="7"/>
        <v>35.200000000000003</v>
      </c>
      <c r="AK9" s="51">
        <v>0</v>
      </c>
      <c r="AL9" s="51">
        <v>0</v>
      </c>
      <c r="AM9" s="74">
        <v>0</v>
      </c>
      <c r="AN9" s="74">
        <f t="shared" si="8"/>
        <v>0</v>
      </c>
      <c r="AO9">
        <f t="shared" si="9"/>
        <v>4.0666666666666664</v>
      </c>
      <c r="AP9" s="80">
        <f t="shared" si="10"/>
        <v>122</v>
      </c>
      <c r="AQ9" s="80">
        <f t="shared" si="11"/>
        <v>-181.84308055555556</v>
      </c>
      <c r="AR9">
        <f t="shared" si="12"/>
        <v>33066.905945934268</v>
      </c>
    </row>
    <row r="10" spans="1:44" x14ac:dyDescent="0.2">
      <c r="A10" s="32" t="s">
        <v>457</v>
      </c>
      <c r="B10" s="33" t="s">
        <v>458</v>
      </c>
      <c r="C10" s="41">
        <v>8</v>
      </c>
      <c r="D10" s="51">
        <v>1</v>
      </c>
      <c r="E10" s="51">
        <v>1</v>
      </c>
      <c r="F10" s="51">
        <v>4</v>
      </c>
      <c r="G10" s="74"/>
      <c r="H10" s="74">
        <f t="shared" si="0"/>
        <v>31.6</v>
      </c>
      <c r="I10" s="51">
        <v>0</v>
      </c>
      <c r="J10" s="51">
        <v>0</v>
      </c>
      <c r="K10" s="51">
        <v>0</v>
      </c>
      <c r="L10" s="74">
        <f t="shared" si="1"/>
        <v>0</v>
      </c>
      <c r="M10" s="51">
        <v>0</v>
      </c>
      <c r="N10" s="51">
        <v>0</v>
      </c>
      <c r="O10" s="51">
        <v>0</v>
      </c>
      <c r="P10" s="74">
        <f t="shared" si="2"/>
        <v>0</v>
      </c>
      <c r="Q10" s="51">
        <v>0</v>
      </c>
      <c r="R10" s="51">
        <v>0</v>
      </c>
      <c r="S10" s="51">
        <v>0</v>
      </c>
      <c r="T10" s="74">
        <f t="shared" si="3"/>
        <v>0</v>
      </c>
      <c r="U10" s="51">
        <v>0</v>
      </c>
      <c r="V10" s="51">
        <v>0</v>
      </c>
      <c r="W10" s="74">
        <f t="shared" si="14"/>
        <v>0</v>
      </c>
      <c r="X10" s="74">
        <f t="shared" si="13"/>
        <v>0</v>
      </c>
      <c r="Y10" s="51">
        <v>0</v>
      </c>
      <c r="Z10" s="51">
        <v>0</v>
      </c>
      <c r="AA10" s="74">
        <v>0</v>
      </c>
      <c r="AB10" s="74">
        <f t="shared" si="4"/>
        <v>0</v>
      </c>
      <c r="AC10" s="51">
        <v>1</v>
      </c>
      <c r="AD10" s="51">
        <v>1</v>
      </c>
      <c r="AE10" s="74">
        <f t="shared" si="15"/>
        <v>4</v>
      </c>
      <c r="AF10" s="74">
        <f t="shared" si="5"/>
        <v>55.2</v>
      </c>
      <c r="AG10" s="51">
        <v>2</v>
      </c>
      <c r="AH10" s="51">
        <v>1</v>
      </c>
      <c r="AI10" s="81">
        <f t="shared" si="6"/>
        <v>8</v>
      </c>
      <c r="AJ10" s="74">
        <f t="shared" si="7"/>
        <v>35.200000000000003</v>
      </c>
      <c r="AK10" s="51">
        <v>0</v>
      </c>
      <c r="AL10" s="51">
        <v>0</v>
      </c>
      <c r="AM10" s="74">
        <v>0</v>
      </c>
      <c r="AN10" s="74">
        <f t="shared" si="8"/>
        <v>0</v>
      </c>
      <c r="AO10">
        <f t="shared" si="9"/>
        <v>4.0666666666666664</v>
      </c>
      <c r="AP10" s="80">
        <f t="shared" si="10"/>
        <v>122</v>
      </c>
      <c r="AQ10" s="80">
        <f t="shared" si="11"/>
        <v>-181.84308055555556</v>
      </c>
      <c r="AR10">
        <f t="shared" si="12"/>
        <v>33066.905945934268</v>
      </c>
    </row>
    <row r="11" spans="1:44" x14ac:dyDescent="0.2">
      <c r="A11" s="32" t="s">
        <v>459</v>
      </c>
      <c r="B11" s="33" t="s">
        <v>460</v>
      </c>
      <c r="C11" s="34">
        <v>6</v>
      </c>
      <c r="D11" s="51">
        <v>1</v>
      </c>
      <c r="E11" s="51">
        <v>1</v>
      </c>
      <c r="F11" s="51">
        <v>4</v>
      </c>
      <c r="G11" s="74"/>
      <c r="H11" s="74">
        <f t="shared" si="0"/>
        <v>31.6</v>
      </c>
      <c r="I11" s="51">
        <v>0</v>
      </c>
      <c r="J11" s="51">
        <v>0</v>
      </c>
      <c r="K11" s="51">
        <v>0</v>
      </c>
      <c r="L11" s="74">
        <f t="shared" si="1"/>
        <v>0</v>
      </c>
      <c r="M11" s="51">
        <v>0</v>
      </c>
      <c r="N11" s="51">
        <v>0</v>
      </c>
      <c r="O11" s="51">
        <v>0</v>
      </c>
      <c r="P11" s="74">
        <f t="shared" si="2"/>
        <v>0</v>
      </c>
      <c r="Q11" s="51">
        <v>0</v>
      </c>
      <c r="R11" s="51">
        <v>0</v>
      </c>
      <c r="S11" s="51">
        <v>0</v>
      </c>
      <c r="T11" s="74">
        <f t="shared" si="3"/>
        <v>0</v>
      </c>
      <c r="U11" s="51">
        <v>0</v>
      </c>
      <c r="V11" s="51">
        <v>0</v>
      </c>
      <c r="W11" s="74">
        <f t="shared" si="14"/>
        <v>0</v>
      </c>
      <c r="X11" s="74">
        <f t="shared" si="13"/>
        <v>0</v>
      </c>
      <c r="Y11" s="51">
        <v>0</v>
      </c>
      <c r="Z11" s="51">
        <v>0</v>
      </c>
      <c r="AA11" s="74">
        <v>0</v>
      </c>
      <c r="AB11" s="74">
        <f t="shared" si="4"/>
        <v>0</v>
      </c>
      <c r="AC11" s="51">
        <v>1</v>
      </c>
      <c r="AD11" s="51">
        <v>1</v>
      </c>
      <c r="AE11" s="74">
        <f t="shared" si="15"/>
        <v>4</v>
      </c>
      <c r="AF11" s="74">
        <f t="shared" si="5"/>
        <v>55.2</v>
      </c>
      <c r="AG11" s="51">
        <v>2</v>
      </c>
      <c r="AH11" s="51">
        <v>1</v>
      </c>
      <c r="AI11" s="81">
        <f t="shared" si="6"/>
        <v>8</v>
      </c>
      <c r="AJ11" s="74">
        <f t="shared" si="7"/>
        <v>35.200000000000003</v>
      </c>
      <c r="AK11" s="51">
        <v>0</v>
      </c>
      <c r="AL11" s="51">
        <v>0</v>
      </c>
      <c r="AM11" s="74">
        <v>0</v>
      </c>
      <c r="AN11" s="74">
        <f t="shared" si="8"/>
        <v>0</v>
      </c>
      <c r="AO11">
        <f t="shared" si="9"/>
        <v>4.0666666666666664</v>
      </c>
      <c r="AP11" s="80">
        <f t="shared" si="10"/>
        <v>122</v>
      </c>
      <c r="AQ11" s="80">
        <f t="shared" si="11"/>
        <v>-181.84308055555556</v>
      </c>
      <c r="AR11">
        <f t="shared" si="12"/>
        <v>33066.905945934268</v>
      </c>
    </row>
    <row r="12" spans="1:44" x14ac:dyDescent="0.2">
      <c r="A12" s="32" t="s">
        <v>461</v>
      </c>
      <c r="B12" s="33" t="s">
        <v>462</v>
      </c>
      <c r="C12" s="34">
        <v>9</v>
      </c>
      <c r="D12" s="51">
        <v>2</v>
      </c>
      <c r="E12" s="51">
        <v>1</v>
      </c>
      <c r="F12" s="51">
        <v>4</v>
      </c>
      <c r="G12" s="74"/>
      <c r="H12" s="74">
        <f t="shared" si="0"/>
        <v>31.6</v>
      </c>
      <c r="I12" s="51">
        <v>1</v>
      </c>
      <c r="J12" s="51">
        <v>1</v>
      </c>
      <c r="K12" s="51">
        <v>4</v>
      </c>
      <c r="L12" s="74">
        <f t="shared" si="1"/>
        <v>31.6</v>
      </c>
      <c r="M12" s="51">
        <v>0</v>
      </c>
      <c r="N12" s="51">
        <v>0</v>
      </c>
      <c r="O12" s="51">
        <v>0</v>
      </c>
      <c r="P12" s="74">
        <f t="shared" si="2"/>
        <v>0</v>
      </c>
      <c r="Q12" s="51">
        <v>0</v>
      </c>
      <c r="R12" s="51">
        <v>0</v>
      </c>
      <c r="S12" s="51">
        <v>0</v>
      </c>
      <c r="T12" s="74">
        <f t="shared" si="3"/>
        <v>0</v>
      </c>
      <c r="U12" s="51">
        <v>0</v>
      </c>
      <c r="V12" s="51">
        <v>0</v>
      </c>
      <c r="W12" s="74">
        <f t="shared" si="14"/>
        <v>0</v>
      </c>
      <c r="X12" s="74">
        <f t="shared" si="13"/>
        <v>0</v>
      </c>
      <c r="Y12" s="51" t="s">
        <v>506</v>
      </c>
      <c r="Z12" s="51">
        <v>0</v>
      </c>
      <c r="AA12" s="74">
        <v>8.3000000000000004E-2</v>
      </c>
      <c r="AB12" s="74">
        <f t="shared" si="4"/>
        <v>0.45650000000000002</v>
      </c>
      <c r="AC12" s="51">
        <v>2</v>
      </c>
      <c r="AD12" s="51">
        <v>1</v>
      </c>
      <c r="AE12" s="74">
        <f t="shared" si="15"/>
        <v>8</v>
      </c>
      <c r="AF12" s="74">
        <f t="shared" si="5"/>
        <v>110.4</v>
      </c>
      <c r="AG12" s="51">
        <v>2</v>
      </c>
      <c r="AH12" s="51">
        <v>1</v>
      </c>
      <c r="AI12" s="81">
        <f t="shared" si="6"/>
        <v>8</v>
      </c>
      <c r="AJ12" s="74">
        <f t="shared" si="7"/>
        <v>35.200000000000003</v>
      </c>
      <c r="AK12" s="51" t="s">
        <v>507</v>
      </c>
      <c r="AL12" s="51">
        <v>1</v>
      </c>
      <c r="AM12" s="74">
        <v>0.16</v>
      </c>
      <c r="AN12" s="74">
        <f t="shared" si="8"/>
        <v>0.08</v>
      </c>
      <c r="AO12">
        <f t="shared" si="9"/>
        <v>6.9778833333333337</v>
      </c>
      <c r="AP12" s="80">
        <f t="shared" si="10"/>
        <v>209.3365</v>
      </c>
      <c r="AQ12" s="80">
        <f t="shared" si="11"/>
        <v>-94.506580555555558</v>
      </c>
      <c r="AR12">
        <f t="shared" si="12"/>
        <v>8931.4937683037115</v>
      </c>
    </row>
    <row r="13" spans="1:44" x14ac:dyDescent="0.2">
      <c r="A13" s="42" t="s">
        <v>126</v>
      </c>
      <c r="B13" s="43" t="s">
        <v>463</v>
      </c>
      <c r="C13" s="44">
        <v>8</v>
      </c>
      <c r="D13" s="82">
        <v>1</v>
      </c>
      <c r="E13" s="82">
        <v>3</v>
      </c>
      <c r="F13" s="82">
        <v>12</v>
      </c>
      <c r="G13" s="74"/>
      <c r="H13" s="74">
        <f t="shared" si="0"/>
        <v>94.800000000000011</v>
      </c>
      <c r="I13" s="82">
        <v>1</v>
      </c>
      <c r="J13" s="82">
        <v>3</v>
      </c>
      <c r="K13" s="82">
        <v>12</v>
      </c>
      <c r="L13" s="74">
        <f t="shared" si="1"/>
        <v>94.800000000000011</v>
      </c>
      <c r="M13" s="82">
        <v>2</v>
      </c>
      <c r="N13" s="82">
        <v>1</v>
      </c>
      <c r="O13" s="82">
        <v>8</v>
      </c>
      <c r="P13" s="74">
        <f t="shared" si="2"/>
        <v>42.4</v>
      </c>
      <c r="Q13" s="51">
        <v>0</v>
      </c>
      <c r="R13" s="51">
        <v>0</v>
      </c>
      <c r="S13" s="51">
        <v>0</v>
      </c>
      <c r="T13" s="74">
        <f t="shared" si="3"/>
        <v>0</v>
      </c>
      <c r="U13" s="82">
        <v>2</v>
      </c>
      <c r="V13" s="82">
        <v>1</v>
      </c>
      <c r="W13" s="82">
        <f t="shared" si="14"/>
        <v>8</v>
      </c>
      <c r="X13" s="82">
        <f t="shared" si="13"/>
        <v>42.4</v>
      </c>
      <c r="Y13" s="82">
        <v>1</v>
      </c>
      <c r="Z13" s="82">
        <v>1</v>
      </c>
      <c r="AA13" s="82">
        <v>0</v>
      </c>
      <c r="AB13" s="82">
        <f t="shared" si="4"/>
        <v>0</v>
      </c>
      <c r="AC13" s="82"/>
      <c r="AD13" s="82"/>
      <c r="AE13" s="82">
        <v>0.5</v>
      </c>
      <c r="AF13" s="82">
        <f t="shared" si="5"/>
        <v>6.9</v>
      </c>
      <c r="AG13" s="82">
        <v>1</v>
      </c>
      <c r="AH13" s="82">
        <v>2</v>
      </c>
      <c r="AI13" s="83">
        <f t="shared" si="6"/>
        <v>8</v>
      </c>
      <c r="AJ13" s="82">
        <f t="shared" si="7"/>
        <v>35.200000000000003</v>
      </c>
      <c r="AK13" s="82"/>
      <c r="AL13" s="82"/>
      <c r="AM13" s="82">
        <v>0.5</v>
      </c>
      <c r="AN13" s="82">
        <f t="shared" si="8"/>
        <v>0.25</v>
      </c>
      <c r="AO13">
        <f t="shared" si="9"/>
        <v>9.1450000000000014</v>
      </c>
      <c r="AP13" s="80">
        <f t="shared" si="10"/>
        <v>274.35000000000002</v>
      </c>
      <c r="AQ13" s="80">
        <f t="shared" si="11"/>
        <v>-29.493080555555537</v>
      </c>
      <c r="AR13">
        <f t="shared" si="12"/>
        <v>869.84180065648809</v>
      </c>
    </row>
    <row r="14" spans="1:44" x14ac:dyDescent="0.2">
      <c r="A14" s="45" t="s">
        <v>261</v>
      </c>
      <c r="B14" s="46" t="s">
        <v>464</v>
      </c>
      <c r="C14" s="47">
        <v>8</v>
      </c>
      <c r="D14" s="51">
        <v>3</v>
      </c>
      <c r="E14" s="51">
        <v>1</v>
      </c>
      <c r="F14" s="51">
        <v>12</v>
      </c>
      <c r="G14" s="74"/>
      <c r="H14" s="74">
        <f t="shared" si="0"/>
        <v>94.800000000000011</v>
      </c>
      <c r="I14" s="51">
        <v>1</v>
      </c>
      <c r="J14" s="51">
        <v>1</v>
      </c>
      <c r="K14" s="51">
        <v>4</v>
      </c>
      <c r="L14" s="74">
        <f t="shared" si="1"/>
        <v>31.6</v>
      </c>
      <c r="M14" s="51">
        <v>1</v>
      </c>
      <c r="N14" s="51">
        <v>3</v>
      </c>
      <c r="O14" s="51">
        <v>12</v>
      </c>
      <c r="P14" s="74">
        <f t="shared" si="2"/>
        <v>63.599999999999994</v>
      </c>
      <c r="Q14" s="51">
        <v>0</v>
      </c>
      <c r="R14" s="51">
        <v>0</v>
      </c>
      <c r="S14" s="51">
        <v>0</v>
      </c>
      <c r="T14" s="74">
        <f t="shared" si="3"/>
        <v>0</v>
      </c>
      <c r="U14" s="51">
        <v>0</v>
      </c>
      <c r="V14" s="51">
        <v>0</v>
      </c>
      <c r="W14" s="74">
        <v>0</v>
      </c>
      <c r="X14" s="74">
        <f t="shared" si="13"/>
        <v>0</v>
      </c>
      <c r="Y14" s="51">
        <v>0</v>
      </c>
      <c r="Z14" s="51">
        <v>0</v>
      </c>
      <c r="AA14" s="74">
        <v>0</v>
      </c>
      <c r="AB14" s="74">
        <f t="shared" si="4"/>
        <v>0</v>
      </c>
      <c r="AE14" s="74">
        <v>1</v>
      </c>
      <c r="AF14" s="74">
        <f t="shared" si="5"/>
        <v>13.8</v>
      </c>
      <c r="AG14" s="51">
        <v>1</v>
      </c>
      <c r="AH14" s="51">
        <v>6</v>
      </c>
      <c r="AI14" s="81">
        <f t="shared" si="6"/>
        <v>24</v>
      </c>
      <c r="AJ14" s="74">
        <f t="shared" si="7"/>
        <v>105.60000000000001</v>
      </c>
      <c r="AL14" s="51">
        <v>1</v>
      </c>
      <c r="AM14" s="74">
        <v>1</v>
      </c>
      <c r="AN14" s="74">
        <f t="shared" si="8"/>
        <v>0.5</v>
      </c>
      <c r="AO14">
        <f t="shared" si="9"/>
        <v>10.33</v>
      </c>
      <c r="AP14" s="80">
        <f t="shared" si="10"/>
        <v>309.89999999999998</v>
      </c>
      <c r="AQ14" s="80">
        <f t="shared" si="11"/>
        <v>6.0569194444444179</v>
      </c>
      <c r="AR14">
        <f t="shared" si="12"/>
        <v>36.686273156488873</v>
      </c>
    </row>
    <row r="15" spans="1:44" x14ac:dyDescent="0.2">
      <c r="A15" s="48" t="s">
        <v>228</v>
      </c>
      <c r="B15" s="49" t="s">
        <v>465</v>
      </c>
      <c r="C15" s="50">
        <v>9</v>
      </c>
      <c r="D15" s="51">
        <v>3</v>
      </c>
      <c r="E15" s="51">
        <v>1</v>
      </c>
      <c r="F15" s="51">
        <v>12</v>
      </c>
      <c r="G15" s="74"/>
      <c r="H15" s="74">
        <f>$H$2*F15</f>
        <v>94.800000000000011</v>
      </c>
      <c r="I15" s="51">
        <v>1</v>
      </c>
      <c r="J15" s="51">
        <v>1</v>
      </c>
      <c r="K15" s="51">
        <v>4</v>
      </c>
      <c r="L15" s="74">
        <f t="shared" si="1"/>
        <v>31.6</v>
      </c>
      <c r="M15" s="51" t="s">
        <v>537</v>
      </c>
      <c r="O15" s="51">
        <v>1</v>
      </c>
      <c r="P15" s="74">
        <f t="shared" si="2"/>
        <v>5.3</v>
      </c>
      <c r="Q15" s="51">
        <v>0</v>
      </c>
      <c r="R15" s="51">
        <v>0</v>
      </c>
      <c r="S15" s="51">
        <v>0</v>
      </c>
      <c r="T15" s="74">
        <f t="shared" si="3"/>
        <v>0</v>
      </c>
      <c r="U15" s="51" t="s">
        <v>506</v>
      </c>
      <c r="W15" s="74">
        <v>8.3000000000000004E-2</v>
      </c>
      <c r="X15" s="74">
        <f t="shared" si="13"/>
        <v>0.43990000000000001</v>
      </c>
      <c r="Y15" s="51" t="s">
        <v>506</v>
      </c>
      <c r="AA15" s="74">
        <v>8.3000000000000004E-2</v>
      </c>
      <c r="AB15" s="74">
        <f t="shared" si="4"/>
        <v>0.45650000000000002</v>
      </c>
      <c r="AC15" s="51" t="s">
        <v>505</v>
      </c>
      <c r="AE15" s="74">
        <v>0.33</v>
      </c>
      <c r="AF15" s="74">
        <f t="shared" si="5"/>
        <v>4.5540000000000003</v>
      </c>
      <c r="AG15" s="51">
        <v>2</v>
      </c>
      <c r="AH15" s="51">
        <v>1</v>
      </c>
      <c r="AI15" s="81">
        <v>8</v>
      </c>
      <c r="AJ15" s="74">
        <f t="shared" si="7"/>
        <v>35.200000000000003</v>
      </c>
      <c r="AK15" s="51" t="s">
        <v>508</v>
      </c>
      <c r="AM15" s="74">
        <v>0.16</v>
      </c>
      <c r="AN15" s="74">
        <f t="shared" si="8"/>
        <v>0.08</v>
      </c>
      <c r="AO15">
        <f t="shared" si="9"/>
        <v>5.7330166666666669</v>
      </c>
      <c r="AP15" s="80">
        <f t="shared" si="10"/>
        <v>171.9905</v>
      </c>
      <c r="AQ15" s="80">
        <f t="shared" si="11"/>
        <v>-131.85258055555556</v>
      </c>
      <c r="AR15">
        <f t="shared" si="12"/>
        <v>17385.10299915927</v>
      </c>
    </row>
    <row r="16" spans="1:44" x14ac:dyDescent="0.2">
      <c r="A16" s="48" t="s">
        <v>231</v>
      </c>
      <c r="B16" s="49" t="s">
        <v>466</v>
      </c>
      <c r="C16" s="50">
        <v>7</v>
      </c>
      <c r="F16" s="51">
        <v>12</v>
      </c>
      <c r="G16" s="74"/>
      <c r="H16" s="74">
        <f t="shared" si="0"/>
        <v>94.800000000000011</v>
      </c>
      <c r="K16" s="51">
        <v>4</v>
      </c>
      <c r="L16" s="74">
        <f t="shared" si="1"/>
        <v>31.6</v>
      </c>
      <c r="O16" s="51">
        <v>1</v>
      </c>
      <c r="P16" s="74">
        <f t="shared" si="2"/>
        <v>5.3</v>
      </c>
      <c r="Q16" s="51">
        <v>0</v>
      </c>
      <c r="R16" s="51">
        <v>0</v>
      </c>
      <c r="S16" s="51">
        <v>0</v>
      </c>
      <c r="T16" s="74">
        <f t="shared" si="3"/>
        <v>0</v>
      </c>
      <c r="U16" s="51" t="s">
        <v>503</v>
      </c>
      <c r="W16" s="74">
        <v>8.3000000000000004E-2</v>
      </c>
      <c r="X16" s="74">
        <f t="shared" si="13"/>
        <v>0.43990000000000001</v>
      </c>
      <c r="Y16" s="51" t="s">
        <v>503</v>
      </c>
      <c r="AA16" s="74">
        <v>8.3000000000000004E-2</v>
      </c>
      <c r="AB16" s="74">
        <f t="shared" si="4"/>
        <v>0.45650000000000002</v>
      </c>
      <c r="AC16" s="51" t="s">
        <v>509</v>
      </c>
      <c r="AE16" s="74">
        <v>0.33</v>
      </c>
      <c r="AF16" s="74">
        <f t="shared" si="5"/>
        <v>4.5540000000000003</v>
      </c>
      <c r="AG16" s="51">
        <v>2</v>
      </c>
      <c r="AH16" s="51">
        <v>1</v>
      </c>
      <c r="AI16" s="81">
        <v>8</v>
      </c>
      <c r="AJ16" s="74">
        <f t="shared" si="7"/>
        <v>35.200000000000003</v>
      </c>
      <c r="AK16" s="51" t="s">
        <v>510</v>
      </c>
      <c r="AM16" s="74">
        <v>0.16</v>
      </c>
      <c r="AN16" s="74">
        <f t="shared" si="8"/>
        <v>0.08</v>
      </c>
      <c r="AO16">
        <f t="shared" si="9"/>
        <v>5.7330166666666669</v>
      </c>
      <c r="AP16" s="80">
        <f t="shared" si="10"/>
        <v>171.9905</v>
      </c>
      <c r="AQ16" s="80">
        <f t="shared" si="11"/>
        <v>-131.85258055555556</v>
      </c>
      <c r="AR16">
        <f t="shared" si="12"/>
        <v>17385.10299915927</v>
      </c>
    </row>
    <row r="17" spans="1:44" x14ac:dyDescent="0.2">
      <c r="A17" s="48" t="s">
        <v>233</v>
      </c>
      <c r="B17" s="49" t="s">
        <v>467</v>
      </c>
      <c r="C17" s="50">
        <v>7</v>
      </c>
      <c r="F17" s="51">
        <v>12</v>
      </c>
      <c r="G17" s="74"/>
      <c r="H17" s="74">
        <f t="shared" si="0"/>
        <v>94.800000000000011</v>
      </c>
      <c r="K17" s="51">
        <v>4</v>
      </c>
      <c r="L17" s="74">
        <f t="shared" si="1"/>
        <v>31.6</v>
      </c>
      <c r="O17" s="51">
        <v>1</v>
      </c>
      <c r="P17" s="74">
        <f t="shared" si="2"/>
        <v>5.3</v>
      </c>
      <c r="Q17" s="51">
        <v>0</v>
      </c>
      <c r="R17" s="51">
        <v>0</v>
      </c>
      <c r="S17" s="51">
        <v>0</v>
      </c>
      <c r="T17" s="74">
        <f t="shared" si="3"/>
        <v>0</v>
      </c>
      <c r="U17" s="51" t="s">
        <v>504</v>
      </c>
      <c r="W17" s="74">
        <v>8.3000000000000004E-2</v>
      </c>
      <c r="X17" s="74">
        <f t="shared" si="13"/>
        <v>0.43990000000000001</v>
      </c>
      <c r="Y17" s="51" t="s">
        <v>504</v>
      </c>
      <c r="AA17" s="74">
        <v>8.3000000000000004E-2</v>
      </c>
      <c r="AB17" s="74">
        <f t="shared" si="4"/>
        <v>0.45650000000000002</v>
      </c>
      <c r="AC17" s="51" t="s">
        <v>511</v>
      </c>
      <c r="AE17" s="74">
        <v>0.33</v>
      </c>
      <c r="AF17" s="74">
        <f t="shared" si="5"/>
        <v>4.5540000000000003</v>
      </c>
      <c r="AG17" s="51">
        <v>2</v>
      </c>
      <c r="AH17" s="51">
        <v>1</v>
      </c>
      <c r="AI17" s="81">
        <v>8</v>
      </c>
      <c r="AJ17" s="74">
        <f t="shared" si="7"/>
        <v>35.200000000000003</v>
      </c>
      <c r="AK17" s="51" t="s">
        <v>512</v>
      </c>
      <c r="AM17" s="74">
        <v>0.16</v>
      </c>
      <c r="AN17" s="74">
        <f t="shared" si="8"/>
        <v>0.08</v>
      </c>
      <c r="AO17">
        <f t="shared" si="9"/>
        <v>5.7330166666666669</v>
      </c>
      <c r="AP17" s="80">
        <f t="shared" si="10"/>
        <v>171.9905</v>
      </c>
      <c r="AQ17" s="80">
        <f t="shared" si="11"/>
        <v>-131.85258055555556</v>
      </c>
      <c r="AR17">
        <f t="shared" si="12"/>
        <v>17385.10299915927</v>
      </c>
    </row>
    <row r="18" spans="1:44" x14ac:dyDescent="0.2">
      <c r="A18" s="45" t="s">
        <v>240</v>
      </c>
      <c r="B18" s="46" t="s">
        <v>468</v>
      </c>
      <c r="C18" s="47">
        <v>10</v>
      </c>
      <c r="D18" s="51">
        <v>3</v>
      </c>
      <c r="E18" s="51">
        <v>2</v>
      </c>
      <c r="F18" s="51">
        <v>24</v>
      </c>
      <c r="G18" s="74"/>
      <c r="H18" s="74">
        <f t="shared" si="0"/>
        <v>189.60000000000002</v>
      </c>
      <c r="I18" s="51">
        <v>2</v>
      </c>
      <c r="J18" s="51">
        <v>2</v>
      </c>
      <c r="K18" s="51">
        <v>16</v>
      </c>
      <c r="L18" s="74">
        <f t="shared" si="1"/>
        <v>126.4</v>
      </c>
      <c r="M18" s="51" t="s">
        <v>538</v>
      </c>
      <c r="N18" s="51">
        <v>1</v>
      </c>
      <c r="O18" s="51">
        <v>30</v>
      </c>
      <c r="P18" s="74">
        <f t="shared" si="2"/>
        <v>159</v>
      </c>
      <c r="Q18" s="51">
        <v>0</v>
      </c>
      <c r="R18" s="51">
        <v>0</v>
      </c>
      <c r="S18" s="51">
        <v>0</v>
      </c>
      <c r="T18" s="74">
        <f t="shared" si="3"/>
        <v>0</v>
      </c>
      <c r="U18" s="51" t="s">
        <v>506</v>
      </c>
      <c r="W18" s="74">
        <v>8.3000000000000004E-2</v>
      </c>
      <c r="X18" s="74">
        <f t="shared" si="13"/>
        <v>0.43990000000000001</v>
      </c>
      <c r="Y18" s="51">
        <v>0</v>
      </c>
      <c r="Z18" s="51">
        <v>0</v>
      </c>
      <c r="AA18" s="74">
        <v>0</v>
      </c>
      <c r="AB18" s="74">
        <f t="shared" si="4"/>
        <v>0</v>
      </c>
      <c r="AC18" s="51">
        <v>1</v>
      </c>
      <c r="AD18" s="51">
        <v>2</v>
      </c>
      <c r="AE18" s="74"/>
      <c r="AF18" s="74">
        <f t="shared" si="5"/>
        <v>0</v>
      </c>
      <c r="AG18" s="51">
        <v>3</v>
      </c>
      <c r="AH18" s="51">
        <v>1</v>
      </c>
      <c r="AI18" s="81">
        <v>12</v>
      </c>
      <c r="AJ18" s="74">
        <f t="shared" si="7"/>
        <v>52.800000000000004</v>
      </c>
      <c r="AK18" s="51" t="s">
        <v>506</v>
      </c>
      <c r="AL18" s="51">
        <v>3</v>
      </c>
      <c r="AM18" s="74">
        <v>0.2</v>
      </c>
      <c r="AN18" s="74">
        <f t="shared" si="8"/>
        <v>0.1</v>
      </c>
      <c r="AO18">
        <f t="shared" si="9"/>
        <v>17.596666666666671</v>
      </c>
      <c r="AP18" s="80">
        <f t="shared" si="10"/>
        <v>527.90000000000009</v>
      </c>
      <c r="AQ18" s="80">
        <f t="shared" si="11"/>
        <v>224.05691944444453</v>
      </c>
      <c r="AR18">
        <f t="shared" si="12"/>
        <v>50201.503150934303</v>
      </c>
    </row>
    <row r="19" spans="1:44" x14ac:dyDescent="0.2">
      <c r="A19" s="45" t="s">
        <v>245</v>
      </c>
      <c r="B19" s="46" t="s">
        <v>469</v>
      </c>
      <c r="C19" s="47">
        <v>6</v>
      </c>
      <c r="D19" s="51">
        <v>2</v>
      </c>
      <c r="E19" s="51">
        <v>1</v>
      </c>
      <c r="F19" s="51">
        <v>8</v>
      </c>
      <c r="G19" s="74"/>
      <c r="H19" s="74">
        <f t="shared" si="0"/>
        <v>63.2</v>
      </c>
      <c r="I19" s="51">
        <v>0</v>
      </c>
      <c r="J19" s="51">
        <v>0</v>
      </c>
      <c r="K19" s="51">
        <v>0</v>
      </c>
      <c r="L19" s="74">
        <f t="shared" si="1"/>
        <v>0</v>
      </c>
      <c r="M19" s="51">
        <v>0</v>
      </c>
      <c r="N19" s="51">
        <v>0</v>
      </c>
      <c r="O19" s="51">
        <v>0</v>
      </c>
      <c r="P19" s="74">
        <f t="shared" si="2"/>
        <v>0</v>
      </c>
      <c r="Q19" s="51">
        <v>0</v>
      </c>
      <c r="R19" s="51">
        <v>0</v>
      </c>
      <c r="S19" s="51">
        <v>0</v>
      </c>
      <c r="T19" s="74">
        <f t="shared" si="3"/>
        <v>0</v>
      </c>
      <c r="U19" s="51">
        <v>0</v>
      </c>
      <c r="W19" s="74">
        <v>0</v>
      </c>
      <c r="X19" s="74">
        <f t="shared" si="13"/>
        <v>0</v>
      </c>
      <c r="AA19" s="74">
        <v>0</v>
      </c>
      <c r="AB19" s="74">
        <f t="shared" si="4"/>
        <v>0</v>
      </c>
      <c r="AC19" s="51" t="s">
        <v>513</v>
      </c>
      <c r="AE19" s="74">
        <v>1</v>
      </c>
      <c r="AF19" s="74">
        <f t="shared" si="5"/>
        <v>13.8</v>
      </c>
      <c r="AG19" s="51">
        <v>3</v>
      </c>
      <c r="AH19" s="51">
        <v>2</v>
      </c>
      <c r="AI19" s="81">
        <v>24</v>
      </c>
      <c r="AJ19" s="74">
        <f t="shared" si="7"/>
        <v>105.60000000000001</v>
      </c>
      <c r="AK19" s="51">
        <v>0</v>
      </c>
      <c r="AL19" s="51">
        <v>0</v>
      </c>
      <c r="AM19" s="74">
        <v>0</v>
      </c>
      <c r="AN19" s="74">
        <f t="shared" si="8"/>
        <v>0</v>
      </c>
      <c r="AO19">
        <f t="shared" si="9"/>
        <v>6.0866666666666678</v>
      </c>
      <c r="AP19" s="80">
        <f t="shared" si="10"/>
        <v>182.60000000000002</v>
      </c>
      <c r="AQ19" s="80">
        <f t="shared" si="11"/>
        <v>-121.24308055555554</v>
      </c>
      <c r="AR19">
        <f t="shared" si="12"/>
        <v>14699.884582600929</v>
      </c>
    </row>
    <row r="20" spans="1:44" x14ac:dyDescent="0.2">
      <c r="A20" s="51" t="s">
        <v>265</v>
      </c>
      <c r="B20" s="51" t="s">
        <v>471</v>
      </c>
      <c r="C20" s="51">
        <v>6</v>
      </c>
      <c r="D20" s="51">
        <v>1</v>
      </c>
      <c r="E20" s="51">
        <v>1</v>
      </c>
      <c r="F20" s="51">
        <v>4</v>
      </c>
      <c r="G20" s="74"/>
      <c r="H20" s="74">
        <f t="shared" si="0"/>
        <v>31.6</v>
      </c>
      <c r="I20" s="51">
        <v>0</v>
      </c>
      <c r="J20" s="51">
        <v>0</v>
      </c>
      <c r="K20" s="51">
        <v>0</v>
      </c>
      <c r="L20" s="74">
        <f t="shared" si="1"/>
        <v>0</v>
      </c>
      <c r="M20" s="51">
        <v>0</v>
      </c>
      <c r="N20" s="51">
        <v>0</v>
      </c>
      <c r="O20" s="51">
        <v>0</v>
      </c>
      <c r="P20" s="74">
        <f t="shared" si="2"/>
        <v>0</v>
      </c>
      <c r="Q20" s="51">
        <v>0</v>
      </c>
      <c r="R20" s="51">
        <v>0</v>
      </c>
      <c r="S20" s="51">
        <v>0</v>
      </c>
      <c r="T20" s="74">
        <f t="shared" si="3"/>
        <v>0</v>
      </c>
      <c r="U20" s="51">
        <v>0</v>
      </c>
      <c r="V20" s="51">
        <v>0</v>
      </c>
      <c r="W20" s="74">
        <f>((U20*V20)*4)</f>
        <v>0</v>
      </c>
      <c r="X20" s="74">
        <f t="shared" si="13"/>
        <v>0</v>
      </c>
      <c r="Y20" s="51">
        <v>0</v>
      </c>
      <c r="Z20" s="51">
        <v>0</v>
      </c>
      <c r="AA20" s="74">
        <v>0</v>
      </c>
      <c r="AB20" s="74">
        <f t="shared" si="4"/>
        <v>0</v>
      </c>
      <c r="AC20" s="51">
        <v>1</v>
      </c>
      <c r="AD20" s="51">
        <v>1</v>
      </c>
      <c r="AE20" s="74">
        <f>((AC20*AD20)*4)</f>
        <v>4</v>
      </c>
      <c r="AF20" s="74">
        <f t="shared" si="5"/>
        <v>55.2</v>
      </c>
      <c r="AG20" s="51">
        <v>2</v>
      </c>
      <c r="AH20" s="51">
        <v>1</v>
      </c>
      <c r="AI20" s="81">
        <f>(AG20*AH20)*4</f>
        <v>8</v>
      </c>
      <c r="AJ20" s="74">
        <f t="shared" si="7"/>
        <v>35.200000000000003</v>
      </c>
      <c r="AK20" s="51">
        <v>0</v>
      </c>
      <c r="AL20" s="51">
        <v>0</v>
      </c>
      <c r="AM20" s="74">
        <v>0</v>
      </c>
      <c r="AN20" s="74">
        <f t="shared" si="8"/>
        <v>0</v>
      </c>
      <c r="AO20">
        <f t="shared" si="9"/>
        <v>4.0666666666666664</v>
      </c>
      <c r="AP20" s="80">
        <f t="shared" si="10"/>
        <v>122</v>
      </c>
      <c r="AQ20" s="80">
        <f t="shared" si="11"/>
        <v>-181.84308055555556</v>
      </c>
      <c r="AR20">
        <f t="shared" si="12"/>
        <v>33066.905945934268</v>
      </c>
    </row>
    <row r="21" spans="1:44" x14ac:dyDescent="0.2">
      <c r="G21" s="74"/>
      <c r="H21" s="74"/>
      <c r="L21" s="74"/>
      <c r="P21" s="74"/>
      <c r="T21" s="74"/>
      <c r="W21" s="74"/>
      <c r="X21" s="74"/>
      <c r="AA21" s="74"/>
      <c r="AB21" s="74"/>
      <c r="AE21" s="74"/>
      <c r="AF21" s="74"/>
      <c r="AI21" s="81"/>
      <c r="AJ21" s="74"/>
      <c r="AM21" s="74"/>
      <c r="AN21" s="74"/>
      <c r="AP21" s="80"/>
      <c r="AQ21" s="80"/>
    </row>
    <row r="22" spans="1:44" ht="25" x14ac:dyDescent="0.2">
      <c r="A22" s="27" t="s">
        <v>525</v>
      </c>
      <c r="B22" s="27"/>
      <c r="C22" s="27"/>
      <c r="D22" s="64" t="s">
        <v>24</v>
      </c>
      <c r="E22" s="53"/>
      <c r="F22" s="65"/>
      <c r="G22" s="66"/>
      <c r="H22" s="66"/>
      <c r="I22" s="64" t="s">
        <v>500</v>
      </c>
      <c r="J22" s="64"/>
      <c r="K22" s="64"/>
      <c r="L22" s="67"/>
      <c r="M22" s="64" t="s">
        <v>528</v>
      </c>
      <c r="N22" s="53"/>
      <c r="O22" s="65"/>
      <c r="P22" s="65"/>
      <c r="Q22" s="64" t="s">
        <v>530</v>
      </c>
      <c r="R22" s="53"/>
      <c r="S22" s="65"/>
      <c r="T22" s="66"/>
      <c r="U22" s="64" t="s">
        <v>387</v>
      </c>
      <c r="V22" s="53"/>
      <c r="W22" s="65"/>
      <c r="X22" s="66"/>
      <c r="Y22" s="64" t="s">
        <v>389</v>
      </c>
      <c r="Z22" s="53"/>
      <c r="AA22" s="65"/>
      <c r="AB22" s="65"/>
      <c r="AC22" s="64" t="s">
        <v>26</v>
      </c>
      <c r="AD22" s="53"/>
      <c r="AE22" s="65"/>
      <c r="AF22" s="66"/>
      <c r="AG22" s="64" t="s">
        <v>27</v>
      </c>
      <c r="AH22" s="53"/>
      <c r="AI22" s="65"/>
      <c r="AJ22" s="66"/>
      <c r="AK22" s="64" t="s">
        <v>28</v>
      </c>
      <c r="AL22" s="53"/>
      <c r="AM22" s="65"/>
      <c r="AN22" s="66"/>
      <c r="AO22" s="27"/>
      <c r="AP22" s="79"/>
      <c r="AQ22" s="80"/>
    </row>
    <row r="23" spans="1:44" ht="25" x14ac:dyDescent="0.2">
      <c r="A23" s="27"/>
      <c r="B23" s="27"/>
      <c r="C23" s="27"/>
      <c r="D23" s="64" t="s">
        <v>516</v>
      </c>
      <c r="E23" s="53"/>
      <c r="F23" s="27"/>
      <c r="G23" s="65"/>
      <c r="H23" s="65">
        <v>7.9</v>
      </c>
      <c r="I23" s="64" t="s">
        <v>517</v>
      </c>
      <c r="J23" s="64"/>
      <c r="K23" s="64"/>
      <c r="L23" s="67">
        <v>7.9</v>
      </c>
      <c r="M23" s="64" t="s">
        <v>531</v>
      </c>
      <c r="N23" s="53"/>
      <c r="O23" s="65"/>
      <c r="P23" s="65">
        <v>5.3</v>
      </c>
      <c r="Q23" s="64" t="s">
        <v>532</v>
      </c>
      <c r="R23" s="53"/>
      <c r="S23" s="27"/>
      <c r="T23" s="65"/>
      <c r="U23" s="64" t="s">
        <v>390</v>
      </c>
      <c r="V23" s="53"/>
      <c r="W23" s="27"/>
      <c r="X23" s="65">
        <v>4.5</v>
      </c>
      <c r="Y23" s="64" t="s">
        <v>390</v>
      </c>
      <c r="Z23" s="53"/>
      <c r="AA23" s="65"/>
      <c r="AB23" s="65">
        <v>5.5</v>
      </c>
      <c r="AC23" s="64" t="s">
        <v>391</v>
      </c>
      <c r="AD23" s="53"/>
      <c r="AE23" s="65"/>
      <c r="AF23" s="84">
        <v>13.8</v>
      </c>
      <c r="AG23" s="64" t="s">
        <v>392</v>
      </c>
      <c r="AH23" s="53"/>
      <c r="AI23" s="65"/>
      <c r="AJ23" s="66">
        <v>4.4000000000000004</v>
      </c>
      <c r="AK23" s="64" t="s">
        <v>501</v>
      </c>
      <c r="AL23" s="53"/>
      <c r="AM23" s="65"/>
      <c r="AN23" s="66">
        <v>0.5</v>
      </c>
      <c r="AO23" s="27"/>
      <c r="AP23" s="79"/>
      <c r="AQ23" s="80"/>
    </row>
    <row r="24" spans="1:44" x14ac:dyDescent="0.2">
      <c r="A24" s="28" t="s">
        <v>176</v>
      </c>
      <c r="B24" s="28" t="s">
        <v>381</v>
      </c>
      <c r="C24" s="28" t="s">
        <v>382</v>
      </c>
      <c r="D24" s="75" t="s">
        <v>383</v>
      </c>
      <c r="E24" s="76" t="s">
        <v>384</v>
      </c>
      <c r="F24" s="77" t="s">
        <v>385</v>
      </c>
      <c r="G24" s="77"/>
      <c r="H24" s="77" t="s">
        <v>446</v>
      </c>
      <c r="I24" s="75" t="s">
        <v>383</v>
      </c>
      <c r="J24" s="76" t="s">
        <v>384</v>
      </c>
      <c r="K24" s="77" t="s">
        <v>385</v>
      </c>
      <c r="L24" s="77" t="s">
        <v>446</v>
      </c>
      <c r="M24" s="75" t="s">
        <v>383</v>
      </c>
      <c r="N24" s="76" t="s">
        <v>384</v>
      </c>
      <c r="O24" s="77" t="s">
        <v>385</v>
      </c>
      <c r="P24" s="78" t="s">
        <v>446</v>
      </c>
      <c r="Q24" s="75" t="s">
        <v>383</v>
      </c>
      <c r="R24" s="76" t="s">
        <v>384</v>
      </c>
      <c r="S24" s="77" t="s">
        <v>385</v>
      </c>
      <c r="T24" s="77">
        <v>4.3</v>
      </c>
      <c r="U24" s="75" t="s">
        <v>383</v>
      </c>
      <c r="V24" s="76" t="s">
        <v>384</v>
      </c>
      <c r="W24" s="77" t="s">
        <v>385</v>
      </c>
      <c r="X24" s="77" t="s">
        <v>446</v>
      </c>
      <c r="Y24" s="75" t="s">
        <v>383</v>
      </c>
      <c r="Z24" s="76" t="s">
        <v>384</v>
      </c>
      <c r="AA24" s="77" t="s">
        <v>385</v>
      </c>
      <c r="AB24" s="78" t="s">
        <v>502</v>
      </c>
      <c r="AC24" s="75" t="s">
        <v>383</v>
      </c>
      <c r="AD24" s="76" t="s">
        <v>384</v>
      </c>
      <c r="AE24" s="77" t="s">
        <v>385</v>
      </c>
      <c r="AF24" s="78" t="s">
        <v>533</v>
      </c>
      <c r="AG24" s="75" t="s">
        <v>383</v>
      </c>
      <c r="AH24" s="76" t="s">
        <v>384</v>
      </c>
      <c r="AI24" s="77" t="s">
        <v>393</v>
      </c>
      <c r="AJ24" s="78" t="s">
        <v>502</v>
      </c>
      <c r="AK24" s="75" t="s">
        <v>383</v>
      </c>
      <c r="AL24" s="76" t="s">
        <v>384</v>
      </c>
      <c r="AM24" s="77" t="s">
        <v>385</v>
      </c>
      <c r="AN24" s="78" t="s">
        <v>502</v>
      </c>
      <c r="AO24" s="27"/>
      <c r="AP24" s="79"/>
      <c r="AQ24" s="80"/>
    </row>
    <row r="25" spans="1:44" x14ac:dyDescent="0.2">
      <c r="A25" s="52" t="s">
        <v>475</v>
      </c>
      <c r="B25" s="53" t="s">
        <v>476</v>
      </c>
      <c r="C25" s="54">
        <v>8</v>
      </c>
      <c r="D25" s="51" t="s">
        <v>518</v>
      </c>
      <c r="E25" s="51">
        <v>1</v>
      </c>
      <c r="F25" s="51">
        <v>0.16</v>
      </c>
      <c r="G25" s="74"/>
      <c r="H25" s="74">
        <f t="shared" ref="H25:H43" si="16">(H$23*F25)</f>
        <v>1.264</v>
      </c>
      <c r="I25" s="51">
        <v>0</v>
      </c>
      <c r="J25" s="51">
        <v>0</v>
      </c>
      <c r="K25" s="51">
        <v>0</v>
      </c>
      <c r="L25" s="74">
        <f t="shared" ref="L25:L43" si="17">(L$23*K25)</f>
        <v>0</v>
      </c>
      <c r="M25" s="51" t="s">
        <v>539</v>
      </c>
      <c r="N25" s="51">
        <v>1</v>
      </c>
      <c r="O25" s="51">
        <v>30</v>
      </c>
      <c r="P25" s="74">
        <f t="shared" ref="P25:P43" si="18">(P$23*O25)</f>
        <v>159</v>
      </c>
      <c r="Q25" s="51">
        <v>0</v>
      </c>
      <c r="R25" s="51">
        <v>0</v>
      </c>
      <c r="S25" s="51">
        <v>0</v>
      </c>
      <c r="T25" s="74">
        <f t="shared" ref="T25:T43" si="19">(T$24*S25)</f>
        <v>0</v>
      </c>
      <c r="U25" s="51" t="s">
        <v>506</v>
      </c>
      <c r="W25" s="74">
        <v>0</v>
      </c>
      <c r="X25" s="74">
        <f t="shared" ref="X25:X43" si="20">W25*$P$2</f>
        <v>0</v>
      </c>
      <c r="Y25" s="51" t="s">
        <v>506</v>
      </c>
      <c r="AA25" s="74">
        <v>8.3000000000000004E-2</v>
      </c>
      <c r="AB25" s="74">
        <f t="shared" ref="AB25:AB43" si="21">(AB$2*AA25)</f>
        <v>0.45650000000000002</v>
      </c>
      <c r="AC25" s="51" t="s">
        <v>519</v>
      </c>
      <c r="AD25" s="51">
        <v>2</v>
      </c>
      <c r="AE25" s="74">
        <v>4</v>
      </c>
      <c r="AF25" s="74">
        <f t="shared" ref="AF25:AF43" si="22">(AF$2*AE25)</f>
        <v>55.2</v>
      </c>
      <c r="AG25" s="51" t="s">
        <v>520</v>
      </c>
      <c r="AH25" s="51">
        <v>2</v>
      </c>
      <c r="AI25" s="81">
        <v>4</v>
      </c>
      <c r="AJ25" s="74">
        <f t="shared" ref="AJ25:AJ43" si="23">(AJ$2*AI25)</f>
        <v>17.600000000000001</v>
      </c>
      <c r="AK25" s="51" t="s">
        <v>507</v>
      </c>
      <c r="AM25" s="74">
        <v>0.16</v>
      </c>
      <c r="AN25" s="74">
        <f t="shared" ref="AN25:AN43" si="24">(AN$2*AM25)</f>
        <v>0.08</v>
      </c>
      <c r="AO25">
        <f t="shared" ref="AO25:AO43" si="25">AP25/30</f>
        <v>7.7866833333333334</v>
      </c>
      <c r="AP25" s="80">
        <f t="shared" ref="AP25:AP43" si="26">(AN25+AJ25+AF25+AB25+T25+P25+L25+H25)</f>
        <v>233.60050000000001</v>
      </c>
      <c r="AQ25" s="80">
        <f t="shared" si="11"/>
        <v>-70.242580555555548</v>
      </c>
      <c r="AR25">
        <f t="shared" si="12"/>
        <v>4934.0201231037108</v>
      </c>
    </row>
    <row r="26" spans="1:44" x14ac:dyDescent="0.2">
      <c r="A26" s="52" t="s">
        <v>177</v>
      </c>
      <c r="B26" s="53" t="s">
        <v>477</v>
      </c>
      <c r="C26" s="54">
        <v>6</v>
      </c>
      <c r="D26" s="51" t="s">
        <v>510</v>
      </c>
      <c r="E26" s="51">
        <v>1</v>
      </c>
      <c r="F26" s="51">
        <v>0.16</v>
      </c>
      <c r="G26" s="74"/>
      <c r="H26" s="74">
        <f t="shared" si="16"/>
        <v>1.264</v>
      </c>
      <c r="I26" s="51">
        <v>0</v>
      </c>
      <c r="J26" s="51">
        <v>0</v>
      </c>
      <c r="K26" s="51">
        <v>0</v>
      </c>
      <c r="L26" s="74">
        <f t="shared" si="17"/>
        <v>0</v>
      </c>
      <c r="M26" s="51" t="s">
        <v>539</v>
      </c>
      <c r="N26" s="51">
        <v>1</v>
      </c>
      <c r="O26" s="51">
        <v>30</v>
      </c>
      <c r="P26" s="74">
        <f t="shared" si="18"/>
        <v>159</v>
      </c>
      <c r="Q26" s="51">
        <v>0</v>
      </c>
      <c r="R26" s="51">
        <v>0</v>
      </c>
      <c r="S26" s="51">
        <v>0</v>
      </c>
      <c r="T26" s="74">
        <f t="shared" si="19"/>
        <v>0</v>
      </c>
      <c r="U26" s="51" t="s">
        <v>506</v>
      </c>
      <c r="W26" s="74">
        <v>8.3000000000000004E-2</v>
      </c>
      <c r="X26" s="74">
        <f t="shared" si="20"/>
        <v>0.43990000000000001</v>
      </c>
      <c r="Y26" s="51" t="s">
        <v>506</v>
      </c>
      <c r="AA26" s="74">
        <v>8.3000000000000004E-2</v>
      </c>
      <c r="AB26" s="74">
        <f t="shared" si="21"/>
        <v>0.45650000000000002</v>
      </c>
      <c r="AC26" s="51" t="s">
        <v>519</v>
      </c>
      <c r="AD26" s="51">
        <v>2</v>
      </c>
      <c r="AE26" s="74">
        <v>4</v>
      </c>
      <c r="AF26" s="74">
        <f t="shared" si="22"/>
        <v>55.2</v>
      </c>
      <c r="AG26" s="51" t="s">
        <v>519</v>
      </c>
      <c r="AH26" s="51">
        <v>2</v>
      </c>
      <c r="AI26" s="81">
        <v>4</v>
      </c>
      <c r="AJ26" s="74">
        <f t="shared" si="23"/>
        <v>17.600000000000001</v>
      </c>
      <c r="AK26" s="51" t="s">
        <v>507</v>
      </c>
      <c r="AM26" s="74">
        <v>0.16</v>
      </c>
      <c r="AN26" s="74">
        <f t="shared" si="24"/>
        <v>0.08</v>
      </c>
      <c r="AO26">
        <f t="shared" si="25"/>
        <v>7.7866833333333334</v>
      </c>
      <c r="AP26" s="80">
        <f t="shared" si="26"/>
        <v>233.60050000000001</v>
      </c>
      <c r="AQ26" s="80">
        <f t="shared" si="11"/>
        <v>-70.242580555555548</v>
      </c>
      <c r="AR26">
        <f t="shared" si="12"/>
        <v>4934.0201231037108</v>
      </c>
    </row>
    <row r="27" spans="1:44" x14ac:dyDescent="0.2">
      <c r="A27" s="55" t="s">
        <v>180</v>
      </c>
      <c r="B27" s="27" t="s">
        <v>478</v>
      </c>
      <c r="C27" s="56">
        <v>10</v>
      </c>
      <c r="D27" s="51">
        <v>2</v>
      </c>
      <c r="E27" s="51">
        <v>1</v>
      </c>
      <c r="F27" s="51">
        <v>8</v>
      </c>
      <c r="G27" s="74"/>
      <c r="H27" s="74">
        <f t="shared" si="16"/>
        <v>63.2</v>
      </c>
      <c r="I27" s="51">
        <v>3</v>
      </c>
      <c r="J27" s="51">
        <v>1</v>
      </c>
      <c r="K27" s="51">
        <v>12</v>
      </c>
      <c r="L27" s="74">
        <f t="shared" si="17"/>
        <v>94.800000000000011</v>
      </c>
      <c r="M27" s="51" t="s">
        <v>539</v>
      </c>
      <c r="N27" s="51">
        <v>3</v>
      </c>
      <c r="O27" s="51">
        <v>90</v>
      </c>
      <c r="P27" s="74">
        <f t="shared" si="18"/>
        <v>477</v>
      </c>
      <c r="Q27" s="51">
        <v>0</v>
      </c>
      <c r="R27" s="51">
        <v>0</v>
      </c>
      <c r="S27" s="51">
        <v>0</v>
      </c>
      <c r="T27" s="74">
        <f t="shared" si="19"/>
        <v>0</v>
      </c>
      <c r="U27" s="51" t="s">
        <v>521</v>
      </c>
      <c r="V27" s="51">
        <v>1</v>
      </c>
      <c r="W27" s="74">
        <v>0.5</v>
      </c>
      <c r="X27" s="74">
        <f t="shared" si="20"/>
        <v>2.65</v>
      </c>
      <c r="Y27" s="51" t="s">
        <v>521</v>
      </c>
      <c r="Z27" s="51">
        <v>1</v>
      </c>
      <c r="AA27" s="74">
        <v>0.5</v>
      </c>
      <c r="AB27" s="74">
        <f t="shared" si="21"/>
        <v>2.75</v>
      </c>
      <c r="AC27" s="51">
        <v>1</v>
      </c>
      <c r="AD27" s="51">
        <v>1</v>
      </c>
      <c r="AE27" s="74">
        <v>4</v>
      </c>
      <c r="AF27" s="74">
        <f t="shared" si="22"/>
        <v>55.2</v>
      </c>
      <c r="AG27" s="51">
        <v>1</v>
      </c>
      <c r="AH27" s="51">
        <v>1</v>
      </c>
      <c r="AI27" s="81">
        <v>4</v>
      </c>
      <c r="AJ27" s="74">
        <f t="shared" si="23"/>
        <v>17.600000000000001</v>
      </c>
      <c r="AK27" s="51" t="s">
        <v>507</v>
      </c>
      <c r="AM27" s="74">
        <v>0.16</v>
      </c>
      <c r="AN27" s="74">
        <f t="shared" si="24"/>
        <v>0.08</v>
      </c>
      <c r="AO27">
        <f t="shared" si="25"/>
        <v>23.687666666666669</v>
      </c>
      <c r="AP27" s="80">
        <f t="shared" si="26"/>
        <v>710.63000000000011</v>
      </c>
      <c r="AQ27" s="80">
        <f t="shared" si="11"/>
        <v>406.78691944444455</v>
      </c>
      <c r="AR27">
        <f t="shared" si="12"/>
        <v>165475.59783110101</v>
      </c>
    </row>
    <row r="28" spans="1:44" x14ac:dyDescent="0.2">
      <c r="A28" s="55" t="s">
        <v>182</v>
      </c>
      <c r="B28" s="27" t="s">
        <v>479</v>
      </c>
      <c r="C28" s="56">
        <v>6</v>
      </c>
      <c r="D28" s="51">
        <v>2</v>
      </c>
      <c r="E28" s="51">
        <v>1</v>
      </c>
      <c r="F28" s="51">
        <v>8</v>
      </c>
      <c r="G28" s="74"/>
      <c r="H28" s="74">
        <f t="shared" si="16"/>
        <v>63.2</v>
      </c>
      <c r="I28" s="51">
        <v>3</v>
      </c>
      <c r="J28" s="51">
        <v>1</v>
      </c>
      <c r="K28" s="51">
        <v>12</v>
      </c>
      <c r="L28" s="74">
        <f t="shared" si="17"/>
        <v>94.800000000000011</v>
      </c>
      <c r="M28" s="51" t="s">
        <v>539</v>
      </c>
      <c r="N28" s="51">
        <v>3</v>
      </c>
      <c r="O28" s="51">
        <v>90</v>
      </c>
      <c r="P28" s="74">
        <f t="shared" si="18"/>
        <v>477</v>
      </c>
      <c r="Q28" s="51">
        <v>0</v>
      </c>
      <c r="R28" s="51">
        <v>0</v>
      </c>
      <c r="S28" s="51">
        <v>0</v>
      </c>
      <c r="T28" s="74">
        <f t="shared" si="19"/>
        <v>0</v>
      </c>
      <c r="U28" s="51" t="s">
        <v>521</v>
      </c>
      <c r="V28" s="51">
        <v>1</v>
      </c>
      <c r="W28" s="74">
        <v>0.5</v>
      </c>
      <c r="X28" s="74">
        <f t="shared" si="20"/>
        <v>2.65</v>
      </c>
      <c r="Y28" s="51" t="s">
        <v>521</v>
      </c>
      <c r="Z28" s="51">
        <v>1</v>
      </c>
      <c r="AA28" s="74">
        <v>0.5</v>
      </c>
      <c r="AB28" s="74">
        <f t="shared" si="21"/>
        <v>2.75</v>
      </c>
      <c r="AC28" s="51">
        <v>1</v>
      </c>
      <c r="AD28" s="51">
        <v>1</v>
      </c>
      <c r="AE28" s="74">
        <v>4</v>
      </c>
      <c r="AF28" s="74">
        <f t="shared" si="22"/>
        <v>55.2</v>
      </c>
      <c r="AG28" s="51">
        <v>1</v>
      </c>
      <c r="AH28" s="51">
        <v>1</v>
      </c>
      <c r="AI28" s="81">
        <v>4</v>
      </c>
      <c r="AJ28" s="74">
        <f t="shared" si="23"/>
        <v>17.600000000000001</v>
      </c>
      <c r="AK28" s="51" t="s">
        <v>507</v>
      </c>
      <c r="AM28" s="74">
        <v>0.16</v>
      </c>
      <c r="AN28" s="74">
        <f t="shared" si="24"/>
        <v>0.08</v>
      </c>
      <c r="AO28">
        <f t="shared" si="25"/>
        <v>23.687666666666669</v>
      </c>
      <c r="AP28" s="80">
        <f t="shared" si="26"/>
        <v>710.63000000000011</v>
      </c>
      <c r="AQ28" s="80">
        <f t="shared" si="11"/>
        <v>406.78691944444455</v>
      </c>
      <c r="AR28">
        <f t="shared" si="12"/>
        <v>165475.59783110101</v>
      </c>
    </row>
    <row r="29" spans="1:44" x14ac:dyDescent="0.2">
      <c r="A29" s="32" t="s">
        <v>214</v>
      </c>
      <c r="B29" s="33" t="s">
        <v>480</v>
      </c>
      <c r="C29" s="56">
        <v>10</v>
      </c>
      <c r="D29" s="51">
        <v>1</v>
      </c>
      <c r="E29" s="51">
        <v>1</v>
      </c>
      <c r="F29" s="51">
        <v>4</v>
      </c>
      <c r="G29" s="74"/>
      <c r="H29" s="74">
        <f t="shared" si="16"/>
        <v>31.6</v>
      </c>
      <c r="I29" s="51">
        <v>1</v>
      </c>
      <c r="J29" s="51">
        <v>1</v>
      </c>
      <c r="K29" s="51">
        <v>4</v>
      </c>
      <c r="L29" s="74">
        <f t="shared" si="17"/>
        <v>31.6</v>
      </c>
      <c r="M29" s="51" t="s">
        <v>539</v>
      </c>
      <c r="N29" s="51" t="s">
        <v>540</v>
      </c>
      <c r="O29" s="51">
        <v>16</v>
      </c>
      <c r="P29" s="74">
        <f t="shared" si="18"/>
        <v>84.8</v>
      </c>
      <c r="Q29" s="51">
        <v>0</v>
      </c>
      <c r="R29" s="51">
        <v>0</v>
      </c>
      <c r="S29" s="51">
        <v>0</v>
      </c>
      <c r="T29" s="74">
        <f t="shared" si="19"/>
        <v>0</v>
      </c>
      <c r="U29" s="51" t="s">
        <v>513</v>
      </c>
      <c r="W29" s="74">
        <v>1</v>
      </c>
      <c r="X29" s="74">
        <f t="shared" si="20"/>
        <v>5.3</v>
      </c>
      <c r="AA29" s="74">
        <v>1</v>
      </c>
      <c r="AB29" s="74">
        <f t="shared" si="21"/>
        <v>5.5</v>
      </c>
      <c r="AC29" s="51">
        <v>1</v>
      </c>
      <c r="AD29" s="51">
        <v>1</v>
      </c>
      <c r="AE29" s="74">
        <v>4</v>
      </c>
      <c r="AF29" s="74">
        <f t="shared" si="22"/>
        <v>55.2</v>
      </c>
      <c r="AG29" s="51">
        <v>3</v>
      </c>
      <c r="AH29" s="51">
        <v>1</v>
      </c>
      <c r="AI29" s="81">
        <v>12</v>
      </c>
      <c r="AJ29" s="74">
        <f t="shared" si="23"/>
        <v>52.800000000000004</v>
      </c>
      <c r="AK29" s="51">
        <v>1</v>
      </c>
      <c r="AL29" s="51">
        <v>1</v>
      </c>
      <c r="AM29" s="74">
        <v>4</v>
      </c>
      <c r="AN29" s="74">
        <f t="shared" si="24"/>
        <v>2</v>
      </c>
      <c r="AO29">
        <f t="shared" si="25"/>
        <v>8.7833333333333332</v>
      </c>
      <c r="AP29" s="80">
        <f t="shared" si="26"/>
        <v>263.5</v>
      </c>
      <c r="AQ29" s="80">
        <f t="shared" si="11"/>
        <v>-40.343080555555559</v>
      </c>
      <c r="AR29">
        <f t="shared" si="12"/>
        <v>1627.5641487120452</v>
      </c>
    </row>
    <row r="30" spans="1:44" x14ac:dyDescent="0.2">
      <c r="A30" s="32" t="s">
        <v>481</v>
      </c>
      <c r="B30" s="33" t="s">
        <v>482</v>
      </c>
      <c r="C30" s="56">
        <v>9</v>
      </c>
      <c r="D30" s="51">
        <v>1</v>
      </c>
      <c r="E30" s="51">
        <v>1</v>
      </c>
      <c r="F30" s="51">
        <v>4</v>
      </c>
      <c r="G30" s="74"/>
      <c r="H30" s="74">
        <f t="shared" si="16"/>
        <v>31.6</v>
      </c>
      <c r="I30" s="51">
        <v>1</v>
      </c>
      <c r="J30" s="51">
        <v>1</v>
      </c>
      <c r="K30" s="51">
        <v>4</v>
      </c>
      <c r="L30" s="74">
        <f t="shared" si="17"/>
        <v>31.6</v>
      </c>
      <c r="M30" s="51" t="s">
        <v>539</v>
      </c>
      <c r="N30" s="51" t="s">
        <v>541</v>
      </c>
      <c r="O30" s="51">
        <v>16</v>
      </c>
      <c r="P30" s="74">
        <f t="shared" si="18"/>
        <v>84.8</v>
      </c>
      <c r="Q30" s="51">
        <v>0</v>
      </c>
      <c r="R30" s="51">
        <v>0</v>
      </c>
      <c r="S30" s="51">
        <v>0</v>
      </c>
      <c r="T30" s="74">
        <f t="shared" si="19"/>
        <v>0</v>
      </c>
      <c r="U30" s="51" t="s">
        <v>513</v>
      </c>
      <c r="W30" s="74">
        <v>1</v>
      </c>
      <c r="X30" s="74">
        <f t="shared" si="20"/>
        <v>5.3</v>
      </c>
      <c r="AA30" s="74">
        <v>1</v>
      </c>
      <c r="AB30" s="74">
        <f t="shared" si="21"/>
        <v>5.5</v>
      </c>
      <c r="AC30" s="51">
        <v>1</v>
      </c>
      <c r="AD30" s="51">
        <v>1</v>
      </c>
      <c r="AE30" s="74">
        <v>4</v>
      </c>
      <c r="AF30" s="74">
        <f t="shared" si="22"/>
        <v>55.2</v>
      </c>
      <c r="AG30" s="51">
        <v>3</v>
      </c>
      <c r="AH30" s="51">
        <v>1</v>
      </c>
      <c r="AI30" s="81">
        <v>12</v>
      </c>
      <c r="AJ30" s="74">
        <f t="shared" si="23"/>
        <v>52.800000000000004</v>
      </c>
      <c r="AK30" s="51">
        <v>1</v>
      </c>
      <c r="AL30" s="51">
        <v>1</v>
      </c>
      <c r="AM30" s="74">
        <v>4</v>
      </c>
      <c r="AN30" s="74">
        <f t="shared" si="24"/>
        <v>2</v>
      </c>
      <c r="AO30">
        <f t="shared" si="25"/>
        <v>8.7833333333333332</v>
      </c>
      <c r="AP30" s="80">
        <f t="shared" si="26"/>
        <v>263.5</v>
      </c>
      <c r="AQ30" s="80">
        <f t="shared" si="11"/>
        <v>-40.343080555555559</v>
      </c>
      <c r="AR30">
        <f t="shared" si="12"/>
        <v>1627.5641487120452</v>
      </c>
    </row>
    <row r="31" spans="1:44" x14ac:dyDescent="0.2">
      <c r="A31" s="32" t="s">
        <v>80</v>
      </c>
      <c r="B31" s="33" t="s">
        <v>483</v>
      </c>
      <c r="C31" s="41">
        <v>6</v>
      </c>
      <c r="D31" s="51" t="s">
        <v>522</v>
      </c>
      <c r="E31" s="51">
        <v>1</v>
      </c>
      <c r="F31" s="51">
        <v>2</v>
      </c>
      <c r="G31" s="74"/>
      <c r="H31" s="74">
        <f t="shared" si="16"/>
        <v>15.8</v>
      </c>
      <c r="I31" s="51" t="s">
        <v>513</v>
      </c>
      <c r="J31" s="51">
        <v>1</v>
      </c>
      <c r="K31" s="51">
        <v>1</v>
      </c>
      <c r="L31" s="74">
        <f t="shared" si="17"/>
        <v>7.9</v>
      </c>
      <c r="M31" s="51" t="s">
        <v>539</v>
      </c>
      <c r="N31" s="51">
        <v>2</v>
      </c>
      <c r="O31" s="51">
        <v>60</v>
      </c>
      <c r="P31" s="74">
        <f t="shared" si="18"/>
        <v>318</v>
      </c>
      <c r="Q31" s="51">
        <v>2</v>
      </c>
      <c r="R31" s="51">
        <v>1</v>
      </c>
      <c r="S31" s="51">
        <v>8</v>
      </c>
      <c r="T31" s="74">
        <f t="shared" si="19"/>
        <v>34.4</v>
      </c>
      <c r="U31" s="51" t="s">
        <v>521</v>
      </c>
      <c r="V31" s="51">
        <v>1</v>
      </c>
      <c r="W31" s="74">
        <v>0.16</v>
      </c>
      <c r="X31" s="74">
        <f t="shared" si="20"/>
        <v>0.84799999999999998</v>
      </c>
      <c r="Y31" s="51" t="s">
        <v>521</v>
      </c>
      <c r="Z31" s="51">
        <v>1</v>
      </c>
      <c r="AA31" s="74">
        <v>0.16</v>
      </c>
      <c r="AB31" s="74">
        <f t="shared" si="21"/>
        <v>0.88</v>
      </c>
      <c r="AC31" s="51" t="s">
        <v>523</v>
      </c>
      <c r="AD31" s="51">
        <v>1</v>
      </c>
      <c r="AE31" s="74">
        <v>2</v>
      </c>
      <c r="AF31" s="74">
        <f t="shared" si="22"/>
        <v>27.6</v>
      </c>
      <c r="AG31" s="51">
        <v>2</v>
      </c>
      <c r="AH31" s="51">
        <v>1</v>
      </c>
      <c r="AI31" s="81">
        <v>8</v>
      </c>
      <c r="AJ31" s="74">
        <f t="shared" si="23"/>
        <v>35.200000000000003</v>
      </c>
      <c r="AK31" s="51" t="s">
        <v>521</v>
      </c>
      <c r="AL31" s="51">
        <v>2</v>
      </c>
      <c r="AM31" s="74">
        <v>1</v>
      </c>
      <c r="AN31" s="74">
        <f t="shared" si="24"/>
        <v>0.5</v>
      </c>
      <c r="AO31">
        <f t="shared" si="25"/>
        <v>14.676</v>
      </c>
      <c r="AP31" s="80">
        <f t="shared" si="26"/>
        <v>440.28000000000003</v>
      </c>
      <c r="AQ31" s="80">
        <f t="shared" si="11"/>
        <v>136.43691944444447</v>
      </c>
      <c r="AR31">
        <f t="shared" si="12"/>
        <v>18615.032987489831</v>
      </c>
    </row>
    <row r="32" spans="1:44" x14ac:dyDescent="0.2">
      <c r="A32" s="38" t="s">
        <v>58</v>
      </c>
      <c r="B32" s="39" t="s">
        <v>484</v>
      </c>
      <c r="C32" s="57">
        <v>9</v>
      </c>
      <c r="D32" s="51">
        <v>2</v>
      </c>
      <c r="E32" s="51">
        <v>1</v>
      </c>
      <c r="F32" s="51">
        <v>8</v>
      </c>
      <c r="G32" s="74"/>
      <c r="H32" s="74">
        <f t="shared" si="16"/>
        <v>63.2</v>
      </c>
      <c r="I32" s="51">
        <v>1</v>
      </c>
      <c r="J32" s="51">
        <v>1</v>
      </c>
      <c r="K32" s="51">
        <v>4</v>
      </c>
      <c r="L32" s="74">
        <f t="shared" si="17"/>
        <v>31.6</v>
      </c>
      <c r="M32" s="51" t="s">
        <v>539</v>
      </c>
      <c r="N32" s="51">
        <v>1</v>
      </c>
      <c r="O32" s="51">
        <v>4</v>
      </c>
      <c r="P32" s="74">
        <f t="shared" si="18"/>
        <v>21.2</v>
      </c>
      <c r="Q32" s="51" t="s">
        <v>542</v>
      </c>
      <c r="R32" s="51">
        <v>1</v>
      </c>
      <c r="S32" s="51">
        <v>1</v>
      </c>
      <c r="T32" s="74">
        <f t="shared" si="19"/>
        <v>4.3</v>
      </c>
      <c r="U32" s="51" t="s">
        <v>513</v>
      </c>
      <c r="V32" s="51">
        <v>1</v>
      </c>
      <c r="W32" s="74">
        <v>1</v>
      </c>
      <c r="X32" s="74">
        <f t="shared" si="20"/>
        <v>5.3</v>
      </c>
      <c r="Y32" s="51" t="s">
        <v>524</v>
      </c>
      <c r="Z32" s="51">
        <v>1</v>
      </c>
      <c r="AA32" s="74">
        <v>2</v>
      </c>
      <c r="AB32" s="74">
        <f t="shared" si="21"/>
        <v>11</v>
      </c>
      <c r="AC32" s="51" t="s">
        <v>519</v>
      </c>
      <c r="AD32" s="51">
        <v>1</v>
      </c>
      <c r="AE32" s="74">
        <v>2</v>
      </c>
      <c r="AF32" s="74">
        <f t="shared" si="22"/>
        <v>27.6</v>
      </c>
      <c r="AG32" s="51">
        <v>3</v>
      </c>
      <c r="AH32" s="51">
        <v>1</v>
      </c>
      <c r="AI32" s="81">
        <v>12</v>
      </c>
      <c r="AJ32" s="74">
        <f t="shared" si="23"/>
        <v>52.800000000000004</v>
      </c>
      <c r="AK32" s="51">
        <v>1</v>
      </c>
      <c r="AL32" s="51">
        <v>1</v>
      </c>
      <c r="AM32" s="74">
        <v>4</v>
      </c>
      <c r="AN32" s="74">
        <f t="shared" si="24"/>
        <v>2</v>
      </c>
      <c r="AO32">
        <f t="shared" si="25"/>
        <v>7.1233333333333331</v>
      </c>
      <c r="AP32" s="80">
        <f t="shared" si="26"/>
        <v>213.7</v>
      </c>
      <c r="AQ32" s="80">
        <f t="shared" si="11"/>
        <v>-90.143080555555571</v>
      </c>
      <c r="AR32">
        <f t="shared" si="12"/>
        <v>8125.7749720453812</v>
      </c>
    </row>
    <row r="33" spans="1:44" x14ac:dyDescent="0.2">
      <c r="A33" s="38" t="s">
        <v>485</v>
      </c>
      <c r="B33" s="39" t="s">
        <v>486</v>
      </c>
      <c r="C33" s="57">
        <v>8</v>
      </c>
      <c r="D33" s="51">
        <v>2</v>
      </c>
      <c r="E33" s="51">
        <v>1</v>
      </c>
      <c r="F33" s="51">
        <v>8</v>
      </c>
      <c r="G33" s="74"/>
      <c r="H33" s="74">
        <f t="shared" si="16"/>
        <v>63.2</v>
      </c>
      <c r="I33" s="51">
        <v>1</v>
      </c>
      <c r="J33" s="51">
        <v>1</v>
      </c>
      <c r="K33" s="51">
        <v>4</v>
      </c>
      <c r="L33" s="74">
        <f t="shared" si="17"/>
        <v>31.6</v>
      </c>
      <c r="M33" s="51" t="s">
        <v>539</v>
      </c>
      <c r="N33" s="51">
        <v>1</v>
      </c>
      <c r="O33" s="51">
        <v>4</v>
      </c>
      <c r="P33" s="74">
        <f t="shared" si="18"/>
        <v>21.2</v>
      </c>
      <c r="Q33" s="51" t="s">
        <v>522</v>
      </c>
      <c r="R33" s="51">
        <v>1</v>
      </c>
      <c r="S33" s="51">
        <v>1</v>
      </c>
      <c r="T33" s="74">
        <f t="shared" si="19"/>
        <v>4.3</v>
      </c>
      <c r="U33" s="51" t="s">
        <v>513</v>
      </c>
      <c r="V33" s="51">
        <v>1</v>
      </c>
      <c r="W33" s="74">
        <v>1</v>
      </c>
      <c r="X33" s="74">
        <f t="shared" si="20"/>
        <v>5.3</v>
      </c>
      <c r="Y33" s="51" t="s">
        <v>524</v>
      </c>
      <c r="Z33" s="51">
        <v>1</v>
      </c>
      <c r="AA33" s="74">
        <v>2</v>
      </c>
      <c r="AB33" s="74">
        <f t="shared" si="21"/>
        <v>11</v>
      </c>
      <c r="AC33" s="51" t="s">
        <v>519</v>
      </c>
      <c r="AD33" s="51">
        <v>1</v>
      </c>
      <c r="AE33" s="74">
        <v>2</v>
      </c>
      <c r="AF33" s="74">
        <f t="shared" si="22"/>
        <v>27.6</v>
      </c>
      <c r="AG33" s="51">
        <v>3</v>
      </c>
      <c r="AH33" s="51">
        <v>1</v>
      </c>
      <c r="AI33" s="81">
        <v>12</v>
      </c>
      <c r="AJ33" s="74">
        <f t="shared" si="23"/>
        <v>52.800000000000004</v>
      </c>
      <c r="AK33" s="51">
        <v>1</v>
      </c>
      <c r="AL33" s="51">
        <v>1</v>
      </c>
      <c r="AM33" s="74">
        <v>4</v>
      </c>
      <c r="AN33" s="74">
        <f t="shared" si="24"/>
        <v>2</v>
      </c>
      <c r="AO33">
        <f t="shared" si="25"/>
        <v>7.1233333333333331</v>
      </c>
      <c r="AP33" s="80">
        <f t="shared" si="26"/>
        <v>213.7</v>
      </c>
      <c r="AQ33" s="80">
        <f t="shared" si="11"/>
        <v>-90.143080555555571</v>
      </c>
      <c r="AR33">
        <f t="shared" si="12"/>
        <v>8125.7749720453812</v>
      </c>
    </row>
    <row r="34" spans="1:44" x14ac:dyDescent="0.2">
      <c r="A34" s="32" t="s">
        <v>487</v>
      </c>
      <c r="B34" s="33" t="s">
        <v>488</v>
      </c>
      <c r="C34" s="41">
        <v>7</v>
      </c>
      <c r="D34" s="51">
        <v>2</v>
      </c>
      <c r="E34" s="51">
        <v>1</v>
      </c>
      <c r="F34" s="51">
        <v>8</v>
      </c>
      <c r="G34" s="74"/>
      <c r="H34" s="74">
        <f t="shared" si="16"/>
        <v>63.2</v>
      </c>
      <c r="I34" s="51">
        <v>1</v>
      </c>
      <c r="J34" s="51">
        <v>1</v>
      </c>
      <c r="K34" s="51">
        <v>4</v>
      </c>
      <c r="L34" s="74">
        <f t="shared" si="17"/>
        <v>31.6</v>
      </c>
      <c r="M34" s="51" t="s">
        <v>539</v>
      </c>
      <c r="N34" s="51">
        <v>1</v>
      </c>
      <c r="O34" s="51">
        <v>4</v>
      </c>
      <c r="P34" s="74">
        <f t="shared" si="18"/>
        <v>21.2</v>
      </c>
      <c r="Q34" s="51" t="s">
        <v>543</v>
      </c>
      <c r="R34" s="51">
        <v>1</v>
      </c>
      <c r="S34" s="51">
        <v>1</v>
      </c>
      <c r="T34" s="74">
        <f t="shared" si="19"/>
        <v>4.3</v>
      </c>
      <c r="U34" s="51" t="s">
        <v>513</v>
      </c>
      <c r="V34" s="51">
        <v>1</v>
      </c>
      <c r="W34" s="74">
        <v>1</v>
      </c>
      <c r="X34" s="74">
        <f t="shared" si="20"/>
        <v>5.3</v>
      </c>
      <c r="Y34" s="51" t="s">
        <v>524</v>
      </c>
      <c r="Z34" s="51">
        <v>1</v>
      </c>
      <c r="AA34" s="74">
        <v>2</v>
      </c>
      <c r="AB34" s="74">
        <f t="shared" si="21"/>
        <v>11</v>
      </c>
      <c r="AC34" s="51" t="s">
        <v>519</v>
      </c>
      <c r="AD34" s="51">
        <v>1</v>
      </c>
      <c r="AE34" s="74">
        <v>2</v>
      </c>
      <c r="AF34" s="74">
        <f t="shared" si="22"/>
        <v>27.6</v>
      </c>
      <c r="AG34" s="51">
        <v>3</v>
      </c>
      <c r="AH34" s="51">
        <v>1</v>
      </c>
      <c r="AI34" s="81">
        <v>12</v>
      </c>
      <c r="AJ34" s="74">
        <f t="shared" si="23"/>
        <v>52.800000000000004</v>
      </c>
      <c r="AK34" s="51">
        <v>1</v>
      </c>
      <c r="AL34" s="51">
        <v>1</v>
      </c>
      <c r="AM34" s="74">
        <v>4</v>
      </c>
      <c r="AN34" s="74">
        <f t="shared" si="24"/>
        <v>2</v>
      </c>
      <c r="AO34">
        <f t="shared" si="25"/>
        <v>7.1233333333333331</v>
      </c>
      <c r="AP34" s="80">
        <f t="shared" si="26"/>
        <v>213.7</v>
      </c>
      <c r="AQ34" s="80">
        <f t="shared" si="11"/>
        <v>-90.143080555555571</v>
      </c>
      <c r="AR34">
        <f t="shared" si="12"/>
        <v>8125.7749720453812</v>
      </c>
    </row>
    <row r="35" spans="1:44" x14ac:dyDescent="0.2">
      <c r="A35" s="35" t="s">
        <v>208</v>
      </c>
      <c r="B35" s="36" t="s">
        <v>489</v>
      </c>
      <c r="C35" s="58">
        <v>5</v>
      </c>
      <c r="D35" s="51">
        <v>7</v>
      </c>
      <c r="E35" s="51">
        <v>1</v>
      </c>
      <c r="F35" s="51">
        <v>28</v>
      </c>
      <c r="G35" s="74"/>
      <c r="H35" s="74">
        <f t="shared" si="16"/>
        <v>221.20000000000002</v>
      </c>
      <c r="I35" s="51">
        <v>1</v>
      </c>
      <c r="J35" s="51">
        <v>1</v>
      </c>
      <c r="K35" s="51">
        <v>4</v>
      </c>
      <c r="L35" s="74">
        <f t="shared" si="17"/>
        <v>31.6</v>
      </c>
      <c r="M35" s="51" t="s">
        <v>539</v>
      </c>
      <c r="N35" s="51" t="s">
        <v>544</v>
      </c>
      <c r="O35" s="51">
        <v>4</v>
      </c>
      <c r="P35" s="74">
        <f t="shared" si="18"/>
        <v>21.2</v>
      </c>
      <c r="Q35" s="51">
        <v>0</v>
      </c>
      <c r="R35" s="51">
        <v>0</v>
      </c>
      <c r="S35" s="51">
        <v>0</v>
      </c>
      <c r="T35" s="74">
        <f t="shared" si="19"/>
        <v>0</v>
      </c>
      <c r="U35" s="51" t="s">
        <v>506</v>
      </c>
      <c r="V35" s="51">
        <v>1</v>
      </c>
      <c r="W35" s="74">
        <v>8.3000000000000004E-2</v>
      </c>
      <c r="X35" s="74">
        <f t="shared" si="20"/>
        <v>0.43990000000000001</v>
      </c>
      <c r="Y35" s="51" t="s">
        <v>521</v>
      </c>
      <c r="Z35" s="51">
        <v>1</v>
      </c>
      <c r="AA35" s="74">
        <v>0.5</v>
      </c>
      <c r="AB35" s="74">
        <f t="shared" si="21"/>
        <v>2.75</v>
      </c>
      <c r="AC35" s="51">
        <v>1</v>
      </c>
      <c r="AD35" s="51">
        <v>1</v>
      </c>
      <c r="AE35" s="74">
        <v>4</v>
      </c>
      <c r="AF35" s="74">
        <f t="shared" si="22"/>
        <v>55.2</v>
      </c>
      <c r="AG35" s="51">
        <v>7</v>
      </c>
      <c r="AH35" s="51">
        <v>1</v>
      </c>
      <c r="AI35" s="81">
        <v>28</v>
      </c>
      <c r="AJ35" s="74">
        <f t="shared" si="23"/>
        <v>123.20000000000002</v>
      </c>
      <c r="AK35" s="51" t="s">
        <v>513</v>
      </c>
      <c r="AL35" s="51">
        <v>1</v>
      </c>
      <c r="AM35" s="74">
        <v>1</v>
      </c>
      <c r="AN35" s="74">
        <f t="shared" si="24"/>
        <v>0.5</v>
      </c>
      <c r="AO35">
        <f t="shared" si="25"/>
        <v>15.188333333333334</v>
      </c>
      <c r="AP35" s="80">
        <f t="shared" si="26"/>
        <v>455.65000000000003</v>
      </c>
      <c r="AQ35" s="80">
        <f>AP35-$AP$47</f>
        <v>151.80691944444447</v>
      </c>
      <c r="AR35">
        <f t="shared" si="12"/>
        <v>23045.340791212053</v>
      </c>
    </row>
    <row r="36" spans="1:44" x14ac:dyDescent="0.2">
      <c r="A36" s="35" t="s">
        <v>490</v>
      </c>
      <c r="B36" s="36" t="s">
        <v>491</v>
      </c>
      <c r="C36" s="37">
        <v>11</v>
      </c>
      <c r="D36" s="51">
        <v>2</v>
      </c>
      <c r="E36" s="51">
        <v>1</v>
      </c>
      <c r="F36" s="51">
        <v>8</v>
      </c>
      <c r="G36" s="74"/>
      <c r="H36" s="74">
        <f t="shared" si="16"/>
        <v>63.2</v>
      </c>
      <c r="I36" s="51">
        <v>1</v>
      </c>
      <c r="J36" s="51">
        <v>1</v>
      </c>
      <c r="K36" s="51">
        <v>4</v>
      </c>
      <c r="L36" s="74">
        <f t="shared" si="17"/>
        <v>31.6</v>
      </c>
      <c r="M36" s="51" t="s">
        <v>539</v>
      </c>
      <c r="N36" s="51">
        <v>2</v>
      </c>
      <c r="O36" s="51">
        <v>60</v>
      </c>
      <c r="P36" s="74">
        <f t="shared" si="18"/>
        <v>318</v>
      </c>
      <c r="Q36" s="51">
        <v>0</v>
      </c>
      <c r="R36" s="51">
        <v>0</v>
      </c>
      <c r="S36" s="51">
        <v>0</v>
      </c>
      <c r="T36" s="74">
        <f t="shared" si="19"/>
        <v>0</v>
      </c>
      <c r="U36" s="51">
        <v>0</v>
      </c>
      <c r="V36" s="51">
        <v>0</v>
      </c>
      <c r="W36" s="74">
        <v>0</v>
      </c>
      <c r="X36" s="74">
        <f t="shared" si="20"/>
        <v>0</v>
      </c>
      <c r="Y36" s="51">
        <v>2</v>
      </c>
      <c r="Z36" s="51">
        <v>1</v>
      </c>
      <c r="AA36" s="74">
        <v>8</v>
      </c>
      <c r="AB36" s="74">
        <f t="shared" si="21"/>
        <v>44</v>
      </c>
      <c r="AC36" s="51">
        <v>2</v>
      </c>
      <c r="AD36" s="51">
        <v>1</v>
      </c>
      <c r="AE36" s="74">
        <v>8</v>
      </c>
      <c r="AF36" s="74">
        <f t="shared" si="22"/>
        <v>110.4</v>
      </c>
      <c r="AG36" s="51">
        <v>2</v>
      </c>
      <c r="AH36" s="51">
        <v>2</v>
      </c>
      <c r="AI36" s="81">
        <v>16</v>
      </c>
      <c r="AJ36" s="74">
        <f t="shared" si="23"/>
        <v>70.400000000000006</v>
      </c>
      <c r="AK36" s="51">
        <v>2</v>
      </c>
      <c r="AL36" s="51">
        <v>1</v>
      </c>
      <c r="AM36" s="74">
        <v>8</v>
      </c>
      <c r="AN36" s="74">
        <f t="shared" si="24"/>
        <v>4</v>
      </c>
      <c r="AO36">
        <f t="shared" si="25"/>
        <v>21.386666666666667</v>
      </c>
      <c r="AP36" s="80">
        <f t="shared" si="26"/>
        <v>641.6</v>
      </c>
      <c r="AQ36" s="80">
        <f t="shared" si="11"/>
        <v>337.75691944444446</v>
      </c>
      <c r="AR36">
        <f t="shared" si="12"/>
        <v>114079.73663260095</v>
      </c>
    </row>
    <row r="37" spans="1:44" x14ac:dyDescent="0.2">
      <c r="A37" s="32" t="s">
        <v>200</v>
      </c>
      <c r="B37" s="33" t="s">
        <v>492</v>
      </c>
      <c r="C37" s="34">
        <v>9</v>
      </c>
      <c r="D37" s="51">
        <v>2</v>
      </c>
      <c r="E37" s="51">
        <v>1</v>
      </c>
      <c r="F37" s="51">
        <v>8</v>
      </c>
      <c r="G37" s="74"/>
      <c r="H37" s="74">
        <f t="shared" si="16"/>
        <v>63.2</v>
      </c>
      <c r="I37" s="51">
        <v>1</v>
      </c>
      <c r="J37" s="51">
        <v>1</v>
      </c>
      <c r="K37" s="51">
        <v>4</v>
      </c>
      <c r="L37" s="74">
        <f t="shared" si="17"/>
        <v>31.6</v>
      </c>
      <c r="M37" s="51" t="s">
        <v>545</v>
      </c>
      <c r="N37" s="51">
        <v>2</v>
      </c>
      <c r="O37" s="51">
        <v>60</v>
      </c>
      <c r="P37" s="74">
        <f t="shared" si="18"/>
        <v>318</v>
      </c>
      <c r="Q37" s="51">
        <v>0</v>
      </c>
      <c r="R37" s="51">
        <v>0</v>
      </c>
      <c r="S37" s="51">
        <v>0</v>
      </c>
      <c r="T37" s="74">
        <f t="shared" si="19"/>
        <v>0</v>
      </c>
      <c r="U37" s="51">
        <v>0</v>
      </c>
      <c r="V37" s="51">
        <v>0</v>
      </c>
      <c r="W37" s="74">
        <v>0</v>
      </c>
      <c r="X37" s="74">
        <f t="shared" si="20"/>
        <v>0</v>
      </c>
      <c r="Y37" s="51">
        <v>2</v>
      </c>
      <c r="Z37" s="51">
        <v>1</v>
      </c>
      <c r="AA37" s="74">
        <v>8</v>
      </c>
      <c r="AB37" s="74">
        <f t="shared" si="21"/>
        <v>44</v>
      </c>
      <c r="AC37" s="51">
        <v>2</v>
      </c>
      <c r="AD37" s="51">
        <v>1</v>
      </c>
      <c r="AE37" s="74">
        <v>8</v>
      </c>
      <c r="AF37" s="74">
        <f t="shared" si="22"/>
        <v>110.4</v>
      </c>
      <c r="AG37" s="51">
        <v>2</v>
      </c>
      <c r="AH37" s="51">
        <v>2</v>
      </c>
      <c r="AI37" s="81">
        <v>16</v>
      </c>
      <c r="AJ37" s="74">
        <f t="shared" si="23"/>
        <v>70.400000000000006</v>
      </c>
      <c r="AK37" s="51">
        <v>2</v>
      </c>
      <c r="AL37" s="51">
        <v>1</v>
      </c>
      <c r="AM37" s="74">
        <v>8</v>
      </c>
      <c r="AN37" s="74">
        <f t="shared" si="24"/>
        <v>4</v>
      </c>
      <c r="AO37">
        <f t="shared" si="25"/>
        <v>21.386666666666667</v>
      </c>
      <c r="AP37" s="80">
        <f t="shared" si="26"/>
        <v>641.6</v>
      </c>
      <c r="AQ37" s="80">
        <f t="shared" si="11"/>
        <v>337.75691944444446</v>
      </c>
      <c r="AR37">
        <f t="shared" si="12"/>
        <v>114079.73663260095</v>
      </c>
    </row>
    <row r="38" spans="1:44" x14ac:dyDescent="0.2">
      <c r="A38" s="32" t="s">
        <v>198</v>
      </c>
      <c r="B38" s="33" t="s">
        <v>493</v>
      </c>
      <c r="C38" s="34">
        <v>7</v>
      </c>
      <c r="D38" s="51">
        <v>2</v>
      </c>
      <c r="E38" s="51">
        <v>1</v>
      </c>
      <c r="F38" s="51">
        <v>8</v>
      </c>
      <c r="G38" s="74"/>
      <c r="H38" s="74">
        <f t="shared" si="16"/>
        <v>63.2</v>
      </c>
      <c r="I38" s="51">
        <v>1</v>
      </c>
      <c r="J38" s="51">
        <v>1</v>
      </c>
      <c r="K38" s="51">
        <v>4</v>
      </c>
      <c r="L38" s="74">
        <f t="shared" si="17"/>
        <v>31.6</v>
      </c>
      <c r="M38" s="51" t="s">
        <v>545</v>
      </c>
      <c r="N38" s="51">
        <v>2</v>
      </c>
      <c r="O38" s="51">
        <v>60</v>
      </c>
      <c r="P38" s="74">
        <f t="shared" si="18"/>
        <v>318</v>
      </c>
      <c r="Q38" s="51">
        <v>0</v>
      </c>
      <c r="R38" s="51">
        <v>0</v>
      </c>
      <c r="S38" s="51">
        <v>0</v>
      </c>
      <c r="T38" s="74">
        <f t="shared" si="19"/>
        <v>0</v>
      </c>
      <c r="U38" s="51">
        <v>0</v>
      </c>
      <c r="V38" s="51">
        <v>0</v>
      </c>
      <c r="W38" s="74">
        <v>0</v>
      </c>
      <c r="X38" s="74">
        <f t="shared" si="20"/>
        <v>0</v>
      </c>
      <c r="Y38" s="51">
        <v>2</v>
      </c>
      <c r="Z38" s="51">
        <v>1</v>
      </c>
      <c r="AA38" s="74">
        <v>8</v>
      </c>
      <c r="AB38" s="74">
        <f t="shared" si="21"/>
        <v>44</v>
      </c>
      <c r="AC38" s="51">
        <v>2</v>
      </c>
      <c r="AD38" s="51">
        <v>1</v>
      </c>
      <c r="AE38" s="74">
        <v>8</v>
      </c>
      <c r="AF38" s="74">
        <f t="shared" si="22"/>
        <v>110.4</v>
      </c>
      <c r="AG38" s="51">
        <v>2</v>
      </c>
      <c r="AH38" s="51">
        <v>2</v>
      </c>
      <c r="AI38" s="81">
        <v>16</v>
      </c>
      <c r="AJ38" s="74">
        <f t="shared" si="23"/>
        <v>70.400000000000006</v>
      </c>
      <c r="AK38" s="51">
        <v>2</v>
      </c>
      <c r="AL38" s="51">
        <v>1</v>
      </c>
      <c r="AM38" s="74">
        <v>8</v>
      </c>
      <c r="AN38" s="74">
        <f t="shared" si="24"/>
        <v>4</v>
      </c>
      <c r="AO38">
        <f t="shared" si="25"/>
        <v>21.386666666666667</v>
      </c>
      <c r="AP38" s="80">
        <f t="shared" si="26"/>
        <v>641.6</v>
      </c>
      <c r="AQ38" s="80">
        <f t="shared" si="11"/>
        <v>337.75691944444446</v>
      </c>
      <c r="AR38">
        <f>AQ38^2</f>
        <v>114079.73663260095</v>
      </c>
    </row>
    <row r="39" spans="1:44" x14ac:dyDescent="0.2">
      <c r="A39" s="38" t="s">
        <v>38</v>
      </c>
      <c r="B39" s="39" t="s">
        <v>494</v>
      </c>
      <c r="C39" s="40">
        <v>10</v>
      </c>
      <c r="D39" s="51">
        <v>1</v>
      </c>
      <c r="E39" s="51">
        <v>1</v>
      </c>
      <c r="F39" s="51">
        <v>4</v>
      </c>
      <c r="G39" s="74"/>
      <c r="H39" s="74">
        <f t="shared" si="16"/>
        <v>31.6</v>
      </c>
      <c r="I39" s="51">
        <v>1</v>
      </c>
      <c r="J39" s="51">
        <v>1</v>
      </c>
      <c r="K39" s="51">
        <v>4</v>
      </c>
      <c r="L39" s="74">
        <f t="shared" si="17"/>
        <v>31.6</v>
      </c>
      <c r="M39" s="51" t="s">
        <v>545</v>
      </c>
      <c r="N39" s="51" t="s">
        <v>546</v>
      </c>
      <c r="O39" s="51">
        <v>1</v>
      </c>
      <c r="P39" s="74">
        <f t="shared" si="18"/>
        <v>5.3</v>
      </c>
      <c r="Q39" s="51">
        <v>0</v>
      </c>
      <c r="R39" s="51">
        <v>0</v>
      </c>
      <c r="S39" s="51">
        <v>0</v>
      </c>
      <c r="T39" s="74">
        <f t="shared" si="19"/>
        <v>0</v>
      </c>
      <c r="U39" s="51" t="s">
        <v>507</v>
      </c>
      <c r="V39" s="51">
        <v>1</v>
      </c>
      <c r="W39" s="74">
        <v>0.5</v>
      </c>
      <c r="X39" s="74">
        <f t="shared" si="20"/>
        <v>2.65</v>
      </c>
      <c r="Y39" s="51" t="s">
        <v>521</v>
      </c>
      <c r="Z39" s="51">
        <v>1</v>
      </c>
      <c r="AA39" s="74">
        <v>0.5</v>
      </c>
      <c r="AB39" s="74">
        <f t="shared" si="21"/>
        <v>2.75</v>
      </c>
      <c r="AC39" s="51" t="s">
        <v>523</v>
      </c>
      <c r="AD39" s="51">
        <v>1</v>
      </c>
      <c r="AE39" s="74">
        <v>2</v>
      </c>
      <c r="AF39" s="74">
        <f t="shared" si="22"/>
        <v>27.6</v>
      </c>
      <c r="AG39" s="51">
        <v>2</v>
      </c>
      <c r="AH39" s="51">
        <v>2</v>
      </c>
      <c r="AI39" s="81">
        <v>16</v>
      </c>
      <c r="AJ39" s="74">
        <f t="shared" si="23"/>
        <v>70.400000000000006</v>
      </c>
      <c r="AK39" s="51" t="s">
        <v>513</v>
      </c>
      <c r="AL39" s="51">
        <v>1</v>
      </c>
      <c r="AM39" s="74">
        <v>1</v>
      </c>
      <c r="AN39" s="74">
        <f t="shared" si="24"/>
        <v>0.5</v>
      </c>
      <c r="AO39">
        <f t="shared" si="25"/>
        <v>5.6583333333333332</v>
      </c>
      <c r="AP39" s="80">
        <f t="shared" si="26"/>
        <v>169.75</v>
      </c>
      <c r="AQ39" s="80">
        <f t="shared" si="11"/>
        <v>-134.09308055555556</v>
      </c>
      <c r="AR39">
        <f t="shared" si="12"/>
        <v>17980.954252878713</v>
      </c>
    </row>
    <row r="40" spans="1:44" x14ac:dyDescent="0.2">
      <c r="A40" s="38" t="s">
        <v>495</v>
      </c>
      <c r="B40" s="39" t="s">
        <v>496</v>
      </c>
      <c r="C40" s="40">
        <v>8</v>
      </c>
      <c r="D40" s="51">
        <v>1</v>
      </c>
      <c r="E40" s="51">
        <v>1</v>
      </c>
      <c r="F40" s="51">
        <v>4</v>
      </c>
      <c r="G40" s="74"/>
      <c r="H40" s="74">
        <f t="shared" si="16"/>
        <v>31.6</v>
      </c>
      <c r="I40" s="51">
        <v>1</v>
      </c>
      <c r="J40" s="51">
        <v>1</v>
      </c>
      <c r="K40" s="51">
        <v>4</v>
      </c>
      <c r="L40" s="74">
        <f t="shared" si="17"/>
        <v>31.6</v>
      </c>
      <c r="M40" s="51" t="s">
        <v>545</v>
      </c>
      <c r="N40" s="51" t="s">
        <v>546</v>
      </c>
      <c r="O40" s="51">
        <v>1</v>
      </c>
      <c r="P40" s="74">
        <f t="shared" si="18"/>
        <v>5.3</v>
      </c>
      <c r="Q40" s="51">
        <v>0</v>
      </c>
      <c r="R40" s="51">
        <v>0</v>
      </c>
      <c r="S40" s="51">
        <v>0</v>
      </c>
      <c r="T40" s="74">
        <f t="shared" si="19"/>
        <v>0</v>
      </c>
      <c r="U40" s="51" t="s">
        <v>507</v>
      </c>
      <c r="V40" s="51">
        <v>1</v>
      </c>
      <c r="W40" s="74">
        <v>0.5</v>
      </c>
      <c r="X40" s="74">
        <f t="shared" si="20"/>
        <v>2.65</v>
      </c>
      <c r="Y40" s="51" t="s">
        <v>521</v>
      </c>
      <c r="Z40" s="51">
        <v>1</v>
      </c>
      <c r="AA40" s="74">
        <v>0.5</v>
      </c>
      <c r="AB40" s="74">
        <f t="shared" si="21"/>
        <v>2.75</v>
      </c>
      <c r="AC40" s="51" t="s">
        <v>523</v>
      </c>
      <c r="AD40" s="51">
        <v>1</v>
      </c>
      <c r="AE40" s="74">
        <v>2</v>
      </c>
      <c r="AF40" s="74">
        <f t="shared" si="22"/>
        <v>27.6</v>
      </c>
      <c r="AG40" s="51">
        <v>2</v>
      </c>
      <c r="AH40" s="51">
        <v>2</v>
      </c>
      <c r="AI40" s="81">
        <v>16</v>
      </c>
      <c r="AJ40" s="74">
        <f t="shared" si="23"/>
        <v>70.400000000000006</v>
      </c>
      <c r="AK40" s="51" t="s">
        <v>513</v>
      </c>
      <c r="AL40" s="51">
        <v>1</v>
      </c>
      <c r="AM40" s="74">
        <v>1</v>
      </c>
      <c r="AN40" s="74">
        <f t="shared" si="24"/>
        <v>0.5</v>
      </c>
      <c r="AO40">
        <f t="shared" si="25"/>
        <v>5.6583333333333332</v>
      </c>
      <c r="AP40" s="80">
        <f t="shared" si="26"/>
        <v>169.75</v>
      </c>
      <c r="AQ40" s="80">
        <f t="shared" si="11"/>
        <v>-134.09308055555556</v>
      </c>
      <c r="AR40">
        <f t="shared" si="12"/>
        <v>17980.954252878713</v>
      </c>
    </row>
    <row r="41" spans="1:44" x14ac:dyDescent="0.2">
      <c r="A41" s="59" t="s">
        <v>18</v>
      </c>
      <c r="B41" s="60" t="s">
        <v>497</v>
      </c>
      <c r="C41" s="61">
        <v>10</v>
      </c>
      <c r="D41" s="51">
        <v>0</v>
      </c>
      <c r="E41" s="51">
        <v>0</v>
      </c>
      <c r="F41" s="51">
        <v>0</v>
      </c>
      <c r="G41" s="74"/>
      <c r="H41" s="74">
        <f t="shared" si="16"/>
        <v>0</v>
      </c>
      <c r="I41" s="51" t="s">
        <v>513</v>
      </c>
      <c r="J41" s="51">
        <v>1</v>
      </c>
      <c r="K41" s="51">
        <v>1</v>
      </c>
      <c r="L41" s="74">
        <f t="shared" si="17"/>
        <v>7.9</v>
      </c>
      <c r="M41" s="51" t="s">
        <v>545</v>
      </c>
      <c r="N41" s="51" t="s">
        <v>522</v>
      </c>
      <c r="O41" s="51">
        <v>1</v>
      </c>
      <c r="P41" s="74">
        <f t="shared" si="18"/>
        <v>5.3</v>
      </c>
      <c r="Q41" s="51">
        <v>0</v>
      </c>
      <c r="R41" s="51">
        <v>0</v>
      </c>
      <c r="S41" s="51">
        <v>0</v>
      </c>
      <c r="T41" s="74">
        <f t="shared" si="19"/>
        <v>0</v>
      </c>
      <c r="U41" s="51">
        <v>0</v>
      </c>
      <c r="V41" s="51">
        <v>0</v>
      </c>
      <c r="W41" s="74">
        <v>0</v>
      </c>
      <c r="X41" s="74">
        <f t="shared" si="20"/>
        <v>0</v>
      </c>
      <c r="Y41" s="51" t="s">
        <v>522</v>
      </c>
      <c r="Z41" s="51">
        <v>1</v>
      </c>
      <c r="AA41" s="74">
        <v>2</v>
      </c>
      <c r="AB41" s="74">
        <f t="shared" si="21"/>
        <v>11</v>
      </c>
      <c r="AC41" s="51">
        <v>1</v>
      </c>
      <c r="AD41" s="51">
        <v>1</v>
      </c>
      <c r="AE41" s="74">
        <v>4</v>
      </c>
      <c r="AF41" s="74">
        <f t="shared" si="22"/>
        <v>55.2</v>
      </c>
      <c r="AG41" s="51">
        <v>7</v>
      </c>
      <c r="AH41" s="51">
        <v>2</v>
      </c>
      <c r="AI41" s="81">
        <v>56</v>
      </c>
      <c r="AJ41" s="74">
        <f t="shared" si="23"/>
        <v>246.40000000000003</v>
      </c>
      <c r="AK41" s="51">
        <v>0</v>
      </c>
      <c r="AL41" s="51">
        <v>0</v>
      </c>
      <c r="AM41" s="74">
        <v>0</v>
      </c>
      <c r="AN41" s="74">
        <f t="shared" si="24"/>
        <v>0</v>
      </c>
      <c r="AO41">
        <f t="shared" si="25"/>
        <v>10.860000000000001</v>
      </c>
      <c r="AP41" s="80">
        <f t="shared" si="26"/>
        <v>325.8</v>
      </c>
      <c r="AQ41" s="80">
        <f t="shared" si="11"/>
        <v>21.956919444444452</v>
      </c>
      <c r="AR41">
        <f t="shared" si="12"/>
        <v>482.10631148982287</v>
      </c>
    </row>
    <row r="42" spans="1:44" x14ac:dyDescent="0.2">
      <c r="A42" s="62" t="s">
        <v>221</v>
      </c>
      <c r="B42" s="62" t="s">
        <v>498</v>
      </c>
      <c r="C42" s="51">
        <v>10</v>
      </c>
      <c r="D42" s="51">
        <v>3</v>
      </c>
      <c r="E42" s="51">
        <v>1</v>
      </c>
      <c r="F42" s="51">
        <v>12</v>
      </c>
      <c r="G42" s="74"/>
      <c r="H42" s="74">
        <f t="shared" si="16"/>
        <v>94.800000000000011</v>
      </c>
      <c r="I42" s="51">
        <v>1</v>
      </c>
      <c r="J42" s="51">
        <v>1</v>
      </c>
      <c r="K42" s="51">
        <v>4</v>
      </c>
      <c r="L42" s="74">
        <f t="shared" si="17"/>
        <v>31.6</v>
      </c>
      <c r="M42" s="51">
        <v>0</v>
      </c>
      <c r="N42" s="51">
        <v>0</v>
      </c>
      <c r="O42" s="51">
        <v>0</v>
      </c>
      <c r="P42" s="74">
        <f t="shared" si="18"/>
        <v>0</v>
      </c>
      <c r="Q42" s="51" t="s">
        <v>546</v>
      </c>
      <c r="R42" s="51">
        <v>1</v>
      </c>
      <c r="S42" s="51">
        <v>1</v>
      </c>
      <c r="T42" s="74">
        <f t="shared" si="19"/>
        <v>4.3</v>
      </c>
      <c r="U42" s="51">
        <v>1</v>
      </c>
      <c r="V42" s="51">
        <v>1</v>
      </c>
      <c r="W42" s="74">
        <v>4</v>
      </c>
      <c r="X42" s="74">
        <f t="shared" si="20"/>
        <v>21.2</v>
      </c>
      <c r="Y42" s="51">
        <v>1</v>
      </c>
      <c r="Z42" s="51">
        <v>1</v>
      </c>
      <c r="AA42" s="74">
        <v>4</v>
      </c>
      <c r="AB42" s="74">
        <f t="shared" si="21"/>
        <v>22</v>
      </c>
      <c r="AC42" s="51">
        <v>1</v>
      </c>
      <c r="AD42" s="51">
        <v>1</v>
      </c>
      <c r="AE42" s="74">
        <v>4</v>
      </c>
      <c r="AF42" s="74">
        <f t="shared" si="22"/>
        <v>55.2</v>
      </c>
      <c r="AG42" s="51">
        <v>1</v>
      </c>
      <c r="AH42" s="51">
        <v>1</v>
      </c>
      <c r="AI42" s="81">
        <v>4</v>
      </c>
      <c r="AJ42" s="74">
        <f t="shared" si="23"/>
        <v>17.600000000000001</v>
      </c>
      <c r="AK42" s="51" t="s">
        <v>522</v>
      </c>
      <c r="AL42" s="51">
        <v>1</v>
      </c>
      <c r="AM42" s="74">
        <v>2</v>
      </c>
      <c r="AN42" s="74">
        <f t="shared" si="24"/>
        <v>1</v>
      </c>
      <c r="AO42">
        <f t="shared" si="25"/>
        <v>7.5500000000000007</v>
      </c>
      <c r="AP42" s="80">
        <f t="shared" si="26"/>
        <v>226.50000000000003</v>
      </c>
      <c r="AQ42" s="80">
        <f t="shared" si="11"/>
        <v>-77.343080555555531</v>
      </c>
      <c r="AR42">
        <f t="shared" si="12"/>
        <v>5981.9521098231517</v>
      </c>
    </row>
    <row r="43" spans="1:44" x14ac:dyDescent="0.2">
      <c r="A43" s="62" t="s">
        <v>224</v>
      </c>
      <c r="B43" s="62" t="s">
        <v>499</v>
      </c>
      <c r="C43" s="51">
        <v>8</v>
      </c>
      <c r="D43" s="51">
        <v>3</v>
      </c>
      <c r="E43" s="51">
        <v>1</v>
      </c>
      <c r="F43" s="51">
        <v>12</v>
      </c>
      <c r="G43" s="74"/>
      <c r="H43" s="74">
        <f t="shared" si="16"/>
        <v>94.800000000000011</v>
      </c>
      <c r="I43" s="51">
        <v>1</v>
      </c>
      <c r="J43" s="51">
        <v>1</v>
      </c>
      <c r="K43" s="51">
        <v>4</v>
      </c>
      <c r="L43" s="74">
        <f t="shared" si="17"/>
        <v>31.6</v>
      </c>
      <c r="M43" s="51" t="s">
        <v>545</v>
      </c>
      <c r="N43" s="51" t="s">
        <v>547</v>
      </c>
      <c r="O43" s="51">
        <v>8</v>
      </c>
      <c r="P43" s="74">
        <f t="shared" si="18"/>
        <v>42.4</v>
      </c>
      <c r="Q43" s="51" t="s">
        <v>546</v>
      </c>
      <c r="R43" s="51">
        <v>1</v>
      </c>
      <c r="S43" s="51">
        <v>1</v>
      </c>
      <c r="T43" s="74">
        <f t="shared" si="19"/>
        <v>4.3</v>
      </c>
      <c r="U43" s="51">
        <v>1</v>
      </c>
      <c r="V43" s="51">
        <v>1</v>
      </c>
      <c r="W43" s="74">
        <v>4</v>
      </c>
      <c r="X43" s="74">
        <f t="shared" si="20"/>
        <v>21.2</v>
      </c>
      <c r="Y43" s="51">
        <v>1</v>
      </c>
      <c r="Z43" s="51">
        <v>1</v>
      </c>
      <c r="AA43" s="74">
        <v>4</v>
      </c>
      <c r="AB43" s="74">
        <f t="shared" si="21"/>
        <v>22</v>
      </c>
      <c r="AC43" s="51">
        <v>1</v>
      </c>
      <c r="AD43" s="51">
        <v>1</v>
      </c>
      <c r="AE43" s="74">
        <v>4</v>
      </c>
      <c r="AF43" s="74">
        <f t="shared" si="22"/>
        <v>55.2</v>
      </c>
      <c r="AG43" s="51">
        <v>1</v>
      </c>
      <c r="AH43" s="51">
        <v>1</v>
      </c>
      <c r="AI43" s="81">
        <v>4</v>
      </c>
      <c r="AJ43" s="74">
        <f t="shared" si="23"/>
        <v>17.600000000000001</v>
      </c>
      <c r="AK43" s="51" t="s">
        <v>522</v>
      </c>
      <c r="AL43" s="51">
        <v>1</v>
      </c>
      <c r="AM43" s="74">
        <v>2</v>
      </c>
      <c r="AN43" s="74">
        <f t="shared" si="24"/>
        <v>1</v>
      </c>
      <c r="AO43">
        <f t="shared" si="25"/>
        <v>8.9633333333333329</v>
      </c>
      <c r="AP43" s="80">
        <f t="shared" si="26"/>
        <v>268.89999999999998</v>
      </c>
      <c r="AQ43" s="80">
        <f t="shared" si="11"/>
        <v>-34.943080555555582</v>
      </c>
      <c r="AR43">
        <f>AQ43^2</f>
        <v>1221.0188787120467</v>
      </c>
    </row>
    <row r="44" spans="1:44" x14ac:dyDescent="0.2">
      <c r="AE44" s="74"/>
      <c r="AF44" s="74"/>
      <c r="AI44" s="81"/>
      <c r="AJ44" s="74"/>
      <c r="AM44" s="74"/>
      <c r="AN44" s="74"/>
      <c r="AP44">
        <f>AVERAGE(AP25:AP43)</f>
        <v>370.42057894736848</v>
      </c>
    </row>
    <row r="45" spans="1:44" x14ac:dyDescent="0.2">
      <c r="A45" s="63" t="s">
        <v>526</v>
      </c>
      <c r="B45" s="63">
        <v>236.14749375</v>
      </c>
    </row>
    <row r="46" spans="1:44" x14ac:dyDescent="0.2">
      <c r="A46" s="63" t="s">
        <v>527</v>
      </c>
      <c r="B46" s="63">
        <v>370.42057894736848</v>
      </c>
      <c r="AO46" t="s">
        <v>550</v>
      </c>
      <c r="AP46">
        <f>36</f>
        <v>36</v>
      </c>
    </row>
    <row r="47" spans="1:44" x14ac:dyDescent="0.2">
      <c r="AO47" t="s">
        <v>562</v>
      </c>
      <c r="AP47">
        <f>AVERAGE(AP4:AP43)</f>
        <v>303.84308055555556</v>
      </c>
    </row>
    <row r="49" spans="41:42" x14ac:dyDescent="0.2">
      <c r="AO49" t="s">
        <v>556</v>
      </c>
      <c r="AP49">
        <f>SUM(AR4:AR43)</f>
        <v>1062630.2536838765</v>
      </c>
    </row>
    <row r="50" spans="41:42" ht="32" x14ac:dyDescent="0.2">
      <c r="AO50" s="2" t="s">
        <v>553</v>
      </c>
      <c r="AP50">
        <f>(AP49/35)^0.5</f>
        <v>174.24369254285187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E08556-AB2E-432E-882A-6E8FEC076891}">
  <dimension ref="A1:T47"/>
  <sheetViews>
    <sheetView workbookViewId="0">
      <selection activeCell="S43" sqref="S43"/>
    </sheetView>
  </sheetViews>
  <sheetFormatPr baseColWidth="10" defaultRowHeight="15" x14ac:dyDescent="0.2"/>
  <cols>
    <col min="2" max="2" width="20.6640625" customWidth="1"/>
    <col min="4" max="4" width="14.33203125" customWidth="1"/>
    <col min="5" max="5" width="16.83203125" customWidth="1"/>
    <col min="7" max="7" width="16.6640625" customWidth="1"/>
    <col min="8" max="8" width="13.33203125" customWidth="1"/>
    <col min="9" max="9" width="15.5" customWidth="1"/>
    <col min="10" max="10" width="15" customWidth="1"/>
    <col min="11" max="13" width="19.6640625" customWidth="1"/>
    <col min="14" max="16" width="14.6640625" customWidth="1"/>
    <col min="17" max="19" width="17.83203125" customWidth="1"/>
    <col min="20" max="20" width="16.5" customWidth="1"/>
  </cols>
  <sheetData>
    <row r="1" spans="1:20" x14ac:dyDescent="0.2">
      <c r="A1" s="87" t="s">
        <v>176</v>
      </c>
      <c r="B1" s="87" t="s">
        <v>381</v>
      </c>
      <c r="C1" s="87" t="s">
        <v>382</v>
      </c>
      <c r="D1" s="87" t="s">
        <v>563</v>
      </c>
      <c r="E1" s="87" t="s">
        <v>564</v>
      </c>
      <c r="F1" s="87" t="s">
        <v>549</v>
      </c>
      <c r="G1" s="87" t="s">
        <v>555</v>
      </c>
      <c r="H1" s="87" t="s">
        <v>565</v>
      </c>
      <c r="I1" s="87" t="s">
        <v>549</v>
      </c>
      <c r="J1" s="87" t="s">
        <v>555</v>
      </c>
      <c r="K1" s="87" t="s">
        <v>566</v>
      </c>
      <c r="L1" s="99" t="s">
        <v>549</v>
      </c>
      <c r="M1" s="99" t="s">
        <v>555</v>
      </c>
      <c r="N1" s="87" t="s">
        <v>567</v>
      </c>
      <c r="O1" s="87" t="s">
        <v>549</v>
      </c>
      <c r="P1" s="87" t="s">
        <v>605</v>
      </c>
      <c r="Q1" s="87" t="s">
        <v>568</v>
      </c>
      <c r="R1" s="87" t="s">
        <v>549</v>
      </c>
      <c r="S1" s="87" t="s">
        <v>555</v>
      </c>
      <c r="T1" s="88" t="s">
        <v>568</v>
      </c>
    </row>
    <row r="2" spans="1:20" x14ac:dyDescent="0.2">
      <c r="A2" s="51" t="s">
        <v>569</v>
      </c>
      <c r="B2" s="51" t="s">
        <v>137</v>
      </c>
      <c r="C2" s="51">
        <v>6</v>
      </c>
      <c r="D2" s="51"/>
      <c r="E2" s="89">
        <v>1.1599999999999999</v>
      </c>
      <c r="F2" s="89">
        <f>E2-$E$40</f>
        <v>-0.10777777777777753</v>
      </c>
      <c r="G2" s="89">
        <f>F2^2</f>
        <v>1.1616049382715996E-2</v>
      </c>
      <c r="H2" s="90">
        <v>22.9</v>
      </c>
      <c r="I2" s="90">
        <f>H2-H40</f>
        <v>-5.5138888888888857</v>
      </c>
      <c r="J2" s="90">
        <f>I2^2</f>
        <v>30.402970679012309</v>
      </c>
      <c r="K2" s="90">
        <v>51.6</v>
      </c>
      <c r="L2" s="90">
        <f>K2-$K$40</f>
        <v>0.77888888888890051</v>
      </c>
      <c r="M2" s="90">
        <f>L2^2</f>
        <v>0.60666790123458603</v>
      </c>
      <c r="N2" s="90">
        <v>18.899999999999999</v>
      </c>
      <c r="O2" s="90">
        <f>N2-$N$40</f>
        <v>-0.30138888888889426</v>
      </c>
      <c r="P2" s="90">
        <f>O2^2</f>
        <v>9.0835262345682247E-2</v>
      </c>
      <c r="Q2" s="107">
        <f>(H2/(E2^2))</f>
        <v>17.018430439952439</v>
      </c>
      <c r="R2" s="107">
        <f>Q2-$Q$40</f>
        <v>-0.30495908856431342</v>
      </c>
      <c r="S2" s="107">
        <f>R2^2</f>
        <v>9.3000045697976749E-2</v>
      </c>
      <c r="T2" s="51">
        <v>31956.004756242572</v>
      </c>
    </row>
    <row r="3" spans="1:20" x14ac:dyDescent="0.2">
      <c r="A3" s="51" t="s">
        <v>570</v>
      </c>
      <c r="B3" s="51" t="s">
        <v>445</v>
      </c>
      <c r="C3" s="51">
        <v>7</v>
      </c>
      <c r="D3" s="51"/>
      <c r="E3" s="89">
        <v>1.22</v>
      </c>
      <c r="F3" s="89">
        <f t="shared" ref="F3:F37" si="0">E3-$E$40</f>
        <v>-4.7777777777777475E-2</v>
      </c>
      <c r="G3" s="89">
        <f t="shared" ref="G3:G37" si="1">F3^2</f>
        <v>2.2827160493826869E-3</v>
      </c>
      <c r="H3" s="91">
        <v>23.9</v>
      </c>
      <c r="I3" s="90">
        <f>H3-H40</f>
        <v>-4.5138888888888857</v>
      </c>
      <c r="J3" s="90">
        <f t="shared" ref="J3:J37" si="2">I3^2</f>
        <v>20.375192901234538</v>
      </c>
      <c r="K3" s="90">
        <v>51.5</v>
      </c>
      <c r="L3" s="90">
        <f t="shared" ref="L3:L36" si="3">K3-$K$40</f>
        <v>0.67888888888889909</v>
      </c>
      <c r="M3" s="90">
        <f t="shared" ref="M3:M37" si="4">L3^2</f>
        <v>0.46089012345680397</v>
      </c>
      <c r="N3" s="90">
        <v>16.8</v>
      </c>
      <c r="O3" s="90">
        <f t="shared" ref="O3:O36" si="5">N3-$N$40</f>
        <v>-2.4013888888888921</v>
      </c>
      <c r="P3" s="90">
        <f t="shared" ref="P3:P37" si="6">O3^2</f>
        <v>5.766668595679028</v>
      </c>
      <c r="Q3" s="51">
        <f>(H3/(E3^2))</f>
        <v>16.057511421660845</v>
      </c>
      <c r="R3" s="107">
        <f t="shared" ref="R3:R37" si="7">Q3-$Q$40</f>
        <v>-1.265878106855908</v>
      </c>
      <c r="S3" s="107">
        <f t="shared" ref="S3:S37" si="8">R3^2</f>
        <v>1.6024473814170976</v>
      </c>
      <c r="T3" s="51"/>
    </row>
    <row r="4" spans="1:20" x14ac:dyDescent="0.2">
      <c r="A4" s="51" t="s">
        <v>571</v>
      </c>
      <c r="B4" s="51" t="s">
        <v>441</v>
      </c>
      <c r="C4" s="51">
        <v>8</v>
      </c>
      <c r="D4" s="51"/>
      <c r="E4" s="89">
        <v>1.21</v>
      </c>
      <c r="F4" s="89">
        <f t="shared" si="0"/>
        <v>-5.7777777777777484E-2</v>
      </c>
      <c r="G4" s="89">
        <f t="shared" si="1"/>
        <v>3.3382716049382378E-3</v>
      </c>
      <c r="H4" s="91">
        <v>27.4</v>
      </c>
      <c r="I4" s="90">
        <f>H4-H40</f>
        <v>-1.0138888888888857</v>
      </c>
      <c r="J4" s="90">
        <f t="shared" si="2"/>
        <v>1.0279706790123393</v>
      </c>
      <c r="K4" s="90">
        <v>51.06</v>
      </c>
      <c r="L4" s="90">
        <f t="shared" si="3"/>
        <v>0.23888888888890136</v>
      </c>
      <c r="M4" s="90">
        <f t="shared" si="4"/>
        <v>5.7067901234573858E-2</v>
      </c>
      <c r="N4" s="89">
        <v>20</v>
      </c>
      <c r="O4" s="90">
        <f t="shared" si="5"/>
        <v>0.79861111111110716</v>
      </c>
      <c r="P4" s="90">
        <f t="shared" si="6"/>
        <v>0.6377797067901172</v>
      </c>
      <c r="Q4" s="107">
        <f t="shared" ref="Q4:Q11" si="9">H4/E4^2</f>
        <v>18.714568677002937</v>
      </c>
      <c r="R4" s="107">
        <f t="shared" si="7"/>
        <v>1.3911791484861844</v>
      </c>
      <c r="S4" s="107">
        <f t="shared" si="8"/>
        <v>1.935379423182745</v>
      </c>
      <c r="T4" s="51">
        <v>29268.492589304009</v>
      </c>
    </row>
    <row r="5" spans="1:20" x14ac:dyDescent="0.2">
      <c r="A5" s="51" t="s">
        <v>572</v>
      </c>
      <c r="B5" s="51" t="s">
        <v>144</v>
      </c>
      <c r="C5" s="51">
        <v>9</v>
      </c>
      <c r="D5" s="51"/>
      <c r="E5" s="91">
        <v>1.3</v>
      </c>
      <c r="F5" s="89">
        <f t="shared" si="0"/>
        <v>3.2222222222222596E-2</v>
      </c>
      <c r="G5" s="89">
        <f t="shared" si="1"/>
        <v>1.0382716049382958E-3</v>
      </c>
      <c r="H5" s="91">
        <v>28.1</v>
      </c>
      <c r="I5" s="90">
        <f>H5-H40</f>
        <v>-0.31388888888888289</v>
      </c>
      <c r="J5" s="90">
        <f t="shared" si="2"/>
        <v>9.8526234567897469E-2</v>
      </c>
      <c r="K5" s="89">
        <v>53</v>
      </c>
      <c r="L5" s="90">
        <f t="shared" si="3"/>
        <v>2.1788888888888991</v>
      </c>
      <c r="M5" s="90">
        <f t="shared" si="4"/>
        <v>4.7475567901235012</v>
      </c>
      <c r="N5" s="90">
        <v>19.399999999999999</v>
      </c>
      <c r="O5" s="90">
        <f t="shared" si="5"/>
        <v>0.19861111111110574</v>
      </c>
      <c r="P5" s="90">
        <f t="shared" si="6"/>
        <v>3.9446373456787989E-2</v>
      </c>
      <c r="Q5" s="107">
        <f t="shared" si="9"/>
        <v>16.627218934911241</v>
      </c>
      <c r="R5" s="107">
        <f t="shared" si="7"/>
        <v>-0.69617059360551181</v>
      </c>
      <c r="S5" s="107">
        <f t="shared" si="8"/>
        <v>0.48465349540105068</v>
      </c>
      <c r="T5" s="51">
        <v>2.3349742939467704E-5</v>
      </c>
    </row>
    <row r="6" spans="1:20" x14ac:dyDescent="0.2">
      <c r="A6" s="51" t="s">
        <v>573</v>
      </c>
      <c r="B6" s="51" t="s">
        <v>148</v>
      </c>
      <c r="C6" s="51">
        <v>9</v>
      </c>
      <c r="D6" s="51"/>
      <c r="E6" s="89">
        <v>1.37</v>
      </c>
      <c r="F6" s="89">
        <f t="shared" si="0"/>
        <v>0.10222222222222266</v>
      </c>
      <c r="G6" s="89">
        <f t="shared" si="1"/>
        <v>1.0449382716049472E-2</v>
      </c>
      <c r="H6" s="90">
        <v>42.6</v>
      </c>
      <c r="I6" s="90">
        <f>H6-$H$40</f>
        <v>14.186111111111117</v>
      </c>
      <c r="J6" s="90">
        <f t="shared" si="2"/>
        <v>201.2457484567903</v>
      </c>
      <c r="K6" s="90">
        <v>52.3</v>
      </c>
      <c r="L6" s="90">
        <f t="shared" si="3"/>
        <v>1.4788888888888962</v>
      </c>
      <c r="M6" s="90">
        <f t="shared" si="4"/>
        <v>2.1871123456790342</v>
      </c>
      <c r="N6" s="89">
        <v>23</v>
      </c>
      <c r="O6" s="90">
        <f t="shared" si="5"/>
        <v>3.7986111111111072</v>
      </c>
      <c r="P6" s="90">
        <f t="shared" si="6"/>
        <v>14.429446373456759</v>
      </c>
      <c r="Q6" s="51">
        <f t="shared" si="9"/>
        <v>22.697000372955404</v>
      </c>
      <c r="R6" s="107">
        <f t="shared" si="7"/>
        <v>5.3736108444386517</v>
      </c>
      <c r="S6" s="107">
        <f t="shared" si="8"/>
        <v>28.875693507468679</v>
      </c>
      <c r="T6" s="51">
        <v>22.697000372955404</v>
      </c>
    </row>
    <row r="7" spans="1:20" x14ac:dyDescent="0.2">
      <c r="A7" s="51" t="s">
        <v>574</v>
      </c>
      <c r="B7" s="51" t="s">
        <v>575</v>
      </c>
      <c r="C7" s="51">
        <v>9</v>
      </c>
      <c r="D7" s="51"/>
      <c r="E7" s="89">
        <v>1.34</v>
      </c>
      <c r="F7" s="89">
        <f t="shared" si="0"/>
        <v>7.2222222222222632E-2</v>
      </c>
      <c r="G7" s="89">
        <f t="shared" si="1"/>
        <v>5.2160493827161083E-3</v>
      </c>
      <c r="H7" s="90">
        <v>25.9</v>
      </c>
      <c r="I7" s="90">
        <f t="shared" ref="I7:I36" si="10">H7-$H$40</f>
        <v>-2.5138888888888857</v>
      </c>
      <c r="J7" s="90">
        <f t="shared" si="2"/>
        <v>6.3196373456789967</v>
      </c>
      <c r="K7" s="90">
        <v>51.5</v>
      </c>
      <c r="L7" s="90">
        <f t="shared" si="3"/>
        <v>0.67888888888889909</v>
      </c>
      <c r="M7" s="90">
        <f t="shared" si="4"/>
        <v>0.46089012345680397</v>
      </c>
      <c r="N7" s="90">
        <v>18.2</v>
      </c>
      <c r="O7" s="90">
        <f t="shared" si="5"/>
        <v>-1.0013888888888935</v>
      </c>
      <c r="P7" s="90">
        <f t="shared" si="6"/>
        <v>1.0027797067901327</v>
      </c>
      <c r="Q7" s="107">
        <f t="shared" si="9"/>
        <v>14.42414791713076</v>
      </c>
      <c r="R7" s="107">
        <f t="shared" si="7"/>
        <v>-2.8992416113859925</v>
      </c>
      <c r="S7" s="107">
        <f t="shared" si="8"/>
        <v>8.4056019211920461</v>
      </c>
      <c r="T7" s="51">
        <v>23949.097794609039</v>
      </c>
    </row>
    <row r="8" spans="1:20" x14ac:dyDescent="0.2">
      <c r="A8" s="51" t="s">
        <v>576</v>
      </c>
      <c r="B8" s="51" t="s">
        <v>155</v>
      </c>
      <c r="C8" s="51">
        <v>7</v>
      </c>
      <c r="D8" s="51"/>
      <c r="E8" s="89">
        <v>1.1599999999999999</v>
      </c>
      <c r="F8" s="89">
        <f t="shared" si="0"/>
        <v>-0.10777777777777753</v>
      </c>
      <c r="G8" s="89">
        <f t="shared" si="1"/>
        <v>1.1616049382715996E-2</v>
      </c>
      <c r="H8" s="89">
        <v>21</v>
      </c>
      <c r="I8" s="90">
        <f t="shared" si="10"/>
        <v>-7.4138888888888843</v>
      </c>
      <c r="J8" s="90">
        <f t="shared" si="2"/>
        <v>54.965748456790053</v>
      </c>
      <c r="K8" s="90">
        <v>52.5</v>
      </c>
      <c r="L8" s="90">
        <f t="shared" si="3"/>
        <v>1.6788888888888991</v>
      </c>
      <c r="M8" s="90">
        <f t="shared" si="4"/>
        <v>2.8186679012346021</v>
      </c>
      <c r="N8" s="90">
        <v>16.7</v>
      </c>
      <c r="O8" s="90">
        <f t="shared" si="5"/>
        <v>-2.5013888888888935</v>
      </c>
      <c r="P8" s="90">
        <f t="shared" si="6"/>
        <v>6.2569463734568131</v>
      </c>
      <c r="Q8" s="51">
        <f t="shared" si="9"/>
        <v>15.606420927467301</v>
      </c>
      <c r="R8" s="107">
        <f t="shared" si="7"/>
        <v>-1.7169686010494516</v>
      </c>
      <c r="S8" s="107">
        <f t="shared" si="8"/>
        <v>2.9479811769897108</v>
      </c>
      <c r="T8" s="51">
        <v>15.606420927467301</v>
      </c>
    </row>
    <row r="9" spans="1:20" x14ac:dyDescent="0.2">
      <c r="A9" s="51" t="s">
        <v>577</v>
      </c>
      <c r="B9" s="51" t="s">
        <v>578</v>
      </c>
      <c r="C9" s="51">
        <v>9</v>
      </c>
      <c r="D9" s="51"/>
      <c r="E9" s="90">
        <v>1.46</v>
      </c>
      <c r="F9" s="89">
        <f t="shared" si="0"/>
        <v>0.19222222222222252</v>
      </c>
      <c r="G9" s="89">
        <f t="shared" si="1"/>
        <v>3.6949382716049493E-2</v>
      </c>
      <c r="H9" s="89">
        <v>37</v>
      </c>
      <c r="I9" s="90">
        <f t="shared" si="10"/>
        <v>8.5861111111111157</v>
      </c>
      <c r="J9" s="90">
        <f>I9^2</f>
        <v>73.721304012345755</v>
      </c>
      <c r="K9" s="90">
        <v>51.6</v>
      </c>
      <c r="L9" s="90">
        <f t="shared" si="3"/>
        <v>0.77888888888890051</v>
      </c>
      <c r="M9" s="90">
        <f t="shared" si="4"/>
        <v>0.60666790123458603</v>
      </c>
      <c r="N9" s="90">
        <v>20.9</v>
      </c>
      <c r="O9" s="90">
        <f t="shared" si="5"/>
        <v>1.6986111111111057</v>
      </c>
      <c r="P9" s="90">
        <f t="shared" si="6"/>
        <v>2.8852797067901053</v>
      </c>
      <c r="Q9" s="51">
        <f t="shared" si="9"/>
        <v>17.357853255770316</v>
      </c>
      <c r="R9" s="107">
        <f t="shared" si="7"/>
        <v>3.4463727253562837E-2</v>
      </c>
      <c r="S9" s="107">
        <f t="shared" si="8"/>
        <v>1.1877484962079699E-3</v>
      </c>
      <c r="T9" s="51">
        <v>17.357853255770316</v>
      </c>
    </row>
    <row r="10" spans="1:20" x14ac:dyDescent="0.2">
      <c r="A10" s="51" t="s">
        <v>579</v>
      </c>
      <c r="B10" s="51" t="s">
        <v>161</v>
      </c>
      <c r="C10" s="51">
        <v>6</v>
      </c>
      <c r="D10" s="51"/>
      <c r="E10" s="90">
        <v>1.26</v>
      </c>
      <c r="F10" s="89">
        <f t="shared" si="0"/>
        <v>-7.7777777777774393E-3</v>
      </c>
      <c r="G10" s="89">
        <f t="shared" si="1"/>
        <v>6.049382716048856E-5</v>
      </c>
      <c r="H10" s="91">
        <v>22.7</v>
      </c>
      <c r="I10" s="90">
        <f t="shared" si="10"/>
        <v>-5.713888888888885</v>
      </c>
      <c r="J10" s="90">
        <f t="shared" si="2"/>
        <v>32.648526234567854</v>
      </c>
      <c r="K10" s="90">
        <v>52.25</v>
      </c>
      <c r="L10" s="90">
        <f t="shared" si="3"/>
        <v>1.4288888888888991</v>
      </c>
      <c r="M10" s="90">
        <f t="shared" si="4"/>
        <v>2.0417234567901525</v>
      </c>
      <c r="N10" s="90">
        <v>17.899999999999999</v>
      </c>
      <c r="O10" s="90">
        <f t="shared" si="5"/>
        <v>-1.3013888888888943</v>
      </c>
      <c r="P10" s="90">
        <f t="shared" si="6"/>
        <v>1.6936130401234708</v>
      </c>
      <c r="Q10" s="107">
        <f t="shared" si="9"/>
        <v>14.298311917359534</v>
      </c>
      <c r="R10" s="107">
        <f t="shared" si="7"/>
        <v>-3.0250776111572186</v>
      </c>
      <c r="S10" s="107">
        <f t="shared" si="8"/>
        <v>9.1510945535246648</v>
      </c>
      <c r="T10" s="51">
        <v>27045.85537918871</v>
      </c>
    </row>
    <row r="11" spans="1:20" x14ac:dyDescent="0.2">
      <c r="A11" s="51" t="s">
        <v>580</v>
      </c>
      <c r="B11" s="51" t="s">
        <v>164</v>
      </c>
      <c r="C11" s="51">
        <v>9</v>
      </c>
      <c r="D11" s="51"/>
      <c r="E11" s="90">
        <v>1.39</v>
      </c>
      <c r="F11" s="89">
        <f t="shared" si="0"/>
        <v>0.12222222222222245</v>
      </c>
      <c r="G11" s="89">
        <f t="shared" si="1"/>
        <v>1.4938271604938328E-2</v>
      </c>
      <c r="H11" s="90">
        <v>42.6</v>
      </c>
      <c r="I11" s="90">
        <f t="shared" si="10"/>
        <v>14.186111111111117</v>
      </c>
      <c r="J11" s="90">
        <f t="shared" si="2"/>
        <v>201.2457484567903</v>
      </c>
      <c r="K11" s="90">
        <v>54.1</v>
      </c>
      <c r="L11" s="90">
        <f t="shared" si="3"/>
        <v>3.2788888888889005</v>
      </c>
      <c r="M11" s="90">
        <f t="shared" si="4"/>
        <v>10.751112345679088</v>
      </c>
      <c r="N11" s="90">
        <v>24.2</v>
      </c>
      <c r="O11" s="90">
        <f t="shared" si="5"/>
        <v>4.9986111111111065</v>
      </c>
      <c r="P11" s="90">
        <f t="shared" si="6"/>
        <v>24.98611304012341</v>
      </c>
      <c r="Q11" s="51">
        <f t="shared" si="9"/>
        <v>22.048548211790283</v>
      </c>
      <c r="R11" s="107">
        <f t="shared" si="7"/>
        <v>4.7251586832735306</v>
      </c>
      <c r="S11" s="107">
        <f t="shared" si="8"/>
        <v>22.327124582115246</v>
      </c>
      <c r="T11" s="51">
        <v>22.048548211790283</v>
      </c>
    </row>
    <row r="12" spans="1:20" x14ac:dyDescent="0.2">
      <c r="A12" s="51" t="s">
        <v>581</v>
      </c>
      <c r="B12" s="51" t="s">
        <v>582</v>
      </c>
      <c r="C12" s="51">
        <v>6</v>
      </c>
      <c r="D12" s="51"/>
      <c r="E12" s="90">
        <v>1.1399999999999999</v>
      </c>
      <c r="F12" s="89">
        <f t="shared" si="0"/>
        <v>-0.12777777777777755</v>
      </c>
      <c r="G12" s="89">
        <f t="shared" si="1"/>
        <v>1.6327160493827101E-2</v>
      </c>
      <c r="H12" s="90">
        <v>17.399999999999999</v>
      </c>
      <c r="I12" s="90">
        <f>H12-$H$40</f>
        <v>-11.013888888888886</v>
      </c>
      <c r="J12" s="90">
        <f>I12^2</f>
        <v>121.30574845679006</v>
      </c>
      <c r="K12" s="90">
        <v>50.3</v>
      </c>
      <c r="L12" s="90">
        <f t="shared" si="3"/>
        <v>-0.52111111111110375</v>
      </c>
      <c r="M12" s="90">
        <f t="shared" si="4"/>
        <v>0.27155679012344913</v>
      </c>
      <c r="N12" s="90">
        <v>15.1</v>
      </c>
      <c r="O12" s="90">
        <f t="shared" si="5"/>
        <v>-4.1013888888888932</v>
      </c>
      <c r="P12" s="90">
        <f t="shared" si="6"/>
        <v>16.821390817901271</v>
      </c>
      <c r="Q12" s="51">
        <f>(H12/(E12^2))</f>
        <v>13.388734995383196</v>
      </c>
      <c r="R12" s="107">
        <f t="shared" si="7"/>
        <v>-3.934654533133557</v>
      </c>
      <c r="S12" s="107">
        <f t="shared" si="8"/>
        <v>15.481506295108449</v>
      </c>
      <c r="T12" s="51"/>
    </row>
    <row r="13" spans="1:20" x14ac:dyDescent="0.2">
      <c r="A13" s="51" t="s">
        <v>583</v>
      </c>
      <c r="B13" s="51" t="s">
        <v>168</v>
      </c>
      <c r="C13" s="51">
        <v>6</v>
      </c>
      <c r="D13" s="51"/>
      <c r="E13" s="90">
        <v>1.19</v>
      </c>
      <c r="F13" s="89">
        <f t="shared" si="0"/>
        <v>-7.7777777777777501E-2</v>
      </c>
      <c r="G13" s="89">
        <f>F13^2</f>
        <v>6.0493827160493395E-3</v>
      </c>
      <c r="H13" s="91">
        <v>21.9</v>
      </c>
      <c r="I13" s="90">
        <f t="shared" si="10"/>
        <v>-6.5138888888888857</v>
      </c>
      <c r="J13" s="90">
        <f t="shared" si="2"/>
        <v>42.430748456790084</v>
      </c>
      <c r="K13" s="90">
        <v>51.6</v>
      </c>
      <c r="L13" s="90">
        <f t="shared" si="3"/>
        <v>0.77888888888890051</v>
      </c>
      <c r="M13" s="90">
        <f t="shared" si="4"/>
        <v>0.60666790123458603</v>
      </c>
      <c r="N13" s="90">
        <v>17.2</v>
      </c>
      <c r="O13" s="90">
        <f t="shared" si="5"/>
        <v>-2.0013888888888935</v>
      </c>
      <c r="P13" s="90">
        <f t="shared" si="6"/>
        <v>4.0055574845679196</v>
      </c>
      <c r="Q13" s="107">
        <f>(H13/(E13^2))</f>
        <v>15.465009533225055</v>
      </c>
      <c r="R13" s="107">
        <f t="shared" si="7"/>
        <v>-1.8583799952916973</v>
      </c>
      <c r="S13" s="107">
        <f t="shared" si="8"/>
        <v>3.4535762069003688</v>
      </c>
      <c r="T13" s="51">
        <v>30364.381046536262</v>
      </c>
    </row>
    <row r="14" spans="1:20" x14ac:dyDescent="0.2">
      <c r="A14" s="51" t="s">
        <v>584</v>
      </c>
      <c r="B14" s="51" t="s">
        <v>585</v>
      </c>
      <c r="C14" s="51">
        <v>9</v>
      </c>
      <c r="D14" s="51"/>
      <c r="E14" s="90">
        <v>1.43</v>
      </c>
      <c r="F14" s="89">
        <f t="shared" si="0"/>
        <v>0.16222222222222249</v>
      </c>
      <c r="G14" s="89">
        <f t="shared" si="1"/>
        <v>2.6316049382716138E-2</v>
      </c>
      <c r="H14" s="89">
        <v>37</v>
      </c>
      <c r="I14" s="90">
        <f t="shared" si="10"/>
        <v>8.5861111111111157</v>
      </c>
      <c r="J14" s="90">
        <f t="shared" si="2"/>
        <v>73.721304012345755</v>
      </c>
      <c r="K14" s="90">
        <v>51.7</v>
      </c>
      <c r="L14" s="90">
        <f t="shared" si="3"/>
        <v>0.87888888888890193</v>
      </c>
      <c r="M14" s="90">
        <f t="shared" si="4"/>
        <v>0.7724456790123686</v>
      </c>
      <c r="N14" s="90">
        <v>21.5</v>
      </c>
      <c r="O14" s="90">
        <f t="shared" si="5"/>
        <v>2.2986111111111072</v>
      </c>
      <c r="P14" s="90">
        <f t="shared" si="6"/>
        <v>5.2836130401234387</v>
      </c>
      <c r="Q14" s="51">
        <f t="shared" ref="Q14:Q37" si="11">H14/E14^2</f>
        <v>18.093794317570545</v>
      </c>
      <c r="R14" s="107">
        <f t="shared" si="7"/>
        <v>0.77040478905379217</v>
      </c>
      <c r="S14" s="107">
        <f>R14^2</f>
        <v>0.59352353899701804</v>
      </c>
      <c r="T14" s="51">
        <v>18.093794317570545</v>
      </c>
    </row>
    <row r="15" spans="1:20" x14ac:dyDescent="0.2">
      <c r="A15" s="51" t="s">
        <v>586</v>
      </c>
      <c r="B15" s="51" t="s">
        <v>587</v>
      </c>
      <c r="C15" s="51">
        <v>11</v>
      </c>
      <c r="D15" s="51"/>
      <c r="E15" s="90">
        <v>1.34</v>
      </c>
      <c r="F15" s="89">
        <f t="shared" si="0"/>
        <v>7.2222222222222632E-2</v>
      </c>
      <c r="G15" s="89">
        <f t="shared" si="1"/>
        <v>5.2160493827161083E-3</v>
      </c>
      <c r="H15" s="91">
        <v>28.2</v>
      </c>
      <c r="I15" s="90">
        <f t="shared" si="10"/>
        <v>-0.21388888888888502</v>
      </c>
      <c r="J15" s="90">
        <f t="shared" si="2"/>
        <v>4.5748456790121801E-2</v>
      </c>
      <c r="K15" s="90">
        <v>50.4</v>
      </c>
      <c r="L15" s="90">
        <f>K15-$K$40</f>
        <v>-0.42111111111110233</v>
      </c>
      <c r="M15" s="90">
        <f>L15^2</f>
        <v>0.17733456790122717</v>
      </c>
      <c r="N15" s="90">
        <v>18.899999999999999</v>
      </c>
      <c r="O15" s="90">
        <f t="shared" si="5"/>
        <v>-0.30138888888889426</v>
      </c>
      <c r="P15" s="90">
        <f t="shared" si="6"/>
        <v>9.0835262345682247E-2</v>
      </c>
      <c r="Q15" s="107">
        <f>(H15/(E15^2))</f>
        <v>15.705056805524613</v>
      </c>
      <c r="R15" s="107">
        <f t="shared" si="7"/>
        <v>-1.6183327229921396</v>
      </c>
      <c r="S15" s="107">
        <f t="shared" si="8"/>
        <v>2.6190008023071534</v>
      </c>
      <c r="T15" s="51">
        <v>23832.702160837598</v>
      </c>
    </row>
    <row r="16" spans="1:20" x14ac:dyDescent="0.2">
      <c r="A16" s="51" t="s">
        <v>588</v>
      </c>
      <c r="B16" s="51" t="s">
        <v>322</v>
      </c>
      <c r="E16" s="90">
        <v>1.18</v>
      </c>
      <c r="F16" s="89">
        <f t="shared" si="0"/>
        <v>-8.777777777777751E-2</v>
      </c>
      <c r="G16" s="89">
        <f t="shared" si="1"/>
        <v>7.7049382716048911E-3</v>
      </c>
      <c r="H16" s="90">
        <v>21.6</v>
      </c>
      <c r="I16" s="90">
        <f t="shared" si="10"/>
        <v>-6.8138888888888829</v>
      </c>
      <c r="J16" s="90">
        <f t="shared" si="2"/>
        <v>46.429081790123377</v>
      </c>
      <c r="K16" s="90">
        <v>49.6</v>
      </c>
      <c r="L16" s="90">
        <f t="shared" si="3"/>
        <v>-1.2211111111110995</v>
      </c>
      <c r="M16" s="90">
        <f t="shared" si="4"/>
        <v>1.4911123456789839</v>
      </c>
      <c r="N16" s="90">
        <v>16.8</v>
      </c>
      <c r="O16" s="90">
        <f t="shared" si="5"/>
        <v>-2.4013888888888921</v>
      </c>
      <c r="P16" s="90">
        <f>O16^2</f>
        <v>5.766668595679028</v>
      </c>
      <c r="Q16" s="107">
        <f>(H16/(E16^2))</f>
        <v>15.512783682849758</v>
      </c>
      <c r="R16" s="107">
        <f t="shared" si="7"/>
        <v>-1.8106058456669949</v>
      </c>
      <c r="S16" s="107">
        <f t="shared" si="8"/>
        <v>3.2782935283634935</v>
      </c>
      <c r="T16" s="51">
        <v>30815.139327779376</v>
      </c>
    </row>
    <row r="17" spans="1:20" x14ac:dyDescent="0.2">
      <c r="A17" s="51" t="s">
        <v>324</v>
      </c>
      <c r="B17" s="51" t="s">
        <v>589</v>
      </c>
      <c r="E17" s="90">
        <v>1.43</v>
      </c>
      <c r="F17" s="89">
        <f t="shared" si="0"/>
        <v>0.16222222222222249</v>
      </c>
      <c r="G17" s="89">
        <f t="shared" si="1"/>
        <v>2.6316049382716138E-2</v>
      </c>
      <c r="H17" s="93">
        <v>35.5</v>
      </c>
      <c r="I17" s="90">
        <f t="shared" si="10"/>
        <v>7.0861111111111157</v>
      </c>
      <c r="J17" s="90">
        <f t="shared" si="2"/>
        <v>50.212970679012408</v>
      </c>
      <c r="K17" s="90">
        <v>51.45</v>
      </c>
      <c r="L17" s="90">
        <f t="shared" si="3"/>
        <v>0.62888888888890193</v>
      </c>
      <c r="M17" s="90">
        <f t="shared" si="4"/>
        <v>0.39550123456791764</v>
      </c>
      <c r="N17" s="93">
        <v>20.350000000000001</v>
      </c>
      <c r="O17" s="90">
        <f>N17-$N$40</f>
        <v>1.1486111111111086</v>
      </c>
      <c r="P17" s="90">
        <f t="shared" si="6"/>
        <v>1.3193074845678954</v>
      </c>
      <c r="Q17" s="51">
        <f>(H17/(E17^2))</f>
        <v>17.360262115506874</v>
      </c>
      <c r="R17" s="107">
        <f t="shared" si="7"/>
        <v>3.6872586990121192E-2</v>
      </c>
      <c r="S17" s="107">
        <f t="shared" si="8"/>
        <v>1.3595876713440546E-3</v>
      </c>
      <c r="T17" s="51">
        <v>17.360262115506874</v>
      </c>
    </row>
    <row r="18" spans="1:20" x14ac:dyDescent="0.2">
      <c r="A18" s="51" t="s">
        <v>590</v>
      </c>
      <c r="B18" s="51" t="s">
        <v>591</v>
      </c>
      <c r="E18" s="90">
        <v>1.25</v>
      </c>
      <c r="F18" s="89">
        <f t="shared" si="0"/>
        <v>-1.7777777777777448E-2</v>
      </c>
      <c r="G18" s="89">
        <f t="shared" si="1"/>
        <v>3.1604938271603768E-4</v>
      </c>
      <c r="H18" s="89">
        <v>25</v>
      </c>
      <c r="I18" s="90">
        <f t="shared" si="10"/>
        <v>-3.4138888888888843</v>
      </c>
      <c r="J18" s="90">
        <f t="shared" si="2"/>
        <v>11.654637345678982</v>
      </c>
      <c r="K18" s="90">
        <v>52.3</v>
      </c>
      <c r="L18" s="90">
        <f t="shared" si="3"/>
        <v>1.4788888888888962</v>
      </c>
      <c r="M18" s="90">
        <f t="shared" si="4"/>
        <v>2.1871123456790342</v>
      </c>
      <c r="N18" s="90">
        <v>19.100000000000001</v>
      </c>
      <c r="O18" s="90">
        <f t="shared" si="5"/>
        <v>-0.10138888888889142</v>
      </c>
      <c r="P18" s="90">
        <f t="shared" si="6"/>
        <v>1.0279706790123969E-2</v>
      </c>
      <c r="Q18" s="51">
        <f t="shared" si="11"/>
        <v>16</v>
      </c>
      <c r="R18" s="107">
        <f>Q18-$Q$40</f>
        <v>-1.3233895285167527</v>
      </c>
      <c r="S18" s="107">
        <f t="shared" si="8"/>
        <v>1.7513598441877931</v>
      </c>
      <c r="T18" s="51">
        <v>16</v>
      </c>
    </row>
    <row r="19" spans="1:20" x14ac:dyDescent="0.2">
      <c r="A19" s="51" t="s">
        <v>592</v>
      </c>
      <c r="B19" s="51" t="s">
        <v>414</v>
      </c>
      <c r="C19" s="51">
        <v>7</v>
      </c>
      <c r="E19" s="51">
        <v>1.1599999999999999</v>
      </c>
      <c r="F19" s="89">
        <f t="shared" si="0"/>
        <v>-0.10777777777777753</v>
      </c>
      <c r="G19" s="89">
        <f t="shared" si="1"/>
        <v>1.1616049382715996E-2</v>
      </c>
      <c r="H19" s="51">
        <v>24.6</v>
      </c>
      <c r="I19" s="90">
        <f t="shared" si="10"/>
        <v>-3.8138888888888829</v>
      </c>
      <c r="J19" s="90">
        <f>I19^2</f>
        <v>14.545748456790077</v>
      </c>
      <c r="K19" s="51">
        <v>53</v>
      </c>
      <c r="L19" s="90">
        <f t="shared" si="3"/>
        <v>2.1788888888888991</v>
      </c>
      <c r="M19" s="90">
        <f t="shared" si="4"/>
        <v>4.7475567901235012</v>
      </c>
      <c r="N19" s="51">
        <v>20.5</v>
      </c>
      <c r="O19" s="90">
        <f t="shared" si="5"/>
        <v>1.2986111111111072</v>
      </c>
      <c r="P19" s="90">
        <f>O19^2</f>
        <v>1.6863908179012244</v>
      </c>
      <c r="Q19" s="51">
        <f t="shared" si="11"/>
        <v>18.281807372175983</v>
      </c>
      <c r="R19" s="107">
        <f t="shared" si="7"/>
        <v>0.95841784365923033</v>
      </c>
      <c r="S19" s="107">
        <f t="shared" si="8"/>
        <v>0.91856476304440882</v>
      </c>
      <c r="T19" s="51">
        <v>18.281807372175983</v>
      </c>
    </row>
    <row r="20" spans="1:20" x14ac:dyDescent="0.2">
      <c r="A20" s="51" t="s">
        <v>415</v>
      </c>
      <c r="B20" s="51" t="s">
        <v>349</v>
      </c>
      <c r="C20" s="51">
        <v>6</v>
      </c>
      <c r="E20" s="89">
        <v>1.0900000000000001</v>
      </c>
      <c r="F20" s="89">
        <f t="shared" si="0"/>
        <v>-0.17777777777777737</v>
      </c>
      <c r="G20" s="89">
        <f t="shared" si="1"/>
        <v>3.1604938271604793E-2</v>
      </c>
      <c r="H20" s="89">
        <v>17.899999999999999</v>
      </c>
      <c r="I20" s="90">
        <f t="shared" si="10"/>
        <v>-10.513888888888886</v>
      </c>
      <c r="J20" s="90">
        <f t="shared" si="2"/>
        <v>110.54185956790117</v>
      </c>
      <c r="K20" s="89">
        <v>49.2</v>
      </c>
      <c r="L20" s="90">
        <f t="shared" si="3"/>
        <v>-1.6211111111110981</v>
      </c>
      <c r="M20" s="90">
        <f t="shared" si="4"/>
        <v>2.6280012345678592</v>
      </c>
      <c r="N20" s="89">
        <v>17.100000000000001</v>
      </c>
      <c r="O20" s="90">
        <f t="shared" si="5"/>
        <v>-2.1013888888888914</v>
      </c>
      <c r="P20" s="90">
        <f t="shared" si="6"/>
        <v>4.4158352623456896</v>
      </c>
      <c r="Q20" s="51">
        <f t="shared" si="11"/>
        <v>15.066071879471421</v>
      </c>
      <c r="R20" s="107">
        <f t="shared" si="7"/>
        <v>-2.2573176490453317</v>
      </c>
      <c r="S20" s="107">
        <f t="shared" si="8"/>
        <v>5.0954829686915435</v>
      </c>
      <c r="T20" s="51">
        <v>15.066071879471421</v>
      </c>
    </row>
    <row r="21" spans="1:20" x14ac:dyDescent="0.2">
      <c r="A21" s="51" t="s">
        <v>354</v>
      </c>
      <c r="B21" s="51" t="s">
        <v>593</v>
      </c>
      <c r="C21" s="51">
        <v>9</v>
      </c>
      <c r="E21" s="89">
        <v>1.38</v>
      </c>
      <c r="F21" s="89">
        <f>E21-$E$40</f>
        <v>0.11222222222222245</v>
      </c>
      <c r="G21" s="89">
        <f t="shared" si="1"/>
        <v>1.2593827160493877E-2</v>
      </c>
      <c r="H21" s="89">
        <v>48.6</v>
      </c>
      <c r="I21" s="90">
        <f t="shared" si="10"/>
        <v>20.186111111111117</v>
      </c>
      <c r="J21" s="90">
        <f t="shared" si="2"/>
        <v>407.4790817901237</v>
      </c>
      <c r="K21" s="89">
        <v>51</v>
      </c>
      <c r="L21" s="90">
        <f t="shared" si="3"/>
        <v>0.17888888888889909</v>
      </c>
      <c r="M21" s="90">
        <f>L21^2</f>
        <v>3.2001234567904886E-2</v>
      </c>
      <c r="N21" s="89">
        <v>26</v>
      </c>
      <c r="O21" s="90">
        <f t="shared" si="5"/>
        <v>6.7986111111111072</v>
      </c>
      <c r="P21" s="90">
        <f t="shared" si="6"/>
        <v>46.221113040123406</v>
      </c>
      <c r="Q21" s="51">
        <f t="shared" si="11"/>
        <v>25.519848771266545</v>
      </c>
      <c r="R21" s="107">
        <f t="shared" si="7"/>
        <v>8.1964592427497927</v>
      </c>
      <c r="S21" s="107">
        <f t="shared" si="8"/>
        <v>67.18194411805851</v>
      </c>
      <c r="T21" s="51">
        <v>25.519848771266545</v>
      </c>
    </row>
    <row r="22" spans="1:20" x14ac:dyDescent="0.2">
      <c r="A22" s="51" t="s">
        <v>311</v>
      </c>
      <c r="B22" s="51" t="s">
        <v>594</v>
      </c>
      <c r="C22" s="51">
        <v>7</v>
      </c>
      <c r="E22" s="89">
        <v>1.1399999999999999</v>
      </c>
      <c r="F22" s="89">
        <f t="shared" si="0"/>
        <v>-0.12777777777777755</v>
      </c>
      <c r="G22" s="89">
        <f>F22^2</f>
        <v>1.6327160493827101E-2</v>
      </c>
      <c r="H22" s="62">
        <v>22.3</v>
      </c>
      <c r="I22" s="90">
        <f t="shared" si="10"/>
        <v>-6.1138888888888836</v>
      </c>
      <c r="J22" s="90">
        <f t="shared" si="2"/>
        <v>37.379637345678951</v>
      </c>
      <c r="K22" s="89">
        <v>51.3</v>
      </c>
      <c r="L22" s="90">
        <f t="shared" si="3"/>
        <v>0.47888888888889625</v>
      </c>
      <c r="M22" s="90">
        <f t="shared" si="4"/>
        <v>0.22933456790124163</v>
      </c>
      <c r="N22" s="89">
        <v>17</v>
      </c>
      <c r="O22" s="90">
        <f t="shared" si="5"/>
        <v>-2.2013888888888928</v>
      </c>
      <c r="P22" s="90">
        <f t="shared" si="6"/>
        <v>4.8461130401234742</v>
      </c>
      <c r="Q22" s="51">
        <f t="shared" si="11"/>
        <v>17.159125884887661</v>
      </c>
      <c r="R22" s="107">
        <f t="shared" si="7"/>
        <v>-0.1642636436290914</v>
      </c>
      <c r="S22" s="107">
        <f t="shared" si="8"/>
        <v>2.698254461830514E-2</v>
      </c>
      <c r="T22" s="51">
        <v>17.159125884887661</v>
      </c>
    </row>
    <row r="23" spans="1:20" x14ac:dyDescent="0.2">
      <c r="A23" s="51" t="s">
        <v>313</v>
      </c>
      <c r="B23" s="51" t="s">
        <v>312</v>
      </c>
      <c r="C23" s="51">
        <v>7</v>
      </c>
      <c r="D23" s="51"/>
      <c r="E23" s="89">
        <v>1.1499999999999999</v>
      </c>
      <c r="F23" s="89">
        <f t="shared" si="0"/>
        <v>-0.11777777777777754</v>
      </c>
      <c r="G23" s="89">
        <f t="shared" si="1"/>
        <v>1.3871604938271548E-2</v>
      </c>
      <c r="H23" s="62">
        <v>23.8</v>
      </c>
      <c r="I23" s="90">
        <f t="shared" si="10"/>
        <v>-4.6138888888888836</v>
      </c>
      <c r="J23" s="90">
        <f t="shared" si="2"/>
        <v>21.287970679012297</v>
      </c>
      <c r="K23" s="89">
        <v>52</v>
      </c>
      <c r="L23" s="90">
        <f t="shared" si="3"/>
        <v>1.1788888888888991</v>
      </c>
      <c r="M23" s="90">
        <f t="shared" si="4"/>
        <v>1.389779012345703</v>
      </c>
      <c r="N23" s="89">
        <v>18.2</v>
      </c>
      <c r="O23" s="90">
        <f t="shared" si="5"/>
        <v>-1.0013888888888935</v>
      </c>
      <c r="P23" s="90">
        <f t="shared" si="6"/>
        <v>1.0027797067901327</v>
      </c>
      <c r="Q23" s="51">
        <f t="shared" si="11"/>
        <v>17.996219281663521</v>
      </c>
      <c r="R23" s="107">
        <f t="shared" si="7"/>
        <v>0.67282975314676818</v>
      </c>
      <c r="S23" s="107">
        <f>R23^2</f>
        <v>0.45269987671954098</v>
      </c>
      <c r="T23" s="51">
        <v>17.996219281663521</v>
      </c>
    </row>
    <row r="24" spans="1:20" x14ac:dyDescent="0.2">
      <c r="A24" s="51" t="s">
        <v>317</v>
      </c>
      <c r="B24" s="51" t="s">
        <v>318</v>
      </c>
      <c r="C24" s="51">
        <v>8</v>
      </c>
      <c r="D24" s="51"/>
      <c r="E24" s="51">
        <v>1.3</v>
      </c>
      <c r="F24" s="89">
        <f t="shared" si="0"/>
        <v>3.2222222222222596E-2</v>
      </c>
      <c r="G24" s="89">
        <f t="shared" si="1"/>
        <v>1.0382716049382958E-3</v>
      </c>
      <c r="H24" s="51">
        <v>29.6</v>
      </c>
      <c r="I24" s="90">
        <f t="shared" si="10"/>
        <v>1.1861111111111171</v>
      </c>
      <c r="J24" s="90">
        <f t="shared" si="2"/>
        <v>1.4068595679012488</v>
      </c>
      <c r="K24" s="51">
        <v>52</v>
      </c>
      <c r="L24" s="90">
        <f t="shared" si="3"/>
        <v>1.1788888888888991</v>
      </c>
      <c r="M24" s="90">
        <f t="shared" si="4"/>
        <v>1.389779012345703</v>
      </c>
      <c r="N24" s="51">
        <v>19.8</v>
      </c>
      <c r="O24" s="90">
        <f t="shared" si="5"/>
        <v>0.59861111111110787</v>
      </c>
      <c r="P24" s="90">
        <f t="shared" si="6"/>
        <v>0.35833526234567514</v>
      </c>
      <c r="Q24" s="51">
        <f t="shared" si="11"/>
        <v>17.514792899408285</v>
      </c>
      <c r="R24" s="107">
        <f t="shared" si="7"/>
        <v>0.19140337089153192</v>
      </c>
      <c r="S24" s="107">
        <f t="shared" si="8"/>
        <v>3.6635250388641329E-2</v>
      </c>
      <c r="T24" s="51">
        <v>17.514792899408285</v>
      </c>
    </row>
    <row r="25" spans="1:20" x14ac:dyDescent="0.2">
      <c r="A25" s="63" t="s">
        <v>595</v>
      </c>
      <c r="B25" s="63" t="s">
        <v>596</v>
      </c>
      <c r="C25" s="63">
        <v>9</v>
      </c>
      <c r="D25" s="63"/>
      <c r="E25" s="63">
        <v>1.24</v>
      </c>
      <c r="F25" s="89">
        <f t="shared" si="0"/>
        <v>-2.7777777777777457E-2</v>
      </c>
      <c r="G25" s="89">
        <f t="shared" si="1"/>
        <v>7.7160493827158711E-4</v>
      </c>
      <c r="H25" s="63">
        <v>26.3</v>
      </c>
      <c r="I25" s="90">
        <f t="shared" si="10"/>
        <v>-2.1138888888888836</v>
      </c>
      <c r="J25" s="90">
        <f t="shared" si="2"/>
        <v>4.4685262345678787</v>
      </c>
      <c r="K25" s="63">
        <v>52</v>
      </c>
      <c r="L25" s="90">
        <f>K25-$K$40</f>
        <v>1.1788888888888991</v>
      </c>
      <c r="M25" s="90">
        <f t="shared" si="4"/>
        <v>1.389779012345703</v>
      </c>
      <c r="N25" s="63">
        <v>19.5</v>
      </c>
      <c r="O25" s="90">
        <f t="shared" si="5"/>
        <v>0.29861111111110716</v>
      </c>
      <c r="P25" s="90">
        <f t="shared" si="6"/>
        <v>8.916859567900999E-2</v>
      </c>
      <c r="Q25" s="51">
        <f t="shared" si="11"/>
        <v>17.104578563995837</v>
      </c>
      <c r="R25" s="107">
        <f t="shared" si="7"/>
        <v>-0.21881096452091597</v>
      </c>
      <c r="S25" s="107">
        <f t="shared" si="8"/>
        <v>4.7878238194573548E-2</v>
      </c>
      <c r="T25" s="63">
        <v>17.104578563995837</v>
      </c>
    </row>
    <row r="26" spans="1:20" x14ac:dyDescent="0.2">
      <c r="A26" s="51" t="s">
        <v>9</v>
      </c>
      <c r="B26" s="51" t="s">
        <v>268</v>
      </c>
      <c r="C26" s="51">
        <v>10</v>
      </c>
      <c r="D26" s="51"/>
      <c r="E26" s="51">
        <v>1.42</v>
      </c>
      <c r="F26" s="89">
        <f t="shared" si="0"/>
        <v>0.15222222222222248</v>
      </c>
      <c r="G26" s="89">
        <f t="shared" si="1"/>
        <v>2.3171604938271684E-2</v>
      </c>
      <c r="H26" s="51">
        <v>42.1</v>
      </c>
      <c r="I26" s="90">
        <f t="shared" si="10"/>
        <v>13.686111111111117</v>
      </c>
      <c r="J26" s="90">
        <f>I26^2</f>
        <v>187.30963734567916</v>
      </c>
      <c r="K26" s="51">
        <v>50.5</v>
      </c>
      <c r="L26" s="90">
        <f t="shared" si="3"/>
        <v>-0.32111111111110091</v>
      </c>
      <c r="M26" s="90">
        <f t="shared" si="4"/>
        <v>0.10311234567900579</v>
      </c>
      <c r="N26" s="51">
        <v>23</v>
      </c>
      <c r="O26" s="90">
        <f t="shared" si="5"/>
        <v>3.7986111111111072</v>
      </c>
      <c r="P26" s="90">
        <f t="shared" si="6"/>
        <v>14.429446373456759</v>
      </c>
      <c r="Q26" s="51">
        <f t="shared" si="11"/>
        <v>20.878793890101171</v>
      </c>
      <c r="R26" s="107">
        <f t="shared" si="7"/>
        <v>3.5554043615844186</v>
      </c>
      <c r="S26" s="107">
        <f t="shared" si="8"/>
        <v>12.640900174373508</v>
      </c>
      <c r="T26" s="51">
        <v>20.878793890101171</v>
      </c>
    </row>
    <row r="27" spans="1:20" x14ac:dyDescent="0.2">
      <c r="A27" s="51" t="s">
        <v>14</v>
      </c>
      <c r="B27" s="51" t="s">
        <v>597</v>
      </c>
      <c r="C27" s="51">
        <v>8</v>
      </c>
      <c r="D27" s="51"/>
      <c r="E27" s="51">
        <v>1.28</v>
      </c>
      <c r="F27" s="89">
        <f t="shared" si="0"/>
        <v>1.2222222222222578E-2</v>
      </c>
      <c r="G27" s="89">
        <f t="shared" si="1"/>
        <v>1.4938271604939143E-4</v>
      </c>
      <c r="H27" s="51">
        <v>27.5</v>
      </c>
      <c r="I27" s="90">
        <f t="shared" si="10"/>
        <v>-0.91388888888888431</v>
      </c>
      <c r="J27" s="90">
        <f t="shared" si="2"/>
        <v>0.83519290123455958</v>
      </c>
      <c r="K27" s="51">
        <v>52.3</v>
      </c>
      <c r="L27" s="90">
        <f t="shared" si="3"/>
        <v>1.4788888888888962</v>
      </c>
      <c r="M27" s="90">
        <f t="shared" si="4"/>
        <v>2.1871123456790342</v>
      </c>
      <c r="N27" s="51">
        <v>20.100000000000001</v>
      </c>
      <c r="O27" s="90">
        <f>N27-$N$40</f>
        <v>0.89861111111110858</v>
      </c>
      <c r="P27" s="90">
        <f t="shared" si="6"/>
        <v>0.80750192901234119</v>
      </c>
      <c r="Q27" s="51">
        <f t="shared" si="11"/>
        <v>16.78466796875</v>
      </c>
      <c r="R27" s="107">
        <f t="shared" si="7"/>
        <v>-0.53872155976675273</v>
      </c>
      <c r="S27" s="107">
        <f t="shared" si="8"/>
        <v>0.29022091895752294</v>
      </c>
      <c r="T27" s="51">
        <v>16.78466796875</v>
      </c>
    </row>
    <row r="28" spans="1:20" x14ac:dyDescent="0.2">
      <c r="A28" s="51" t="s">
        <v>272</v>
      </c>
      <c r="B28" s="51" t="s">
        <v>419</v>
      </c>
      <c r="C28" s="51">
        <v>7</v>
      </c>
      <c r="D28" s="51"/>
      <c r="E28" s="51">
        <v>1.3</v>
      </c>
      <c r="F28" s="89">
        <f t="shared" si="0"/>
        <v>3.2222222222222596E-2</v>
      </c>
      <c r="G28" s="89">
        <f t="shared" si="1"/>
        <v>1.0382716049382958E-3</v>
      </c>
      <c r="H28" s="51">
        <v>35.299999999999997</v>
      </c>
      <c r="I28" s="90">
        <f t="shared" si="10"/>
        <v>6.8861111111111128</v>
      </c>
      <c r="J28" s="90">
        <f t="shared" si="2"/>
        <v>47.418526234567928</v>
      </c>
      <c r="K28" s="51">
        <v>53</v>
      </c>
      <c r="L28" s="90">
        <f t="shared" si="3"/>
        <v>2.1788888888888991</v>
      </c>
      <c r="M28" s="90">
        <f t="shared" si="4"/>
        <v>4.7475567901235012</v>
      </c>
      <c r="N28" s="51">
        <v>21.5</v>
      </c>
      <c r="O28" s="90">
        <f t="shared" si="5"/>
        <v>2.2986111111111072</v>
      </c>
      <c r="P28" s="90">
        <f t="shared" si="6"/>
        <v>5.2836130401234387</v>
      </c>
      <c r="Q28" s="51">
        <f t="shared" si="11"/>
        <v>20.887573964497037</v>
      </c>
      <c r="R28" s="107">
        <f t="shared" si="7"/>
        <v>3.5641844359802839</v>
      </c>
      <c r="S28" s="107">
        <f t="shared" si="8"/>
        <v>12.703410693684095</v>
      </c>
      <c r="T28" s="51">
        <v>20.887573964497037</v>
      </c>
    </row>
    <row r="29" spans="1:20" x14ac:dyDescent="0.2">
      <c r="A29" s="51" t="s">
        <v>327</v>
      </c>
      <c r="B29" s="51" t="s">
        <v>598</v>
      </c>
      <c r="C29" s="51">
        <v>8</v>
      </c>
      <c r="D29" s="51"/>
      <c r="E29" s="51">
        <v>1.3</v>
      </c>
      <c r="F29" s="89">
        <f t="shared" si="0"/>
        <v>3.2222222222222596E-2</v>
      </c>
      <c r="G29" s="89">
        <f t="shared" si="1"/>
        <v>1.0382716049382958E-3</v>
      </c>
      <c r="H29" s="51">
        <v>26</v>
      </c>
      <c r="I29" s="90">
        <f t="shared" si="10"/>
        <v>-2.4138888888888843</v>
      </c>
      <c r="J29" s="90">
        <f>I29^2</f>
        <v>5.8268595679012121</v>
      </c>
      <c r="K29" s="51">
        <v>50.3</v>
      </c>
      <c r="L29" s="90">
        <f t="shared" si="3"/>
        <v>-0.52111111111110375</v>
      </c>
      <c r="M29" s="90">
        <f>L29^2</f>
        <v>0.27155679012344913</v>
      </c>
      <c r="N29" s="51">
        <v>17.5</v>
      </c>
      <c r="O29" s="90">
        <f t="shared" si="5"/>
        <v>-1.7013888888888928</v>
      </c>
      <c r="P29" s="90">
        <f t="shared" si="6"/>
        <v>2.8947241512345814</v>
      </c>
      <c r="Q29" s="51">
        <f t="shared" si="11"/>
        <v>15.384615384615383</v>
      </c>
      <c r="R29" s="107">
        <f t="shared" si="7"/>
        <v>-1.9387741439013695</v>
      </c>
      <c r="S29" s="107">
        <f t="shared" si="8"/>
        <v>3.7588451810604879</v>
      </c>
      <c r="T29" s="51">
        <v>15.384615384615383</v>
      </c>
    </row>
    <row r="30" spans="1:20" x14ac:dyDescent="0.2">
      <c r="A30" s="51" t="s">
        <v>275</v>
      </c>
      <c r="B30" s="51" t="s">
        <v>599</v>
      </c>
      <c r="C30" s="51">
        <v>8</v>
      </c>
      <c r="D30" s="51"/>
      <c r="E30" s="51">
        <v>1.39</v>
      </c>
      <c r="F30" s="89">
        <f t="shared" si="0"/>
        <v>0.12222222222222245</v>
      </c>
      <c r="G30" s="89">
        <f t="shared" si="1"/>
        <v>1.4938271604938328E-2</v>
      </c>
      <c r="H30" s="51">
        <v>43</v>
      </c>
      <c r="I30" s="90">
        <f t="shared" si="10"/>
        <v>14.586111111111116</v>
      </c>
      <c r="J30" s="90">
        <f t="shared" si="2"/>
        <v>212.75463734567916</v>
      </c>
      <c r="K30" s="51">
        <v>52.6</v>
      </c>
      <c r="L30" s="90">
        <f t="shared" si="3"/>
        <v>1.7788888888889005</v>
      </c>
      <c r="M30" s="90">
        <f t="shared" si="4"/>
        <v>3.1644456790123869</v>
      </c>
      <c r="N30" s="51">
        <v>23.6</v>
      </c>
      <c r="O30" s="90">
        <f t="shared" si="5"/>
        <v>4.3986111111111086</v>
      </c>
      <c r="P30" s="90">
        <f>O30^2</f>
        <v>19.347779706790103</v>
      </c>
      <c r="Q30" s="51">
        <f t="shared" si="11"/>
        <v>22.255576833497233</v>
      </c>
      <c r="R30" s="107">
        <f>Q30-$Q$40</f>
        <v>4.9321873049804807</v>
      </c>
      <c r="S30" s="107">
        <f t="shared" si="8"/>
        <v>24.326471611410618</v>
      </c>
      <c r="T30" s="51">
        <v>22.255576833497233</v>
      </c>
    </row>
    <row r="31" spans="1:20" x14ac:dyDescent="0.2">
      <c r="A31" s="51" t="s">
        <v>280</v>
      </c>
      <c r="B31" s="51" t="s">
        <v>422</v>
      </c>
      <c r="C31" s="51">
        <v>8</v>
      </c>
      <c r="D31" s="51"/>
      <c r="E31" s="51">
        <v>1.33</v>
      </c>
      <c r="F31" s="89">
        <f t="shared" si="0"/>
        <v>6.2222222222222623E-2</v>
      </c>
      <c r="G31" s="89">
        <f t="shared" si="1"/>
        <v>3.8716049382716547E-3</v>
      </c>
      <c r="H31" s="51">
        <v>34.5</v>
      </c>
      <c r="I31" s="90">
        <f>H31-$H$40</f>
        <v>6.0861111111111157</v>
      </c>
      <c r="J31" s="90">
        <f>I31^2</f>
        <v>37.040748456790176</v>
      </c>
      <c r="K31" s="51">
        <v>52.8</v>
      </c>
      <c r="L31" s="90">
        <f t="shared" si="3"/>
        <v>1.9788888888888962</v>
      </c>
      <c r="M31" s="90">
        <f t="shared" si="4"/>
        <v>3.9160012345679305</v>
      </c>
      <c r="N31" s="51">
        <v>21.5</v>
      </c>
      <c r="O31" s="90">
        <f t="shared" si="5"/>
        <v>2.2986111111111072</v>
      </c>
      <c r="P31" s="90">
        <f t="shared" si="6"/>
        <v>5.2836130401234387</v>
      </c>
      <c r="Q31" s="51">
        <f t="shared" si="11"/>
        <v>19.503646333879811</v>
      </c>
      <c r="R31" s="107">
        <f t="shared" si="7"/>
        <v>2.180256805363058</v>
      </c>
      <c r="S31" s="107">
        <f t="shared" si="8"/>
        <v>4.7535197373319278</v>
      </c>
      <c r="T31" s="51">
        <v>19.503646333879811</v>
      </c>
    </row>
    <row r="32" spans="1:20" x14ac:dyDescent="0.2">
      <c r="A32" s="51" t="s">
        <v>285</v>
      </c>
      <c r="B32" s="51" t="s">
        <v>600</v>
      </c>
      <c r="C32" s="51">
        <v>10</v>
      </c>
      <c r="D32" s="51"/>
      <c r="E32" s="51">
        <v>1.34</v>
      </c>
      <c r="F32" s="89">
        <f t="shared" si="0"/>
        <v>7.2222222222222632E-2</v>
      </c>
      <c r="G32" s="89">
        <f t="shared" si="1"/>
        <v>5.2160493827161083E-3</v>
      </c>
      <c r="H32" s="51">
        <v>30.6</v>
      </c>
      <c r="I32" s="90">
        <f t="shared" si="10"/>
        <v>2.1861111111111171</v>
      </c>
      <c r="J32" s="90">
        <f t="shared" si="2"/>
        <v>4.7790817901234828</v>
      </c>
      <c r="K32" s="51">
        <v>52.4</v>
      </c>
      <c r="L32" s="90">
        <f t="shared" si="3"/>
        <v>1.5788888888888977</v>
      </c>
      <c r="M32" s="90">
        <f t="shared" si="4"/>
        <v>2.4928901234568177</v>
      </c>
      <c r="N32" s="51">
        <v>18.100000000000001</v>
      </c>
      <c r="O32" s="90">
        <f t="shared" si="5"/>
        <v>-1.1013888888888914</v>
      </c>
      <c r="P32" s="90">
        <f t="shared" si="6"/>
        <v>1.2130574845679067</v>
      </c>
      <c r="Q32" s="51">
        <f t="shared" si="11"/>
        <v>17.041657384718199</v>
      </c>
      <c r="R32" s="107">
        <f t="shared" si="7"/>
        <v>-0.28173214379855338</v>
      </c>
      <c r="S32" s="107">
        <f t="shared" si="8"/>
        <v>7.9373000849328759E-2</v>
      </c>
      <c r="T32" s="51">
        <v>17.041657384718199</v>
      </c>
    </row>
    <row r="33" spans="1:20" x14ac:dyDescent="0.2">
      <c r="A33" s="51" t="s">
        <v>601</v>
      </c>
      <c r="B33" s="51" t="s">
        <v>425</v>
      </c>
      <c r="C33" s="51">
        <v>6</v>
      </c>
      <c r="D33" s="51"/>
      <c r="E33" s="51">
        <v>1.1000000000000001</v>
      </c>
      <c r="F33" s="89">
        <f t="shared" si="0"/>
        <v>-0.16777777777777736</v>
      </c>
      <c r="G33" s="89">
        <f>F33^2</f>
        <v>2.8149382716049241E-2</v>
      </c>
      <c r="H33" s="51">
        <v>17</v>
      </c>
      <c r="I33" s="90">
        <f t="shared" si="10"/>
        <v>-11.413888888888884</v>
      </c>
      <c r="J33" s="90">
        <f t="shared" si="2"/>
        <v>130.27685956790114</v>
      </c>
      <c r="K33" s="51">
        <v>19.3</v>
      </c>
      <c r="L33" s="90">
        <f t="shared" si="3"/>
        <v>-31.5211111111111</v>
      </c>
      <c r="M33" s="90">
        <f t="shared" si="4"/>
        <v>993.58044567901163</v>
      </c>
      <c r="N33" s="51">
        <v>15</v>
      </c>
      <c r="O33" s="90">
        <f t="shared" si="5"/>
        <v>-4.2013888888888928</v>
      </c>
      <c r="P33" s="90">
        <f t="shared" si="6"/>
        <v>17.651668595679045</v>
      </c>
      <c r="Q33" s="51">
        <f t="shared" si="11"/>
        <v>14.049586776859503</v>
      </c>
      <c r="R33" s="107">
        <f t="shared" si="7"/>
        <v>-3.2738027516572501</v>
      </c>
      <c r="S33" s="107">
        <f t="shared" si="8"/>
        <v>10.717784456758583</v>
      </c>
      <c r="T33" s="51">
        <v>14.049586776859503</v>
      </c>
    </row>
    <row r="34" spans="1:20" x14ac:dyDescent="0.2">
      <c r="A34" s="51" t="s">
        <v>291</v>
      </c>
      <c r="B34" s="51" t="s">
        <v>290</v>
      </c>
      <c r="C34" s="51">
        <v>9</v>
      </c>
      <c r="D34" s="51"/>
      <c r="E34" s="51">
        <v>1.37</v>
      </c>
      <c r="F34" s="89">
        <f t="shared" si="0"/>
        <v>0.10222222222222266</v>
      </c>
      <c r="G34" s="89">
        <f t="shared" si="1"/>
        <v>1.0449382716049472E-2</v>
      </c>
      <c r="H34" s="51">
        <v>29.8</v>
      </c>
      <c r="I34" s="90">
        <f t="shared" si="10"/>
        <v>1.3861111111111164</v>
      </c>
      <c r="J34" s="90">
        <f t="shared" si="2"/>
        <v>1.9213040123456937</v>
      </c>
      <c r="K34" s="51">
        <v>51.8</v>
      </c>
      <c r="L34" s="90">
        <f t="shared" si="3"/>
        <v>0.97888888888889625</v>
      </c>
      <c r="M34" s="90">
        <f t="shared" si="4"/>
        <v>0.95822345679013787</v>
      </c>
      <c r="N34" s="51">
        <v>18.899999999999999</v>
      </c>
      <c r="O34" s="90">
        <f t="shared" si="5"/>
        <v>-0.30138888888889426</v>
      </c>
      <c r="P34" s="90">
        <f t="shared" si="6"/>
        <v>9.0835262345682247E-2</v>
      </c>
      <c r="Q34" s="51">
        <f t="shared" si="11"/>
        <v>15.877244392349084</v>
      </c>
      <c r="R34" s="107">
        <f t="shared" si="7"/>
        <v>-1.4461451361676687</v>
      </c>
      <c r="S34" s="107">
        <f t="shared" si="8"/>
        <v>2.0913357548614049</v>
      </c>
      <c r="T34" s="51">
        <v>15.877244392349084</v>
      </c>
    </row>
    <row r="35" spans="1:20" x14ac:dyDescent="0.2">
      <c r="A35" s="51" t="s">
        <v>295</v>
      </c>
      <c r="B35" s="51" t="s">
        <v>294</v>
      </c>
      <c r="C35" s="51">
        <v>6</v>
      </c>
      <c r="D35" s="51"/>
      <c r="E35" s="51">
        <v>1.1200000000000001</v>
      </c>
      <c r="F35" s="89">
        <f t="shared" si="0"/>
        <v>-0.14777777777777734</v>
      </c>
      <c r="G35" s="89">
        <f>F35^2</f>
        <v>2.1838271604938144E-2</v>
      </c>
      <c r="H35" s="51">
        <v>20.5</v>
      </c>
      <c r="I35" s="90">
        <f t="shared" si="10"/>
        <v>-7.9138888888888843</v>
      </c>
      <c r="J35" s="90">
        <f t="shared" si="2"/>
        <v>62.629637345678937</v>
      </c>
      <c r="K35" s="51">
        <v>51.3</v>
      </c>
      <c r="L35" s="90">
        <f t="shared" si="3"/>
        <v>0.47888888888889625</v>
      </c>
      <c r="M35" s="90">
        <f t="shared" si="4"/>
        <v>0.22933456790124163</v>
      </c>
      <c r="N35" s="51">
        <v>17.5</v>
      </c>
      <c r="O35" s="90">
        <f t="shared" si="5"/>
        <v>-1.7013888888888928</v>
      </c>
      <c r="P35" s="90">
        <f t="shared" si="6"/>
        <v>2.8947241512345814</v>
      </c>
      <c r="Q35" s="51">
        <f t="shared" si="11"/>
        <v>16.342474489795915</v>
      </c>
      <c r="R35" s="107">
        <f t="shared" si="7"/>
        <v>-0.98091503872083763</v>
      </c>
      <c r="S35" s="107">
        <f>R35^2</f>
        <v>0.96219431318870241</v>
      </c>
      <c r="T35" s="51">
        <v>16.342474489795915</v>
      </c>
    </row>
    <row r="36" spans="1:20" x14ac:dyDescent="0.2">
      <c r="A36" s="51" t="s">
        <v>359</v>
      </c>
      <c r="B36" s="51" t="s">
        <v>427</v>
      </c>
      <c r="C36" s="51">
        <v>7</v>
      </c>
      <c r="D36" s="51"/>
      <c r="E36" s="51">
        <v>1.17</v>
      </c>
      <c r="F36" s="89">
        <f>E36-$E$40</f>
        <v>-9.7777777777777519E-2</v>
      </c>
      <c r="G36" s="89">
        <f t="shared" si="1"/>
        <v>9.5604938271604441E-3</v>
      </c>
      <c r="H36" s="51">
        <v>19.100000000000001</v>
      </c>
      <c r="I36" s="90">
        <f t="shared" si="10"/>
        <v>-9.3138888888888829</v>
      </c>
      <c r="J36" s="90">
        <f t="shared" si="2"/>
        <v>86.748526234567791</v>
      </c>
      <c r="K36" s="51">
        <v>51.5</v>
      </c>
      <c r="L36" s="90">
        <f t="shared" si="3"/>
        <v>0.67888888888889909</v>
      </c>
      <c r="M36" s="90">
        <f t="shared" si="4"/>
        <v>0.46089012345680397</v>
      </c>
      <c r="N36" s="51">
        <v>14.5</v>
      </c>
      <c r="O36" s="90">
        <f t="shared" si="5"/>
        <v>-4.7013888888888928</v>
      </c>
      <c r="P36" s="90">
        <f t="shared" si="6"/>
        <v>22.103057484567938</v>
      </c>
      <c r="Q36" s="51">
        <f t="shared" si="11"/>
        <v>13.9528088246037</v>
      </c>
      <c r="R36" s="107">
        <f t="shared" si="7"/>
        <v>-3.3705807039130526</v>
      </c>
      <c r="S36" s="107">
        <f t="shared" si="8"/>
        <v>11.36081428159101</v>
      </c>
      <c r="T36" s="51">
        <v>13.9528088246037</v>
      </c>
    </row>
    <row r="37" spans="1:20" x14ac:dyDescent="0.2">
      <c r="A37" s="51" t="s">
        <v>430</v>
      </c>
      <c r="B37" s="51" t="s">
        <v>301</v>
      </c>
      <c r="C37" s="51">
        <v>8</v>
      </c>
      <c r="D37" s="51"/>
      <c r="E37" s="51">
        <v>1.23</v>
      </c>
      <c r="F37" s="89">
        <f t="shared" si="0"/>
        <v>-3.7777777777777466E-2</v>
      </c>
      <c r="G37" s="89">
        <f t="shared" si="1"/>
        <v>1.427160493827137E-3</v>
      </c>
      <c r="H37" s="51">
        <v>23.7</v>
      </c>
      <c r="I37" s="90">
        <f>H37-$H$40</f>
        <v>-4.713888888888885</v>
      </c>
      <c r="J37" s="90">
        <f t="shared" si="2"/>
        <v>22.220748456790087</v>
      </c>
      <c r="K37" s="51">
        <v>52.5</v>
      </c>
      <c r="L37" s="90">
        <f>K37-$K$40</f>
        <v>1.6788888888888991</v>
      </c>
      <c r="M37" s="90">
        <f t="shared" si="4"/>
        <v>2.8186679012346021</v>
      </c>
      <c r="N37" s="51">
        <v>17</v>
      </c>
      <c r="O37" s="90">
        <f>N37-$N$40</f>
        <v>-2.2013888888888928</v>
      </c>
      <c r="P37" s="90">
        <f t="shared" si="6"/>
        <v>4.8461130401234742</v>
      </c>
      <c r="Q37" s="51">
        <f t="shared" si="11"/>
        <v>15.665278604005552</v>
      </c>
      <c r="R37" s="107">
        <f t="shared" si="7"/>
        <v>-1.6581109245112007</v>
      </c>
      <c r="S37" s="107">
        <f t="shared" si="8"/>
        <v>2.7493318379833886</v>
      </c>
      <c r="T37" s="51">
        <v>15.665278604005552</v>
      </c>
    </row>
    <row r="38" spans="1:20" x14ac:dyDescent="0.2">
      <c r="J38" s="94"/>
      <c r="P38" s="104"/>
    </row>
    <row r="39" spans="1:20" x14ac:dyDescent="0.2">
      <c r="D39" s="5" t="s">
        <v>550</v>
      </c>
      <c r="E39" s="5">
        <f>COUNT(E2:E37)</f>
        <v>36</v>
      </c>
      <c r="G39" s="95" t="s">
        <v>550</v>
      </c>
      <c r="H39" s="95">
        <f>COUNT(H2:H37)</f>
        <v>36</v>
      </c>
      <c r="J39" s="100" t="s">
        <v>550</v>
      </c>
      <c r="K39" s="101">
        <f>COUNT(K2:K37)</f>
        <v>36</v>
      </c>
      <c r="M39" s="105" t="s">
        <v>550</v>
      </c>
      <c r="N39" s="105">
        <f>COUNT(N2:N37)</f>
        <v>36</v>
      </c>
      <c r="P39" s="108" t="s">
        <v>607</v>
      </c>
      <c r="Q39" s="109">
        <f>COUNT(Q2:Q37)</f>
        <v>36</v>
      </c>
    </row>
    <row r="40" spans="1:20" x14ac:dyDescent="0.2">
      <c r="D40" s="5" t="s">
        <v>548</v>
      </c>
      <c r="E40" s="5">
        <f>AVERAGE(E2:E37)</f>
        <v>1.2677777777777774</v>
      </c>
      <c r="G40" s="95" t="s">
        <v>548</v>
      </c>
      <c r="H40" s="96">
        <f>AVERAGE(H2:H37)</f>
        <v>28.413888888888884</v>
      </c>
      <c r="J40" s="101" t="s">
        <v>548</v>
      </c>
      <c r="K40" s="101">
        <f>AVERAGE(K2:K37)</f>
        <v>50.821111111111101</v>
      </c>
      <c r="M40" s="105" t="s">
        <v>548</v>
      </c>
      <c r="N40" s="105">
        <f>AVERAGE(N2:N37)</f>
        <v>19.201388888888893</v>
      </c>
      <c r="P40" s="108" t="s">
        <v>548</v>
      </c>
      <c r="Q40" s="9">
        <f>AVERAGE(Q2:Q37)</f>
        <v>17.323389528516753</v>
      </c>
    </row>
    <row r="41" spans="1:20" x14ac:dyDescent="0.2">
      <c r="D41" s="5"/>
      <c r="E41" s="5"/>
      <c r="G41" s="95"/>
      <c r="H41" s="95"/>
      <c r="J41" s="101"/>
      <c r="K41" s="101"/>
      <c r="M41" s="105"/>
      <c r="N41" s="105"/>
      <c r="P41" s="108"/>
      <c r="Q41" s="9"/>
    </row>
    <row r="42" spans="1:20" x14ac:dyDescent="0.2">
      <c r="D42" s="5" t="s">
        <v>556</v>
      </c>
      <c r="E42" s="5">
        <f>SUM(G2:G37)</f>
        <v>0.39442222222222223</v>
      </c>
      <c r="G42" s="95" t="s">
        <v>556</v>
      </c>
      <c r="H42" s="95">
        <f>SUM(J2:J37)</f>
        <v>2364.7230555555561</v>
      </c>
      <c r="J42" s="101" t="s">
        <v>556</v>
      </c>
      <c r="K42" s="101">
        <f>SUM(M2:M37)</f>
        <v>1057.3765555555556</v>
      </c>
      <c r="M42" s="105" t="s">
        <v>556</v>
      </c>
      <c r="N42" s="105">
        <f>SUM(P2:P37)</f>
        <v>246.55243055555556</v>
      </c>
      <c r="P42" s="108" t="s">
        <v>556</v>
      </c>
      <c r="Q42" s="9">
        <f>SUM(S2:S37)</f>
        <v>263.19717336078713</v>
      </c>
    </row>
    <row r="43" spans="1:20" ht="32" x14ac:dyDescent="0.2">
      <c r="D43" s="4" t="s">
        <v>553</v>
      </c>
      <c r="E43" s="5">
        <f>(E42/35)^0.5</f>
        <v>0.10615651816636767</v>
      </c>
      <c r="G43" s="97" t="s">
        <v>603</v>
      </c>
      <c r="H43" s="95">
        <f>(H42/35)^0.5</f>
        <v>8.2197029066150495</v>
      </c>
      <c r="J43" s="102" t="s">
        <v>553</v>
      </c>
      <c r="K43" s="101">
        <f>(K42/35)^0.5</f>
        <v>5.4964314541490218</v>
      </c>
      <c r="M43" s="105" t="s">
        <v>606</v>
      </c>
      <c r="N43" s="105">
        <f>(N42/35)^0.5</f>
        <v>2.6541204114979711</v>
      </c>
      <c r="P43" s="110" t="s">
        <v>603</v>
      </c>
      <c r="Q43" s="9">
        <f>(Q42/35)^0.5</f>
        <v>2.7422471148457119</v>
      </c>
    </row>
    <row r="44" spans="1:20" ht="32" x14ac:dyDescent="0.2">
      <c r="D44" s="92" t="s">
        <v>602</v>
      </c>
      <c r="E44" s="5"/>
      <c r="G44" s="98" t="s">
        <v>565</v>
      </c>
      <c r="H44" s="95"/>
      <c r="J44" s="103" t="s">
        <v>604</v>
      </c>
      <c r="K44" s="101"/>
      <c r="M44" s="106" t="s">
        <v>567</v>
      </c>
      <c r="N44" s="105"/>
      <c r="P44" s="111" t="s">
        <v>568</v>
      </c>
      <c r="Q44" s="9"/>
    </row>
    <row r="45" spans="1:20" x14ac:dyDescent="0.2">
      <c r="P45" s="104"/>
    </row>
    <row r="46" spans="1:20" x14ac:dyDescent="0.2">
      <c r="P46" s="104"/>
    </row>
    <row r="47" spans="1:20" x14ac:dyDescent="0.2">
      <c r="P47" s="104"/>
    </row>
  </sheetData>
  <pageMargins left="0.7" right="0.7" top="0.75" bottom="0.75" header="0.3" footer="0.3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6</vt:i4>
      </vt:variant>
    </vt:vector>
  </HeadingPairs>
  <TitlesOfParts>
    <vt:vector size="6" baseType="lpstr">
      <vt:lpstr>Encuestas</vt:lpstr>
      <vt:lpstr>Proteínas_Ciudad</vt:lpstr>
      <vt:lpstr>Proteínas_Montaña</vt:lpstr>
      <vt:lpstr>Lípidos_Ciudad</vt:lpstr>
      <vt:lpstr>Lípidos_Montaña</vt:lpstr>
      <vt:lpstr>Antropométricas_Ciudad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Yisus</dc:creator>
  <cp:lastModifiedBy>Microsoft Office User</cp:lastModifiedBy>
  <dcterms:created xsi:type="dcterms:W3CDTF">2020-03-22T14:27:10Z</dcterms:created>
  <dcterms:modified xsi:type="dcterms:W3CDTF">2022-08-31T21:50:16Z</dcterms:modified>
</cp:coreProperties>
</file>