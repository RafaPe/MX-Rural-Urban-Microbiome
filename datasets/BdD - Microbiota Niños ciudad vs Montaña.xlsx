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3"/>
    <sheet state="visible" name="Hoja 2" sheetId="2" r:id="rId4"/>
  </sheets>
  <definedNames>
    <definedName hidden="1" localSheetId="0" name="_xlnm._FilterDatabase">'Hoja 1'!$A$1:$Q$47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0= underweight; 1= healthy weight; 2= overweight
	-Santiago Martínez</t>
      </text>
    </comment>
    <comment authorId="0" ref="M1">
      <text>
        <t xml:space="preserve">0=NO
1=DIARREA
2=DOLOR ESTOMAGO
3=VÍAS RESPIRATORIAS 
4=FIEBRE
5=VOMITO
6=CHIKUNGUNYA
7=OTROS
	-Santiago Martínez</t>
      </text>
    </comment>
    <comment authorId="0" ref="P1">
      <text>
        <t xml:space="preserve">0= Nada
1= Paliativo
2= Antibiótico
3= Otro (Montelukast)
	-Santiago Martínez</t>
      </text>
    </comment>
    <comment authorId="0" ref="L1">
      <text>
        <t xml:space="preserve">0= Peso Bajo
1= Peso Normal Bajo
2= Peso Normal Normal
3= Peso Normal Alto
4= Sobrepeso
	-Santiago Martínez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0= underweight; 1= healthy weight; 2= overweight; 3= obesity
	-Santiago Martínez</t>
      </text>
    </comment>
    <comment authorId="0" ref="L1">
      <text>
        <t xml:space="preserve">0=NO
1=DIARREA
2=DOLOR ESTOMAGO
3=VÍAS RESPIRATORIAS 
4=FIEBRE
5=VOMITO
6=CHIKUNGUNYA
7=OTROS
	-Santiago Martínez</t>
      </text>
    </comment>
    <comment authorId="0" ref="O1">
      <text>
        <t xml:space="preserve">0= Nada
1= Paliativo
2= Antibiótico
3= Antiparasitario
4= Otro (Montelukast)
	-Santiago Martínez</t>
      </text>
    </comment>
    <comment authorId="0" ref="J80">
      <text>
        <t xml:space="preserve">0= underweight; 1= healthy weight; 2= overweight; 3= obesity
	-Santiago Martínez</t>
      </text>
    </comment>
    <comment authorId="0" ref="L80">
      <text>
        <t xml:space="preserve">0=NO
1=DIARREA
2=DOLOR ESTOMAGO
3=VÍAS RESPIRATORIAS 
4=FIEBRE
5=VOMITO
6=CHIKUNGUNYA
7=OTROS
	-Santiago Martínez</t>
      </text>
    </comment>
    <comment authorId="0" ref="O80">
      <text>
        <t xml:space="preserve">0= Nada
1= Paliativo
2= Antibiótico
3= Antiparasitario
4= Otro (Montelukast)
	-Santiago Martínez</t>
      </text>
    </comment>
  </commentList>
</comments>
</file>

<file path=xl/sharedStrings.xml><?xml version="1.0" encoding="utf-8"?>
<sst xmlns="http://schemas.openxmlformats.org/spreadsheetml/2006/main" count="586" uniqueCount="240">
  <si>
    <t>ID</t>
  </si>
  <si>
    <t>Barcode</t>
  </si>
  <si>
    <t>Nombre</t>
  </si>
  <si>
    <t>Age</t>
  </si>
  <si>
    <t>Sex</t>
  </si>
  <si>
    <t>Procedence</t>
  </si>
  <si>
    <t>Height (m)</t>
  </si>
  <si>
    <t>Weight (kgs)</t>
  </si>
  <si>
    <t>BMI</t>
  </si>
  <si>
    <t>BMI Category</t>
  </si>
  <si>
    <t>BMI Personalized Category</t>
  </si>
  <si>
    <t>Diseases (Currently)</t>
  </si>
  <si>
    <t>Diseases (Last Year)</t>
  </si>
  <si>
    <t>Meds Treatment (Currently)</t>
  </si>
  <si>
    <t>Meds Treatment (Last Month)</t>
  </si>
  <si>
    <t>Parasites (A.lum)</t>
  </si>
  <si>
    <t>NOTAS</t>
  </si>
  <si>
    <t>NIÑAS</t>
  </si>
  <si>
    <t>Peso</t>
  </si>
  <si>
    <t>BMI Ciudad</t>
  </si>
  <si>
    <t>H</t>
  </si>
  <si>
    <t>M</t>
  </si>
  <si>
    <t>A27</t>
  </si>
  <si>
    <t>CGGGTGTTTGCT</t>
  </si>
  <si>
    <t>Alejandro Bobadilla García</t>
  </si>
  <si>
    <t>Ciudad (UPN)</t>
  </si>
  <si>
    <t>Edad</t>
  </si>
  <si>
    <t>Normal/Bajo</t>
  </si>
  <si>
    <t>Normal/Normal</t>
  </si>
  <si>
    <t>Normal/Alto</t>
  </si>
  <si>
    <t>Intervalos</t>
  </si>
  <si>
    <t>A36</t>
  </si>
  <si>
    <t>CGCTACAACTCG</t>
  </si>
  <si>
    <t>Alejandro Galicia Martínez</t>
  </si>
  <si>
    <t>12.71-14.1</t>
  </si>
  <si>
    <t>14.11-15.5</t>
  </si>
  <si>
    <t>15.51-16.89</t>
  </si>
  <si>
    <t>~1.39</t>
  </si>
  <si>
    <t>A09</t>
  </si>
  <si>
    <t>GTATTTCGGACG</t>
  </si>
  <si>
    <t>Andrea Isabela Sánchez Santos</t>
  </si>
  <si>
    <t>12.71-14.17</t>
  </si>
  <si>
    <t>14.18-15.64</t>
  </si>
  <si>
    <t>15.65-17.09</t>
  </si>
  <si>
    <t>1.46</t>
  </si>
  <si>
    <t>BMI Montaña</t>
  </si>
  <si>
    <t>A07</t>
  </si>
  <si>
    <t>ACTTGGTGTAAG</t>
  </si>
  <si>
    <t>Brenda Alondra Martínez Pacheco</t>
  </si>
  <si>
    <t>12.81-14.37</t>
  </si>
  <si>
    <t>14.38-15.94</t>
  </si>
  <si>
    <t>15.95-17.49</t>
  </si>
  <si>
    <t>1.56</t>
  </si>
  <si>
    <t>A35</t>
  </si>
  <si>
    <t>TCAGTTCTCGTT</t>
  </si>
  <si>
    <t>Gael Galicia Martínez</t>
  </si>
  <si>
    <t>13.01-14.67</t>
  </si>
  <si>
    <t>14.68-16.34</t>
  </si>
  <si>
    <t>16.35-17.99</t>
  </si>
  <si>
    <t>1.66</t>
  </si>
  <si>
    <t>A13</t>
  </si>
  <si>
    <t>GAAACATCCCAC</t>
  </si>
  <si>
    <t>Jessica Ramírez Hernández</t>
  </si>
  <si>
    <t>13.31-15.1</t>
  </si>
  <si>
    <t>15.11-16.9</t>
  </si>
  <si>
    <t>17.05-18.69</t>
  </si>
  <si>
    <t>1.79</t>
  </si>
  <si>
    <t>A31</t>
  </si>
  <si>
    <t>ATCAGTACTAGG</t>
  </si>
  <si>
    <t>Lucía López Velázquez</t>
  </si>
  <si>
    <t>13.51-15.33</t>
  </si>
  <si>
    <t>15.34-17.16</t>
  </si>
  <si>
    <t>17.17-18.99</t>
  </si>
  <si>
    <t>~1.82</t>
  </si>
  <si>
    <t>A20</t>
  </si>
  <si>
    <t>TCTTGGAGGTCA</t>
  </si>
  <si>
    <t>Luz Noelia Arizmendi Ramírez</t>
  </si>
  <si>
    <t>A26</t>
  </si>
  <si>
    <t>CGTGACAATAGT</t>
  </si>
  <si>
    <t>María Fernanda Bobadilla García</t>
  </si>
  <si>
    <t>NIÑOS</t>
  </si>
  <si>
    <t>A16</t>
  </si>
  <si>
    <t>TTGATCCGGTAG</t>
  </si>
  <si>
    <t>Monserrat Miranda Valdez</t>
  </si>
  <si>
    <t>A05</t>
  </si>
  <si>
    <t>TAATCGGTGCCA</t>
  </si>
  <si>
    <t>Omara Yareid Sánchez Vázquez</t>
  </si>
  <si>
    <t>13.01-14.23</t>
  </si>
  <si>
    <t>14.24-15.46</t>
  </si>
  <si>
    <t>15.47-16.69</t>
  </si>
  <si>
    <t>~1.22</t>
  </si>
  <si>
    <t>A29</t>
  </si>
  <si>
    <t>TCACCTCCTTGT</t>
  </si>
  <si>
    <t>Stephanie María Contreras Ávila</t>
  </si>
  <si>
    <t>13.11-14.37</t>
  </si>
  <si>
    <t>14.38-15.64</t>
  </si>
  <si>
    <t>15.65-16.89</t>
  </si>
  <si>
    <t>1.26</t>
  </si>
  <si>
    <t>A24</t>
  </si>
  <si>
    <t>GCATAGCATCAA</t>
  </si>
  <si>
    <t>Víctor Alexandro Feria Cuevas</t>
  </si>
  <si>
    <t>13.21-14.53</t>
  </si>
  <si>
    <t>14.54-15.86</t>
  </si>
  <si>
    <t>15.87-17.19</t>
  </si>
  <si>
    <t>~1.32</t>
  </si>
  <si>
    <t>GCGACAATTACA</t>
  </si>
  <si>
    <t>AMAIRANI CARRANZA SANTIAGO</t>
  </si>
  <si>
    <t>Gatica</t>
  </si>
  <si>
    <t>13.41-14.83</t>
  </si>
  <si>
    <t>14.84-16.26</t>
  </si>
  <si>
    <t>16.27-17.69</t>
  </si>
  <si>
    <t>~1.42</t>
  </si>
  <si>
    <t>TTAGAGCCATGC</t>
  </si>
  <si>
    <t>AZALEA BERENICE NAVA GARCIA</t>
  </si>
  <si>
    <t>13.61-15.13</t>
  </si>
  <si>
    <t>15.14-16.66</t>
  </si>
  <si>
    <t>16.67-18.19</t>
  </si>
  <si>
    <t>~1.52</t>
  </si>
  <si>
    <t>TGTGCGATAACA</t>
  </si>
  <si>
    <t>CARLOS DANIEL CARRANZA SANTIAGO</t>
  </si>
  <si>
    <t>13.69-15.29</t>
  </si>
  <si>
    <t>15.3-16.9</t>
  </si>
  <si>
    <t>16.91-18.49</t>
  </si>
  <si>
    <t>GCTTGAGCTTGA</t>
  </si>
  <si>
    <t>EDITH CARRANZA SILVERIO</t>
  </si>
  <si>
    <t>14.11-15.8</t>
  </si>
  <si>
    <t>15.81-17.5</t>
  </si>
  <si>
    <t>17.51-19.19</t>
  </si>
  <si>
    <t>~1.69</t>
  </si>
  <si>
    <t>GATTATCGACGA</t>
  </si>
  <si>
    <t>ELIDIA NERI SATURNINO</t>
  </si>
  <si>
    <t>GTGCAACCAATC</t>
  </si>
  <si>
    <t>FEDERICO GATICA ALBERTO</t>
  </si>
  <si>
    <t>ACCCAAGCGTTA</t>
  </si>
  <si>
    <t>FRANSCISCO CAYETANO ESPINOZA</t>
  </si>
  <si>
    <t>TCATGCTCCATT</t>
  </si>
  <si>
    <t>GALILEA CARRANZA AURELIO</t>
  </si>
  <si>
    <t>Eliminada por baja profundidad</t>
  </si>
  <si>
    <t>AGTAGCGGAAGA</t>
  </si>
  <si>
    <t>GILBERTO ORTEGA NAVA</t>
  </si>
  <si>
    <t>TCCTCGAGCGAT</t>
  </si>
  <si>
    <t>HORACIO ORTEGA NAVA</t>
  </si>
  <si>
    <t>TCTGCACTGAGC</t>
  </si>
  <si>
    <t>HUGO CARRANZA SILVERIO</t>
  </si>
  <si>
    <t>TCGTGCGTGTTG</t>
  </si>
  <si>
    <t>ILIANA EMILIANO DIRCIO</t>
  </si>
  <si>
    <t>TGAACCCTATGG</t>
  </si>
  <si>
    <t>JAZMYN ARACELI DIRCIO SANTIAGO</t>
  </si>
  <si>
    <t>GTTATCGCATGG</t>
  </si>
  <si>
    <t>JESUS MARCELO GATICA</t>
  </si>
  <si>
    <t>GCAATTAGGTAC</t>
  </si>
  <si>
    <t>MARTINA NORMA NAVA</t>
  </si>
  <si>
    <t>CATACCGTGAGT</t>
  </si>
  <si>
    <t>MATUSALEN SILVERIO MORALES</t>
  </si>
  <si>
    <t>ACCATAGCTCCG</t>
  </si>
  <si>
    <t>MIGUEL ANGEL CARRANZA SANTIAGO</t>
  </si>
  <si>
    <t>TTAAGACAGTCG</t>
  </si>
  <si>
    <t>TEODOSIO GATICA ALBERTO</t>
  </si>
  <si>
    <t>GATCACGAGAGG</t>
  </si>
  <si>
    <t>ANA DELIA RUIZ RAMIREZ</t>
  </si>
  <si>
    <t>Naranjo</t>
  </si>
  <si>
    <t>CGCTGTGGATTA</t>
  </si>
  <si>
    <t>ANGELINA GARCIA ESPINOSA</t>
  </si>
  <si>
    <t>CCTGCGAAGTAT</t>
  </si>
  <si>
    <t>DENY RUIZ SANTIAGO</t>
  </si>
  <si>
    <t>GTAAATTCAGGC</t>
  </si>
  <si>
    <t>EUGENIA BOLAÑOS MATEO</t>
  </si>
  <si>
    <t>GAGAGCAACAGA</t>
  </si>
  <si>
    <t>GIOVANI RUIZ SATURNINO</t>
  </si>
  <si>
    <t>CGCAGATTAGTA</t>
  </si>
  <si>
    <t>JOSE LUIS GARCIA ESPINOSA</t>
  </si>
  <si>
    <t>GCCTAGCCCAAT</t>
  </si>
  <si>
    <t>JOSEFINA SANTIAGO GARCIA</t>
  </si>
  <si>
    <t>TGGGTCCCACAT</t>
  </si>
  <si>
    <t>LAZARO BOLAÑOS MATEO</t>
  </si>
  <si>
    <t>GCACACCTGATA</t>
  </si>
  <si>
    <t>LEONEL RUIZ SATURNINO</t>
  </si>
  <si>
    <t>AGCAACATTGCA</t>
  </si>
  <si>
    <t>LEONOR SANTIAGO ESPINOZA</t>
  </si>
  <si>
    <t>GATGTGGTGTTA</t>
  </si>
  <si>
    <t>MARICELA RODRIGUEZ GARCIA</t>
  </si>
  <si>
    <t>AGAGTCTTGCCA</t>
  </si>
  <si>
    <t>MIRNA SANTIAGO ZAMORA</t>
  </si>
  <si>
    <t>ATGTGTGTAGAC</t>
  </si>
  <si>
    <t>RESENCIANA SANTIAGO GARCIA</t>
  </si>
  <si>
    <t>AGCTGTCAAGCT</t>
  </si>
  <si>
    <t>REYNALDA SANTIAGO GARCIA</t>
  </si>
  <si>
    <t>ACAACACTCCGA</t>
  </si>
  <si>
    <t>YOLANDA GARCIA ZAMORA</t>
  </si>
  <si>
    <t>Kinship</t>
  </si>
  <si>
    <t>hijo</t>
  </si>
  <si>
    <t>ALICIA GARCIA ESPINOZA</t>
  </si>
  <si>
    <t>mamá</t>
  </si>
  <si>
    <t>-</t>
  </si>
  <si>
    <t>N056M</t>
  </si>
  <si>
    <t>MARCELA SATURNINO ALEJO</t>
  </si>
  <si>
    <t>N075M</t>
  </si>
  <si>
    <t>NATALIA REMIGIO AURELIA</t>
  </si>
  <si>
    <t>N055M</t>
  </si>
  <si>
    <t xml:space="preserve">GUADALUPE ZAMORA ELIDIA </t>
  </si>
  <si>
    <t>N047M</t>
  </si>
  <si>
    <t>ISIDORA GARCIA ESPINOZA</t>
  </si>
  <si>
    <t>N079M</t>
  </si>
  <si>
    <t xml:space="preserve">REGINA RAMIREZ ESPINOZA </t>
  </si>
  <si>
    <t>N060M</t>
  </si>
  <si>
    <t>MARIA OLIRIA ZAMORA</t>
  </si>
  <si>
    <t>N078M</t>
  </si>
  <si>
    <t>LAURENTINA MATEO HILARIO</t>
  </si>
  <si>
    <t>N050M</t>
  </si>
  <si>
    <t>JOVITA ESPINOZA MORALES</t>
  </si>
  <si>
    <t>N073M</t>
  </si>
  <si>
    <t xml:space="preserve">EUGENIA SANTIAGO MORALES </t>
  </si>
  <si>
    <t>G030M</t>
  </si>
  <si>
    <t>ARCANGELA SILVERIO TORIBIO</t>
  </si>
  <si>
    <t>G105M</t>
  </si>
  <si>
    <t>SUSANA NAVA GIL</t>
  </si>
  <si>
    <t>G029M</t>
  </si>
  <si>
    <t>LORENA ALBERTO MARCELO</t>
  </si>
  <si>
    <t>G045M</t>
  </si>
  <si>
    <t>IIDALIA JAZMYN SANTIAGO GARCIA</t>
  </si>
  <si>
    <t>G102M</t>
  </si>
  <si>
    <t>ANTONIA GATICA GARCIA</t>
  </si>
  <si>
    <t>G103M</t>
  </si>
  <si>
    <t>ALBINA MORALES MAURILIO</t>
  </si>
  <si>
    <t>G046M</t>
  </si>
  <si>
    <t>MARDONIA GARCIA GATICA</t>
  </si>
  <si>
    <t>G033M</t>
  </si>
  <si>
    <t>LUCIA SATURNINO  SANTIAGO</t>
  </si>
  <si>
    <t>G025M</t>
  </si>
  <si>
    <t>MARILUZ CASTRO AVILES</t>
  </si>
  <si>
    <t>G020M</t>
  </si>
  <si>
    <t>X</t>
  </si>
  <si>
    <t>Orlando Saturnino Silverio</t>
  </si>
  <si>
    <t>papá</t>
  </si>
  <si>
    <t>G111P</t>
  </si>
  <si>
    <t>?</t>
  </si>
  <si>
    <t>Rogelio González Marcos</t>
  </si>
  <si>
    <t>G113P</t>
  </si>
  <si>
    <t>CLAUDIO SANTIAGO ZAMORA</t>
  </si>
  <si>
    <t>N135P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</si>
</sst>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8">
    <font>
      <sz val="10.0"/>
      <color rgb="FF000000"/>
      <name val="Arial"/>
    </font>
    <font>
      <sz val="10.0"/>
      <name val="Arial"/>
    </font>
    <font/>
    <font>
      <sz val="12.0"/>
      <color rgb="FF000000"/>
      <name val="Calibri"/>
    </font>
    <font>
      <name val="Arial"/>
    </font>
    <font>
      <color rgb="FF000000"/>
      <name val="Arial"/>
    </font>
    <font>
      <sz val="11.0"/>
      <name val="Calibri"/>
    </font>
    <font>
      <sz val="11.0"/>
      <color rgb="FF000000"/>
      <name val="Inconsolata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1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1" fillId="3" fontId="1" numFmtId="0" xfId="0" applyAlignment="1" applyBorder="1" applyFill="1" applyFont="1">
      <alignment horizontal="right"/>
    </xf>
    <xf borderId="0" fillId="4" fontId="1" numFmtId="0" xfId="0" applyAlignment="1" applyFill="1" applyFont="1">
      <alignment horizontal="right" readingOrder="0"/>
    </xf>
    <xf borderId="1" fillId="3" fontId="3" numFmtId="0" xfId="0" applyBorder="1" applyFont="1"/>
    <xf borderId="0" fillId="2" fontId="2" numFmtId="164" xfId="0" applyAlignment="1" applyFont="1" applyNumberFormat="1">
      <alignment horizontal="left" readingOrder="0"/>
    </xf>
    <xf borderId="0" fillId="5" fontId="2" numFmtId="0" xfId="0" applyAlignment="1" applyFill="1" applyFont="1">
      <alignment readingOrder="0"/>
    </xf>
    <xf borderId="0" fillId="0" fontId="2" numFmtId="164" xfId="0" applyAlignment="1" applyFont="1" applyNumberFormat="1">
      <alignment horizontal="left" readingOrder="0"/>
    </xf>
    <xf borderId="1" fillId="3" fontId="1" numFmtId="3" xfId="0" applyAlignment="1" applyBorder="1" applyFont="1" applyNumberFormat="1">
      <alignment horizontal="right"/>
    </xf>
    <xf borderId="0" fillId="0" fontId="4" numFmtId="0" xfId="0" applyAlignment="1" applyFont="1">
      <alignment horizontal="right" vertical="bottom"/>
    </xf>
    <xf borderId="1" fillId="3" fontId="1" numFmtId="0" xfId="0" applyBorder="1" applyFont="1"/>
    <xf borderId="0" fillId="0" fontId="1" numFmtId="0" xfId="0" applyAlignment="1" applyFont="1">
      <alignment horizontal="left"/>
    </xf>
    <xf borderId="0" fillId="3" fontId="2" numFmtId="0" xfId="0" applyAlignment="1" applyFont="1">
      <alignment readingOrder="0"/>
    </xf>
    <xf borderId="0" fillId="5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3" fontId="7" numFmtId="0" xfId="0" applyFont="1"/>
    <xf borderId="0" fillId="0" fontId="6" numFmtId="0" xfId="0" applyAlignment="1" applyFont="1">
      <alignment horizontal="right" readingOrder="0" vertical="bottom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hidden="1" min="1" max="1" width="2.88"/>
    <col customWidth="1" hidden="1" min="2" max="2" width="0.13"/>
    <col customWidth="1" min="3" max="3" width="13.63"/>
    <col customWidth="1" min="4" max="4" width="36.88"/>
    <col customWidth="1" min="5" max="5" width="7.38"/>
    <col customWidth="1" min="6" max="6" width="7.75"/>
    <col customWidth="1" min="7" max="7" width="12.63"/>
    <col customWidth="1" min="8" max="8" width="15.38"/>
    <col customWidth="1" min="9" max="9" width="16.88"/>
    <col customWidth="1" min="10" max="10" width="13.63"/>
    <col customWidth="1" min="11" max="12" width="16.25"/>
    <col customWidth="1" min="13" max="13" width="23.38"/>
    <col customWidth="1" min="14" max="14" width="21.25"/>
    <col customWidth="1" min="15" max="15" width="14.13"/>
    <col customWidth="1" min="16" max="16" width="20.13"/>
    <col customWidth="1" min="17" max="17" width="15.5"/>
    <col customWidth="1" min="18" max="18" width="26.38"/>
  </cols>
  <sheetData>
    <row r="1" ht="15.75" customHeight="1">
      <c r="A1" s="1" t="s">
        <v>0</v>
      </c>
      <c r="B1" s="1" t="s">
        <v>1</v>
      </c>
      <c r="C1" s="2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3" t="s">
        <v>16</v>
      </c>
      <c r="S1" s="4" t="s">
        <v>17</v>
      </c>
      <c r="T1" s="4" t="s">
        <v>18</v>
      </c>
      <c r="U1" s="5"/>
      <c r="V1" s="5"/>
      <c r="W1" s="5"/>
      <c r="Y1" s="3" t="s">
        <v>19</v>
      </c>
      <c r="Z1" s="3" t="s">
        <v>20</v>
      </c>
      <c r="AA1" s="3" t="s">
        <v>21</v>
      </c>
    </row>
    <row r="2" ht="15.75" customHeight="1">
      <c r="A2" s="6" t="s">
        <v>22</v>
      </c>
      <c r="B2" s="1" t="s">
        <v>23</v>
      </c>
      <c r="C2" s="7" t="s">
        <v>22</v>
      </c>
      <c r="D2" s="1" t="s">
        <v>24</v>
      </c>
      <c r="E2" s="6">
        <v>6.0</v>
      </c>
      <c r="F2" s="1" t="s">
        <v>20</v>
      </c>
      <c r="G2" s="1" t="s">
        <v>25</v>
      </c>
      <c r="H2" s="1">
        <v>1.26</v>
      </c>
      <c r="I2" s="6">
        <v>22.7</v>
      </c>
      <c r="J2" s="6">
        <f t="shared" ref="J2:J47" si="1">SUM(I2/(H2*H2))</f>
        <v>14.29831192</v>
      </c>
      <c r="K2" s="6">
        <v>1.0</v>
      </c>
      <c r="L2" s="8">
        <v>1.0</v>
      </c>
      <c r="M2" s="6">
        <v>3.0</v>
      </c>
      <c r="N2" s="6">
        <v>0.0</v>
      </c>
      <c r="O2" s="6">
        <v>0.0</v>
      </c>
      <c r="P2" s="6">
        <v>0.0</v>
      </c>
      <c r="Q2" s="9">
        <v>0.0</v>
      </c>
      <c r="S2" s="4" t="s">
        <v>26</v>
      </c>
      <c r="T2" s="4" t="s">
        <v>27</v>
      </c>
      <c r="U2" s="4" t="s">
        <v>28</v>
      </c>
      <c r="V2" s="4" t="s">
        <v>29</v>
      </c>
      <c r="W2" s="4" t="s">
        <v>30</v>
      </c>
      <c r="Y2">
        <f>SUM(J2:J14)/13</f>
        <v>17.38110467</v>
      </c>
      <c r="Z2">
        <f>SUM(J4+J5+J7+J8+J9+J10+J11+J12+J13)/9</f>
        <v>18.02786409</v>
      </c>
      <c r="AA2">
        <f>SUM(J2+J3+J6+J14)/4</f>
        <v>15.92589599</v>
      </c>
    </row>
    <row r="3" ht="15.75" customHeight="1">
      <c r="A3" s="6" t="s">
        <v>31</v>
      </c>
      <c r="B3" s="1" t="s">
        <v>32</v>
      </c>
      <c r="C3" s="7" t="s">
        <v>31</v>
      </c>
      <c r="D3" s="1" t="s">
        <v>33</v>
      </c>
      <c r="E3" s="6">
        <v>9.0</v>
      </c>
      <c r="F3" s="1" t="s">
        <v>20</v>
      </c>
      <c r="G3" s="1" t="s">
        <v>25</v>
      </c>
      <c r="H3" s="1">
        <v>1.34</v>
      </c>
      <c r="I3" s="6">
        <v>28.2</v>
      </c>
      <c r="J3" s="6">
        <f t="shared" si="1"/>
        <v>15.70505681</v>
      </c>
      <c r="K3" s="6">
        <v>1.0</v>
      </c>
      <c r="L3" s="8">
        <v>2.0</v>
      </c>
      <c r="M3" s="6">
        <v>0.0</v>
      </c>
      <c r="N3" s="6">
        <v>0.0</v>
      </c>
      <c r="O3" s="6">
        <v>0.0</v>
      </c>
      <c r="P3" s="6">
        <v>1.0</v>
      </c>
      <c r="Q3" s="9">
        <v>0.0</v>
      </c>
      <c r="S3" s="4">
        <v>5.0</v>
      </c>
      <c r="T3" s="4" t="s">
        <v>34</v>
      </c>
      <c r="U3" s="4" t="s">
        <v>35</v>
      </c>
      <c r="V3" s="4" t="s">
        <v>36</v>
      </c>
      <c r="W3" s="4" t="s">
        <v>37</v>
      </c>
    </row>
    <row r="4" ht="15.75" customHeight="1">
      <c r="A4" s="6" t="s">
        <v>38</v>
      </c>
      <c r="B4" s="1" t="s">
        <v>39</v>
      </c>
      <c r="C4" s="7" t="s">
        <v>38</v>
      </c>
      <c r="D4" s="1" t="s">
        <v>40</v>
      </c>
      <c r="E4" s="6">
        <v>7.0</v>
      </c>
      <c r="F4" s="1" t="s">
        <v>21</v>
      </c>
      <c r="G4" s="1" t="s">
        <v>25</v>
      </c>
      <c r="H4" s="1">
        <v>1.21</v>
      </c>
      <c r="I4" s="6">
        <v>27.4</v>
      </c>
      <c r="J4" s="6">
        <f t="shared" si="1"/>
        <v>18.71456868</v>
      </c>
      <c r="K4" s="8">
        <v>2.0</v>
      </c>
      <c r="L4" s="8">
        <v>4.0</v>
      </c>
      <c r="M4" s="6">
        <v>0.0</v>
      </c>
      <c r="N4" s="6">
        <v>0.0</v>
      </c>
      <c r="O4" s="6">
        <v>0.0</v>
      </c>
      <c r="P4" s="6">
        <v>0.0</v>
      </c>
      <c r="Q4" s="9">
        <v>0.0</v>
      </c>
      <c r="S4" s="4">
        <v>6.0</v>
      </c>
      <c r="T4" s="4" t="s">
        <v>41</v>
      </c>
      <c r="U4" s="4" t="s">
        <v>42</v>
      </c>
      <c r="V4" s="4" t="s">
        <v>43</v>
      </c>
      <c r="W4" s="4" t="s">
        <v>44</v>
      </c>
      <c r="Y4" s="3" t="s">
        <v>45</v>
      </c>
    </row>
    <row r="5" ht="15.75" customHeight="1">
      <c r="A5" s="6" t="s">
        <v>46</v>
      </c>
      <c r="B5" s="1" t="s">
        <v>47</v>
      </c>
      <c r="C5" s="7" t="s">
        <v>46</v>
      </c>
      <c r="D5" s="1" t="s">
        <v>48</v>
      </c>
      <c r="E5" s="6">
        <v>6.0</v>
      </c>
      <c r="F5" s="1" t="s">
        <v>21</v>
      </c>
      <c r="G5" s="1" t="s">
        <v>25</v>
      </c>
      <c r="H5" s="1">
        <v>1.22</v>
      </c>
      <c r="I5" s="6">
        <v>23.9</v>
      </c>
      <c r="J5" s="6">
        <f t="shared" si="1"/>
        <v>16.05751142</v>
      </c>
      <c r="K5" s="6">
        <v>1.0</v>
      </c>
      <c r="L5" s="8">
        <v>3.0</v>
      </c>
      <c r="M5" s="6">
        <v>3.0</v>
      </c>
      <c r="N5" s="6">
        <v>0.0</v>
      </c>
      <c r="O5" s="6">
        <v>0.0</v>
      </c>
      <c r="P5" s="6">
        <v>2.0</v>
      </c>
      <c r="Q5" s="9">
        <v>0.0</v>
      </c>
      <c r="S5" s="4">
        <v>7.0</v>
      </c>
      <c r="T5" s="4" t="s">
        <v>49</v>
      </c>
      <c r="U5" s="4" t="s">
        <v>50</v>
      </c>
      <c r="V5" s="4" t="s">
        <v>51</v>
      </c>
      <c r="W5" s="4" t="s">
        <v>52</v>
      </c>
      <c r="Y5">
        <f>SUM(J15:J47)/33</f>
        <v>16.58266445</v>
      </c>
    </row>
    <row r="6" ht="15.75" customHeight="1">
      <c r="A6" s="6" t="s">
        <v>53</v>
      </c>
      <c r="B6" s="1" t="s">
        <v>54</v>
      </c>
      <c r="C6" s="7" t="s">
        <v>53</v>
      </c>
      <c r="D6" s="1" t="s">
        <v>55</v>
      </c>
      <c r="E6" s="6">
        <v>11.0</v>
      </c>
      <c r="F6" s="1" t="s">
        <v>20</v>
      </c>
      <c r="G6" s="1" t="s">
        <v>25</v>
      </c>
      <c r="H6" s="1">
        <v>1.43</v>
      </c>
      <c r="I6" s="6">
        <v>37.0</v>
      </c>
      <c r="J6" s="6">
        <f t="shared" si="1"/>
        <v>18.09379432</v>
      </c>
      <c r="K6" s="6">
        <v>1.0</v>
      </c>
      <c r="L6" s="8">
        <v>3.0</v>
      </c>
      <c r="M6" s="6">
        <v>0.0</v>
      </c>
      <c r="N6" s="6">
        <v>0.0</v>
      </c>
      <c r="O6" s="6">
        <v>0.0</v>
      </c>
      <c r="P6" s="6">
        <v>0.0</v>
      </c>
      <c r="Q6" s="9">
        <v>0.0</v>
      </c>
      <c r="S6" s="4">
        <v>8.0</v>
      </c>
      <c r="T6" s="4" t="s">
        <v>56</v>
      </c>
      <c r="U6" s="4" t="s">
        <v>57</v>
      </c>
      <c r="V6" s="4" t="s">
        <v>58</v>
      </c>
      <c r="W6" s="4" t="s">
        <v>59</v>
      </c>
    </row>
    <row r="7" ht="15.75" customHeight="1">
      <c r="A7" s="6" t="s">
        <v>60</v>
      </c>
      <c r="B7" s="1" t="s">
        <v>61</v>
      </c>
      <c r="C7" s="7" t="s">
        <v>60</v>
      </c>
      <c r="D7" s="1" t="s">
        <v>62</v>
      </c>
      <c r="E7" s="6">
        <v>9.0</v>
      </c>
      <c r="F7" s="1" t="s">
        <v>21</v>
      </c>
      <c r="G7" s="1" t="s">
        <v>25</v>
      </c>
      <c r="H7" s="1">
        <v>1.37</v>
      </c>
      <c r="I7" s="6">
        <v>42.6</v>
      </c>
      <c r="J7" s="6">
        <f t="shared" si="1"/>
        <v>22.69700037</v>
      </c>
      <c r="K7" s="10">
        <v>3.0</v>
      </c>
      <c r="L7" s="10">
        <v>5.0</v>
      </c>
      <c r="M7" s="6">
        <v>0.0</v>
      </c>
      <c r="N7" s="6">
        <v>3.0</v>
      </c>
      <c r="O7" s="6">
        <v>0.0</v>
      </c>
      <c r="P7" s="6">
        <v>3.0</v>
      </c>
      <c r="Q7" s="9">
        <v>0.0</v>
      </c>
      <c r="S7" s="4">
        <v>9.0</v>
      </c>
      <c r="T7" s="4" t="s">
        <v>63</v>
      </c>
      <c r="U7" s="4" t="s">
        <v>64</v>
      </c>
      <c r="V7" s="4" t="s">
        <v>65</v>
      </c>
      <c r="W7" s="4" t="s">
        <v>66</v>
      </c>
    </row>
    <row r="8" ht="15.75" customHeight="1">
      <c r="A8" s="6" t="s">
        <v>67</v>
      </c>
      <c r="B8" s="1" t="s">
        <v>68</v>
      </c>
      <c r="C8" s="7" t="s">
        <v>67</v>
      </c>
      <c r="D8" s="1" t="s">
        <v>69</v>
      </c>
      <c r="E8" s="6">
        <v>5.0</v>
      </c>
      <c r="F8" s="1" t="s">
        <v>21</v>
      </c>
      <c r="G8" s="1" t="s">
        <v>25</v>
      </c>
      <c r="H8" s="1">
        <v>1.14</v>
      </c>
      <c r="I8" s="6">
        <v>17.4</v>
      </c>
      <c r="J8" s="6">
        <f t="shared" si="1"/>
        <v>13.388735</v>
      </c>
      <c r="K8" s="6">
        <v>1.0</v>
      </c>
      <c r="L8" s="8">
        <v>1.0</v>
      </c>
      <c r="M8" s="6">
        <v>0.0</v>
      </c>
      <c r="N8" s="6">
        <v>0.0</v>
      </c>
      <c r="O8" s="6">
        <v>0.0</v>
      </c>
      <c r="P8" s="6">
        <v>0.0</v>
      </c>
      <c r="Q8" s="9">
        <v>0.0</v>
      </c>
      <c r="S8" s="4">
        <v>10.0</v>
      </c>
      <c r="T8" s="4" t="s">
        <v>70</v>
      </c>
      <c r="U8" s="4" t="s">
        <v>71</v>
      </c>
      <c r="V8" s="4" t="s">
        <v>72</v>
      </c>
      <c r="W8" s="4" t="s">
        <v>73</v>
      </c>
    </row>
    <row r="9" ht="15.75" customHeight="1">
      <c r="A9" s="6" t="s">
        <v>74</v>
      </c>
      <c r="B9" s="1" t="s">
        <v>75</v>
      </c>
      <c r="C9" s="7" t="s">
        <v>74</v>
      </c>
      <c r="D9" s="1" t="s">
        <v>76</v>
      </c>
      <c r="E9" s="6">
        <v>10.0</v>
      </c>
      <c r="F9" s="1" t="s">
        <v>21</v>
      </c>
      <c r="G9" s="1" t="s">
        <v>25</v>
      </c>
      <c r="H9" s="1">
        <v>1.44</v>
      </c>
      <c r="I9" s="6">
        <v>42.6</v>
      </c>
      <c r="J9" s="6">
        <f t="shared" si="1"/>
        <v>20.54398148</v>
      </c>
      <c r="K9" s="8">
        <v>2.0</v>
      </c>
      <c r="L9" s="8">
        <v>4.0</v>
      </c>
      <c r="M9" s="6">
        <v>0.0</v>
      </c>
      <c r="N9" s="6">
        <v>0.0</v>
      </c>
      <c r="O9" s="6">
        <v>0.0</v>
      </c>
      <c r="P9" s="6">
        <v>0.0</v>
      </c>
      <c r="Q9" s="9">
        <v>0.0</v>
      </c>
    </row>
    <row r="10" ht="15.75" customHeight="1">
      <c r="A10" s="6" t="s">
        <v>77</v>
      </c>
      <c r="B10" s="1" t="s">
        <v>78</v>
      </c>
      <c r="C10" s="7" t="s">
        <v>77</v>
      </c>
      <c r="D10" s="1" t="s">
        <v>79</v>
      </c>
      <c r="E10" s="6">
        <v>9.0</v>
      </c>
      <c r="F10" s="1" t="s">
        <v>21</v>
      </c>
      <c r="G10" s="1" t="s">
        <v>25</v>
      </c>
      <c r="H10" s="1">
        <v>1.46</v>
      </c>
      <c r="I10" s="6">
        <v>37.0</v>
      </c>
      <c r="J10" s="6">
        <f t="shared" si="1"/>
        <v>17.35785326</v>
      </c>
      <c r="K10" s="6">
        <v>1.0</v>
      </c>
      <c r="L10" s="8">
        <v>3.0</v>
      </c>
      <c r="M10" s="6">
        <v>0.0</v>
      </c>
      <c r="N10" s="6">
        <v>0.0</v>
      </c>
      <c r="O10" s="6">
        <v>0.0</v>
      </c>
      <c r="P10" s="6">
        <v>1.0</v>
      </c>
      <c r="Q10" s="9">
        <v>0.0</v>
      </c>
      <c r="S10" s="4" t="s">
        <v>80</v>
      </c>
      <c r="T10" s="4" t="s">
        <v>18</v>
      </c>
      <c r="U10" s="5"/>
      <c r="V10" s="5"/>
      <c r="W10" s="5"/>
    </row>
    <row r="11" ht="15.75" customHeight="1">
      <c r="A11" s="6" t="s">
        <v>81</v>
      </c>
      <c r="B11" s="1" t="s">
        <v>82</v>
      </c>
      <c r="C11" s="7" t="s">
        <v>81</v>
      </c>
      <c r="D11" s="1" t="s">
        <v>83</v>
      </c>
      <c r="E11" s="6">
        <v>8.0</v>
      </c>
      <c r="F11" s="1" t="s">
        <v>21</v>
      </c>
      <c r="G11" s="1" t="s">
        <v>25</v>
      </c>
      <c r="H11" s="1">
        <v>1.34</v>
      </c>
      <c r="I11" s="6">
        <v>25.9</v>
      </c>
      <c r="J11" s="6">
        <f t="shared" si="1"/>
        <v>14.42414792</v>
      </c>
      <c r="K11" s="6">
        <v>1.0</v>
      </c>
      <c r="L11" s="8">
        <v>1.0</v>
      </c>
      <c r="M11" s="6">
        <v>0.0</v>
      </c>
      <c r="N11" s="6">
        <v>0.0</v>
      </c>
      <c r="O11" s="6">
        <v>0.0</v>
      </c>
      <c r="P11" s="6">
        <v>0.0</v>
      </c>
      <c r="Q11" s="9">
        <v>0.0</v>
      </c>
      <c r="S11" s="4" t="s">
        <v>26</v>
      </c>
      <c r="T11" s="4" t="s">
        <v>27</v>
      </c>
      <c r="U11" s="4" t="s">
        <v>28</v>
      </c>
      <c r="V11" s="4" t="s">
        <v>29</v>
      </c>
      <c r="W11" s="4" t="s">
        <v>30</v>
      </c>
    </row>
    <row r="12" ht="15.75" customHeight="1">
      <c r="A12" s="6" t="s">
        <v>84</v>
      </c>
      <c r="B12" s="1" t="s">
        <v>85</v>
      </c>
      <c r="C12" s="7" t="s">
        <v>84</v>
      </c>
      <c r="D12" s="1" t="s">
        <v>86</v>
      </c>
      <c r="E12" s="6">
        <v>6.0</v>
      </c>
      <c r="F12" s="1" t="s">
        <v>21</v>
      </c>
      <c r="G12" s="1" t="s">
        <v>25</v>
      </c>
      <c r="H12" s="1">
        <v>1.16</v>
      </c>
      <c r="I12" s="6">
        <v>22.9</v>
      </c>
      <c r="J12" s="6">
        <f t="shared" si="1"/>
        <v>17.01843044</v>
      </c>
      <c r="K12" s="6">
        <v>1.0</v>
      </c>
      <c r="L12" s="8">
        <v>3.0</v>
      </c>
      <c r="M12" s="6">
        <v>0.0</v>
      </c>
      <c r="N12" s="6">
        <v>0.0</v>
      </c>
      <c r="O12" s="6">
        <v>0.0</v>
      </c>
      <c r="P12" s="6">
        <v>1.0</v>
      </c>
      <c r="Q12" s="9">
        <v>0.0</v>
      </c>
      <c r="S12" s="4">
        <v>5.0</v>
      </c>
      <c r="T12" s="4" t="s">
        <v>87</v>
      </c>
      <c r="U12" s="4" t="s">
        <v>88</v>
      </c>
      <c r="V12" s="4" t="s">
        <v>89</v>
      </c>
      <c r="W12" s="4" t="s">
        <v>90</v>
      </c>
    </row>
    <row r="13" ht="15.75" customHeight="1">
      <c r="A13" s="6" t="s">
        <v>91</v>
      </c>
      <c r="B13" s="1" t="s">
        <v>92</v>
      </c>
      <c r="C13" s="7" t="s">
        <v>91</v>
      </c>
      <c r="D13" s="1" t="s">
        <v>93</v>
      </c>
      <c r="E13" s="6">
        <v>9.0</v>
      </c>
      <c r="F13" s="1" t="s">
        <v>21</v>
      </c>
      <c r="G13" s="1" t="s">
        <v>25</v>
      </c>
      <c r="H13" s="1">
        <v>1.39</v>
      </c>
      <c r="I13" s="6">
        <v>42.6</v>
      </c>
      <c r="J13" s="6">
        <f t="shared" si="1"/>
        <v>22.04854821</v>
      </c>
      <c r="K13" s="10">
        <v>3.0</v>
      </c>
      <c r="L13" s="10">
        <v>5.0</v>
      </c>
      <c r="M13" s="6">
        <v>3.0</v>
      </c>
      <c r="N13" s="6">
        <v>0.0</v>
      </c>
      <c r="O13" s="6">
        <v>0.0</v>
      </c>
      <c r="P13" s="6">
        <v>2.0</v>
      </c>
      <c r="Q13" s="9">
        <v>0.0</v>
      </c>
      <c r="S13" s="4">
        <v>6.0</v>
      </c>
      <c r="T13" s="4" t="s">
        <v>94</v>
      </c>
      <c r="U13" s="4" t="s">
        <v>95</v>
      </c>
      <c r="V13" s="4" t="s">
        <v>96</v>
      </c>
      <c r="W13" s="4" t="s">
        <v>97</v>
      </c>
    </row>
    <row r="14" ht="15.75" customHeight="1">
      <c r="A14" s="6" t="s">
        <v>98</v>
      </c>
      <c r="B14" s="1" t="s">
        <v>99</v>
      </c>
      <c r="C14" s="7" t="s">
        <v>98</v>
      </c>
      <c r="D14" s="1" t="s">
        <v>100</v>
      </c>
      <c r="E14" s="6">
        <v>6.0</v>
      </c>
      <c r="F14" s="1" t="s">
        <v>20</v>
      </c>
      <c r="G14" s="1" t="s">
        <v>25</v>
      </c>
      <c r="H14" s="1">
        <v>1.16</v>
      </c>
      <c r="I14" s="6">
        <v>21.0</v>
      </c>
      <c r="J14" s="6">
        <f t="shared" si="1"/>
        <v>15.60642093</v>
      </c>
      <c r="K14" s="6">
        <v>1.0</v>
      </c>
      <c r="L14" s="8">
        <v>2.0</v>
      </c>
      <c r="M14" s="6">
        <v>0.0</v>
      </c>
      <c r="N14" s="6">
        <v>0.0</v>
      </c>
      <c r="O14" s="6">
        <v>0.0</v>
      </c>
      <c r="P14" s="6">
        <v>2.0</v>
      </c>
      <c r="Q14" s="9">
        <v>0.0</v>
      </c>
      <c r="S14" s="4">
        <v>7.0</v>
      </c>
      <c r="T14" s="4" t="s">
        <v>101</v>
      </c>
      <c r="U14" s="4" t="s">
        <v>102</v>
      </c>
      <c r="V14" s="4" t="s">
        <v>103</v>
      </c>
      <c r="W14" s="4" t="s">
        <v>104</v>
      </c>
    </row>
    <row r="15" ht="15.75" customHeight="1">
      <c r="A15" s="6">
        <v>103.0</v>
      </c>
      <c r="B15" s="1" t="s">
        <v>105</v>
      </c>
      <c r="C15" s="3">
        <v>103.0</v>
      </c>
      <c r="D15" s="1" t="s">
        <v>106</v>
      </c>
      <c r="E15" s="6">
        <v>7.0</v>
      </c>
      <c r="F15" s="1" t="s">
        <v>21</v>
      </c>
      <c r="G15" s="1" t="s">
        <v>107</v>
      </c>
      <c r="H15" s="1">
        <v>1.07</v>
      </c>
      <c r="I15" s="6">
        <v>17.6</v>
      </c>
      <c r="J15" s="6">
        <f t="shared" si="1"/>
        <v>15.37252162</v>
      </c>
      <c r="K15" s="6">
        <v>1.0</v>
      </c>
      <c r="L15" s="8">
        <v>2.0</v>
      </c>
      <c r="M15" s="6">
        <v>0.0</v>
      </c>
      <c r="N15" s="6">
        <v>0.0</v>
      </c>
      <c r="O15" s="6">
        <v>0.0</v>
      </c>
      <c r="P15" s="6">
        <v>0.0</v>
      </c>
      <c r="Q15" s="9">
        <v>0.0</v>
      </c>
      <c r="S15" s="4">
        <v>8.0</v>
      </c>
      <c r="T15" s="4" t="s">
        <v>108</v>
      </c>
      <c r="U15" s="4" t="s">
        <v>109</v>
      </c>
      <c r="V15" s="4" t="s">
        <v>110</v>
      </c>
      <c r="W15" s="4" t="s">
        <v>111</v>
      </c>
    </row>
    <row r="16" ht="15.75" customHeight="1">
      <c r="A16" s="6">
        <v>82.0</v>
      </c>
      <c r="B16" s="1" t="s">
        <v>112</v>
      </c>
      <c r="C16" s="3">
        <v>82.0</v>
      </c>
      <c r="D16" s="1" t="s">
        <v>113</v>
      </c>
      <c r="E16" s="6">
        <v>5.0</v>
      </c>
      <c r="F16" s="1" t="s">
        <v>21</v>
      </c>
      <c r="G16" s="1" t="s">
        <v>107</v>
      </c>
      <c r="H16" s="1">
        <v>1.02</v>
      </c>
      <c r="I16" s="6">
        <v>15.4</v>
      </c>
      <c r="J16" s="6">
        <f t="shared" si="1"/>
        <v>14.80199923</v>
      </c>
      <c r="K16" s="6">
        <v>1.0</v>
      </c>
      <c r="L16" s="8">
        <v>2.0</v>
      </c>
      <c r="M16" s="6">
        <v>0.0</v>
      </c>
      <c r="N16" s="6">
        <v>0.0</v>
      </c>
      <c r="O16" s="6">
        <v>0.0</v>
      </c>
      <c r="P16" s="6">
        <v>0.0</v>
      </c>
      <c r="Q16" s="11">
        <v>24.0</v>
      </c>
      <c r="S16" s="4">
        <v>9.0</v>
      </c>
      <c r="T16" s="4" t="s">
        <v>114</v>
      </c>
      <c r="U16" s="4" t="s">
        <v>115</v>
      </c>
      <c r="V16" s="4" t="s">
        <v>116</v>
      </c>
      <c r="W16" s="4" t="s">
        <v>117</v>
      </c>
    </row>
    <row r="17" ht="15.75" customHeight="1">
      <c r="A17" s="6">
        <v>101.0</v>
      </c>
      <c r="B17" s="1" t="s">
        <v>118</v>
      </c>
      <c r="C17" s="3">
        <v>101.0</v>
      </c>
      <c r="D17" s="1" t="s">
        <v>119</v>
      </c>
      <c r="E17" s="6">
        <v>9.0</v>
      </c>
      <c r="F17" s="1" t="s">
        <v>20</v>
      </c>
      <c r="G17" s="1" t="s">
        <v>107</v>
      </c>
      <c r="H17" s="1">
        <v>1.2</v>
      </c>
      <c r="I17" s="6">
        <v>21.5</v>
      </c>
      <c r="J17" s="6">
        <f t="shared" si="1"/>
        <v>14.93055556</v>
      </c>
      <c r="K17" s="6">
        <v>1.0</v>
      </c>
      <c r="L17" s="8">
        <v>1.0</v>
      </c>
      <c r="M17" s="6">
        <v>0.0</v>
      </c>
      <c r="N17" s="6">
        <v>6.0</v>
      </c>
      <c r="O17" s="6">
        <v>0.0</v>
      </c>
      <c r="P17" s="6">
        <v>1.0</v>
      </c>
      <c r="Q17" s="9">
        <v>0.0</v>
      </c>
      <c r="S17" s="4">
        <v>10.0</v>
      </c>
      <c r="T17" s="4" t="s">
        <v>120</v>
      </c>
      <c r="U17" s="4" t="s">
        <v>121</v>
      </c>
      <c r="V17" s="4" t="s">
        <v>122</v>
      </c>
      <c r="W17" s="12">
        <v>43252.0</v>
      </c>
    </row>
    <row r="18" ht="15.75" customHeight="1">
      <c r="A18" s="6">
        <v>136.0</v>
      </c>
      <c r="B18" s="1" t="s">
        <v>123</v>
      </c>
      <c r="C18" s="3">
        <v>136.0</v>
      </c>
      <c r="D18" s="1" t="s">
        <v>124</v>
      </c>
      <c r="E18" s="6">
        <v>8.0</v>
      </c>
      <c r="F18" s="1" t="s">
        <v>21</v>
      </c>
      <c r="G18" s="1" t="s">
        <v>107</v>
      </c>
      <c r="H18" s="1">
        <v>1.19</v>
      </c>
      <c r="I18" s="6">
        <v>20.4</v>
      </c>
      <c r="J18" s="6">
        <f t="shared" si="1"/>
        <v>14.4057623</v>
      </c>
      <c r="K18" s="6">
        <v>1.0</v>
      </c>
      <c r="L18" s="8">
        <v>1.0</v>
      </c>
      <c r="M18" s="6">
        <v>0.0</v>
      </c>
      <c r="N18" s="6">
        <v>0.0</v>
      </c>
      <c r="O18" s="6">
        <v>0.0</v>
      </c>
      <c r="P18" s="6">
        <v>0.0</v>
      </c>
      <c r="Q18" s="9">
        <v>0.0</v>
      </c>
      <c r="S18" s="4">
        <v>11.0</v>
      </c>
      <c r="T18" s="4" t="s">
        <v>125</v>
      </c>
      <c r="U18" s="4" t="s">
        <v>126</v>
      </c>
      <c r="V18" s="4" t="s">
        <v>127</v>
      </c>
      <c r="W18" s="4" t="s">
        <v>128</v>
      </c>
    </row>
    <row r="19" ht="15.75" customHeight="1">
      <c r="A19" s="6">
        <v>151.0</v>
      </c>
      <c r="B19" s="1" t="s">
        <v>129</v>
      </c>
      <c r="C19" s="3">
        <v>151.0</v>
      </c>
      <c r="D19" s="1" t="s">
        <v>130</v>
      </c>
      <c r="E19" s="6">
        <v>6.0</v>
      </c>
      <c r="F19" s="1" t="s">
        <v>21</v>
      </c>
      <c r="G19" s="1" t="s">
        <v>107</v>
      </c>
      <c r="H19" s="1">
        <v>0.9</v>
      </c>
      <c r="I19" s="6">
        <v>14.7</v>
      </c>
      <c r="J19" s="6">
        <f t="shared" si="1"/>
        <v>18.14814815</v>
      </c>
      <c r="K19" s="8">
        <v>2.0</v>
      </c>
      <c r="L19" s="8">
        <v>4.0</v>
      </c>
      <c r="M19" s="6">
        <v>0.0</v>
      </c>
      <c r="N19" s="6">
        <v>0.0</v>
      </c>
      <c r="O19" s="6">
        <v>0.0</v>
      </c>
      <c r="P19" s="6">
        <v>0.0</v>
      </c>
      <c r="Q19" s="9">
        <v>82.0</v>
      </c>
    </row>
    <row r="20" ht="15.75" customHeight="1">
      <c r="A20" s="6">
        <v>96.0</v>
      </c>
      <c r="B20" s="1" t="s">
        <v>131</v>
      </c>
      <c r="C20" s="3">
        <v>96.0</v>
      </c>
      <c r="D20" s="1" t="s">
        <v>132</v>
      </c>
      <c r="E20" s="6">
        <v>8.0</v>
      </c>
      <c r="F20" s="1" t="s">
        <v>20</v>
      </c>
      <c r="G20" s="1" t="s">
        <v>107</v>
      </c>
      <c r="H20" s="1">
        <v>1.19</v>
      </c>
      <c r="I20" s="6">
        <v>19.7</v>
      </c>
      <c r="J20" s="6">
        <f t="shared" si="1"/>
        <v>13.91144693</v>
      </c>
      <c r="K20" s="6">
        <v>1.0</v>
      </c>
      <c r="L20" s="8">
        <v>1.0</v>
      </c>
      <c r="M20" s="6">
        <v>0.0</v>
      </c>
      <c r="N20" s="6">
        <v>0.0</v>
      </c>
      <c r="O20" s="6">
        <v>0.0</v>
      </c>
      <c r="P20" s="6">
        <v>0.0</v>
      </c>
      <c r="Q20" s="9">
        <v>8.0</v>
      </c>
    </row>
    <row r="21" ht="15.75" customHeight="1">
      <c r="A21" s="9">
        <v>114.0</v>
      </c>
      <c r="B21" s="1" t="s">
        <v>133</v>
      </c>
      <c r="C21" s="3">
        <v>114.0</v>
      </c>
      <c r="D21" s="1" t="s">
        <v>134</v>
      </c>
      <c r="E21" s="6">
        <v>6.0</v>
      </c>
      <c r="F21" s="1" t="s">
        <v>20</v>
      </c>
      <c r="G21" s="1" t="s">
        <v>107</v>
      </c>
      <c r="H21" s="1">
        <v>1.04</v>
      </c>
      <c r="I21" s="6">
        <v>18.1</v>
      </c>
      <c r="J21" s="6">
        <f t="shared" si="1"/>
        <v>16.73446746</v>
      </c>
      <c r="K21" s="6">
        <v>1.0</v>
      </c>
      <c r="L21" s="8">
        <v>3.0</v>
      </c>
      <c r="M21" s="6">
        <v>0.0</v>
      </c>
      <c r="N21" s="6">
        <v>0.0</v>
      </c>
      <c r="O21" s="6">
        <v>0.0</v>
      </c>
      <c r="P21" s="6">
        <v>0.0</v>
      </c>
      <c r="Q21" s="9">
        <v>58.0</v>
      </c>
    </row>
    <row r="22" ht="15.75" customHeight="1">
      <c r="A22" s="6">
        <v>155.0</v>
      </c>
      <c r="B22" s="1" t="s">
        <v>135</v>
      </c>
      <c r="C22" s="13">
        <v>155.0</v>
      </c>
      <c r="D22" s="1" t="s">
        <v>136</v>
      </c>
      <c r="E22" s="6">
        <v>8.0</v>
      </c>
      <c r="F22" s="1" t="s">
        <v>21</v>
      </c>
      <c r="G22" s="1" t="s">
        <v>107</v>
      </c>
      <c r="H22" s="1">
        <v>1.26</v>
      </c>
      <c r="I22" s="6">
        <v>23.7</v>
      </c>
      <c r="J22" s="6">
        <f t="shared" si="1"/>
        <v>14.9281935</v>
      </c>
      <c r="K22" s="6">
        <v>1.0</v>
      </c>
      <c r="L22" s="8">
        <v>2.0</v>
      </c>
      <c r="M22" s="6">
        <v>0.0</v>
      </c>
      <c r="N22" s="6">
        <v>0.0</v>
      </c>
      <c r="O22" s="6">
        <v>0.0</v>
      </c>
      <c r="P22" s="6">
        <v>0.0</v>
      </c>
      <c r="Q22" s="9">
        <v>0.0</v>
      </c>
      <c r="R22" s="3" t="s">
        <v>137</v>
      </c>
    </row>
    <row r="23" ht="15.75" customHeight="1">
      <c r="A23" s="6">
        <v>74.0</v>
      </c>
      <c r="B23" s="1" t="s">
        <v>138</v>
      </c>
      <c r="C23" s="13">
        <v>74.0</v>
      </c>
      <c r="D23" s="1" t="s">
        <v>139</v>
      </c>
      <c r="E23" s="6">
        <v>10.0</v>
      </c>
      <c r="F23" s="1" t="s">
        <v>20</v>
      </c>
      <c r="G23" s="1" t="s">
        <v>107</v>
      </c>
      <c r="H23" s="1">
        <v>1.4</v>
      </c>
      <c r="I23" s="6">
        <v>46.5</v>
      </c>
      <c r="J23" s="6">
        <f t="shared" si="1"/>
        <v>23.7244898</v>
      </c>
      <c r="K23" s="6">
        <v>2.0</v>
      </c>
      <c r="L23" s="8">
        <v>4.0</v>
      </c>
      <c r="M23" s="6">
        <v>3.0</v>
      </c>
      <c r="N23" s="6">
        <v>0.0</v>
      </c>
      <c r="O23" s="6">
        <v>0.0</v>
      </c>
      <c r="P23" s="6">
        <v>1.0</v>
      </c>
      <c r="Q23" s="9">
        <v>0.0</v>
      </c>
      <c r="R23" s="3" t="s">
        <v>137</v>
      </c>
    </row>
    <row r="24" ht="15.75" customHeight="1">
      <c r="A24" s="6">
        <v>76.0</v>
      </c>
      <c r="B24" s="1" t="s">
        <v>140</v>
      </c>
      <c r="C24" s="3">
        <v>76.0</v>
      </c>
      <c r="D24" s="1" t="s">
        <v>141</v>
      </c>
      <c r="E24" s="6">
        <v>6.0</v>
      </c>
      <c r="F24" s="1" t="s">
        <v>20</v>
      </c>
      <c r="G24" s="1" t="s">
        <v>107</v>
      </c>
      <c r="H24" s="1">
        <v>1.18</v>
      </c>
      <c r="I24" s="6">
        <v>20.7</v>
      </c>
      <c r="J24" s="6">
        <f t="shared" si="1"/>
        <v>14.8664177</v>
      </c>
      <c r="K24" s="6">
        <v>1.0</v>
      </c>
      <c r="L24" s="8">
        <v>2.0</v>
      </c>
      <c r="M24" s="6">
        <v>0.0</v>
      </c>
      <c r="N24" s="6">
        <v>0.0</v>
      </c>
      <c r="O24" s="6">
        <v>0.0</v>
      </c>
      <c r="P24" s="6">
        <v>0.0</v>
      </c>
      <c r="Q24" s="9">
        <v>21.0</v>
      </c>
    </row>
    <row r="25" ht="15.75" customHeight="1">
      <c r="A25" s="6">
        <v>135.0</v>
      </c>
      <c r="B25" s="1" t="s">
        <v>142</v>
      </c>
      <c r="C25" s="3">
        <v>135.0</v>
      </c>
      <c r="D25" s="1" t="s">
        <v>143</v>
      </c>
      <c r="E25" s="6">
        <v>10.0</v>
      </c>
      <c r="F25" s="1" t="s">
        <v>20</v>
      </c>
      <c r="G25" s="1" t="s">
        <v>107</v>
      </c>
      <c r="H25" s="1">
        <v>1.26</v>
      </c>
      <c r="I25" s="6">
        <v>23.0</v>
      </c>
      <c r="J25" s="6">
        <f t="shared" si="1"/>
        <v>14.48727639</v>
      </c>
      <c r="K25" s="6">
        <v>1.0</v>
      </c>
      <c r="L25" s="8">
        <v>1.0</v>
      </c>
      <c r="M25" s="6">
        <v>0.0</v>
      </c>
      <c r="N25" s="6">
        <v>0.0</v>
      </c>
      <c r="O25" s="6">
        <v>0.0</v>
      </c>
      <c r="P25" s="6">
        <v>0.0</v>
      </c>
      <c r="Q25" s="9">
        <v>0.0</v>
      </c>
      <c r="S25" s="3"/>
    </row>
    <row r="26" ht="15.75" customHeight="1">
      <c r="A26" s="6">
        <v>92.0</v>
      </c>
      <c r="B26" s="1" t="s">
        <v>144</v>
      </c>
      <c r="C26" s="3">
        <v>92.0</v>
      </c>
      <c r="D26" s="1" t="s">
        <v>145</v>
      </c>
      <c r="E26" s="6">
        <v>6.0</v>
      </c>
      <c r="F26" s="1" t="s">
        <v>21</v>
      </c>
      <c r="G26" s="1" t="s">
        <v>107</v>
      </c>
      <c r="H26" s="1">
        <v>1.09</v>
      </c>
      <c r="I26" s="6">
        <v>16.2</v>
      </c>
      <c r="J26" s="6">
        <f t="shared" si="1"/>
        <v>13.63521589</v>
      </c>
      <c r="K26" s="6">
        <v>1.0</v>
      </c>
      <c r="L26" s="8">
        <v>1.0</v>
      </c>
      <c r="M26" s="6">
        <v>0.0</v>
      </c>
      <c r="N26" s="6">
        <v>0.0</v>
      </c>
      <c r="O26" s="6">
        <v>0.0</v>
      </c>
      <c r="P26" s="6">
        <v>0.0</v>
      </c>
      <c r="Q26" s="9">
        <v>9.0</v>
      </c>
      <c r="S26" s="3"/>
      <c r="T26" s="3"/>
      <c r="U26" s="3"/>
      <c r="V26" s="3"/>
    </row>
    <row r="27" ht="15.75" customHeight="1">
      <c r="A27" s="6">
        <v>117.0</v>
      </c>
      <c r="B27" s="1" t="s">
        <v>146</v>
      </c>
      <c r="C27" s="3">
        <v>117.0</v>
      </c>
      <c r="D27" s="1" t="s">
        <v>147</v>
      </c>
      <c r="E27" s="6">
        <v>9.0</v>
      </c>
      <c r="F27" s="1" t="s">
        <v>21</v>
      </c>
      <c r="G27" s="1" t="s">
        <v>107</v>
      </c>
      <c r="H27" s="1">
        <v>1.26</v>
      </c>
      <c r="I27" s="6">
        <v>26.4</v>
      </c>
      <c r="J27" s="6">
        <f t="shared" si="1"/>
        <v>16.62887377</v>
      </c>
      <c r="K27" s="6">
        <v>1.0</v>
      </c>
      <c r="L27" s="8">
        <v>2.0</v>
      </c>
      <c r="M27" s="6">
        <v>0.0</v>
      </c>
      <c r="N27" s="6">
        <v>0.0</v>
      </c>
      <c r="O27" s="6">
        <v>0.0</v>
      </c>
      <c r="P27" s="6">
        <v>0.0</v>
      </c>
      <c r="Q27" s="9">
        <v>0.0</v>
      </c>
      <c r="S27" s="3"/>
      <c r="T27" s="3"/>
      <c r="U27" s="3"/>
      <c r="V27" s="3"/>
      <c r="X27" s="3"/>
    </row>
    <row r="28" ht="15.75" customHeight="1">
      <c r="A28" s="6">
        <v>131.0</v>
      </c>
      <c r="B28" s="1" t="s">
        <v>148</v>
      </c>
      <c r="C28" s="3">
        <v>131.0</v>
      </c>
      <c r="D28" s="1" t="s">
        <v>149</v>
      </c>
      <c r="E28" s="6">
        <v>9.0</v>
      </c>
      <c r="F28" s="1" t="s">
        <v>20</v>
      </c>
      <c r="G28" s="1" t="s">
        <v>107</v>
      </c>
      <c r="H28" s="1">
        <v>1.27</v>
      </c>
      <c r="I28" s="6">
        <v>27.7</v>
      </c>
      <c r="J28" s="6">
        <f t="shared" si="1"/>
        <v>17.17403435</v>
      </c>
      <c r="K28" s="6">
        <v>1.0</v>
      </c>
      <c r="L28" s="8">
        <v>3.0</v>
      </c>
      <c r="M28" s="6">
        <v>7.0</v>
      </c>
      <c r="N28" s="6">
        <v>0.0</v>
      </c>
      <c r="O28" s="6">
        <v>0.0</v>
      </c>
      <c r="P28" s="6">
        <v>1.0</v>
      </c>
      <c r="Q28" s="9">
        <v>0.0</v>
      </c>
      <c r="S28" s="3"/>
      <c r="T28" s="3"/>
      <c r="U28" s="3"/>
      <c r="V28" s="3"/>
      <c r="X28" s="3"/>
    </row>
    <row r="29" ht="15.75" customHeight="1">
      <c r="A29" s="6">
        <v>109.0</v>
      </c>
      <c r="B29" s="1" t="s">
        <v>150</v>
      </c>
      <c r="C29" s="3">
        <v>109.0</v>
      </c>
      <c r="D29" s="1" t="s">
        <v>151</v>
      </c>
      <c r="E29" s="6">
        <v>9.0</v>
      </c>
      <c r="F29" s="1" t="s">
        <v>21</v>
      </c>
      <c r="G29" s="1" t="s">
        <v>107</v>
      </c>
      <c r="H29" s="1">
        <v>1.22</v>
      </c>
      <c r="I29" s="6">
        <v>21.2</v>
      </c>
      <c r="J29" s="6">
        <f t="shared" si="1"/>
        <v>14.24348293</v>
      </c>
      <c r="K29" s="6">
        <v>1.0</v>
      </c>
      <c r="L29" s="8">
        <v>1.0</v>
      </c>
      <c r="M29" s="6">
        <v>0.0</v>
      </c>
      <c r="N29" s="6">
        <v>0.0</v>
      </c>
      <c r="O29" s="6">
        <v>0.0</v>
      </c>
      <c r="P29" s="6">
        <v>0.0</v>
      </c>
      <c r="Q29" s="9">
        <v>215.0</v>
      </c>
      <c r="S29" s="3"/>
      <c r="T29" s="3"/>
      <c r="U29" s="3"/>
      <c r="V29" s="3"/>
      <c r="X29" s="3"/>
    </row>
    <row r="30" ht="15.75" customHeight="1">
      <c r="A30" s="6">
        <v>161.0</v>
      </c>
      <c r="B30" s="1" t="s">
        <v>152</v>
      </c>
      <c r="C30" s="13">
        <v>161.0</v>
      </c>
      <c r="D30" s="1" t="s">
        <v>153</v>
      </c>
      <c r="E30" s="6">
        <v>11.0</v>
      </c>
      <c r="F30" s="1" t="s">
        <v>20</v>
      </c>
      <c r="G30" s="1" t="s">
        <v>107</v>
      </c>
      <c r="H30" s="1">
        <v>1.27</v>
      </c>
      <c r="I30" s="6">
        <v>24.1</v>
      </c>
      <c r="J30" s="6">
        <f t="shared" si="1"/>
        <v>14.94202988</v>
      </c>
      <c r="K30" s="6">
        <v>1.0</v>
      </c>
      <c r="L30" s="8">
        <v>1.0</v>
      </c>
      <c r="M30" s="6">
        <v>2.0</v>
      </c>
      <c r="N30" s="6">
        <v>0.0</v>
      </c>
      <c r="O30" s="6">
        <v>0.0</v>
      </c>
      <c r="P30" s="6">
        <v>0.0</v>
      </c>
      <c r="Q30" s="9">
        <v>0.0</v>
      </c>
      <c r="R30" s="3" t="s">
        <v>137</v>
      </c>
      <c r="S30" s="3"/>
      <c r="T30" s="3"/>
      <c r="U30" s="3"/>
      <c r="V30" s="3"/>
      <c r="X30" s="3"/>
    </row>
    <row r="31" ht="15.75" customHeight="1">
      <c r="A31" s="6">
        <v>102.0</v>
      </c>
      <c r="B31" s="1" t="s">
        <v>154</v>
      </c>
      <c r="C31" s="3">
        <v>102.0</v>
      </c>
      <c r="D31" s="1" t="s">
        <v>155</v>
      </c>
      <c r="E31" s="6">
        <v>8.0</v>
      </c>
      <c r="F31" s="1" t="s">
        <v>20</v>
      </c>
      <c r="G31" s="1" t="s">
        <v>107</v>
      </c>
      <c r="H31" s="1">
        <v>1.12</v>
      </c>
      <c r="I31" s="6">
        <v>17.8</v>
      </c>
      <c r="J31" s="6">
        <f t="shared" si="1"/>
        <v>14.19005102</v>
      </c>
      <c r="K31" s="6">
        <v>1.0</v>
      </c>
      <c r="L31" s="8">
        <v>1.0</v>
      </c>
      <c r="M31" s="6">
        <v>0.0</v>
      </c>
      <c r="N31" s="6">
        <v>0.0</v>
      </c>
      <c r="O31" s="6">
        <v>0.0</v>
      </c>
      <c r="P31" s="6">
        <v>0.0</v>
      </c>
      <c r="Q31" s="9">
        <v>0.0</v>
      </c>
      <c r="S31" s="3"/>
      <c r="T31" s="3"/>
      <c r="U31" s="3"/>
      <c r="V31" s="3"/>
      <c r="X31" s="3"/>
    </row>
    <row r="32" ht="15.75" customHeight="1">
      <c r="A32" s="6">
        <v>95.0</v>
      </c>
      <c r="B32" s="1" t="s">
        <v>156</v>
      </c>
      <c r="C32" s="3">
        <v>95.0</v>
      </c>
      <c r="D32" s="1" t="s">
        <v>157</v>
      </c>
      <c r="E32" s="6">
        <v>10.0</v>
      </c>
      <c r="F32" s="1" t="s">
        <v>20</v>
      </c>
      <c r="G32" s="1" t="s">
        <v>107</v>
      </c>
      <c r="H32" s="1">
        <v>1.34</v>
      </c>
      <c r="I32" s="6">
        <v>29.1</v>
      </c>
      <c r="J32" s="6">
        <f t="shared" si="1"/>
        <v>16.20628202</v>
      </c>
      <c r="K32" s="6">
        <v>1.0</v>
      </c>
      <c r="L32" s="8">
        <v>2.0</v>
      </c>
      <c r="M32" s="6">
        <v>4.0</v>
      </c>
      <c r="N32" s="6">
        <v>3.0</v>
      </c>
      <c r="O32" s="6">
        <v>0.0</v>
      </c>
      <c r="P32" s="6">
        <v>0.0</v>
      </c>
      <c r="Q32" s="9">
        <v>178.0</v>
      </c>
      <c r="S32" s="3"/>
      <c r="T32" s="3"/>
      <c r="U32" s="3"/>
      <c r="V32" s="3"/>
      <c r="X32" s="3"/>
    </row>
    <row r="33" ht="15.75" customHeight="1">
      <c r="A33" s="6">
        <v>30.0</v>
      </c>
      <c r="B33" s="1" t="s">
        <v>158</v>
      </c>
      <c r="C33" s="13">
        <v>30.0</v>
      </c>
      <c r="D33" s="1" t="s">
        <v>159</v>
      </c>
      <c r="E33" s="6">
        <v>9.0</v>
      </c>
      <c r="F33" s="1" t="s">
        <v>21</v>
      </c>
      <c r="G33" s="1" t="s">
        <v>160</v>
      </c>
      <c r="H33" s="1">
        <v>1.18</v>
      </c>
      <c r="I33" s="1">
        <v>19.5</v>
      </c>
      <c r="J33" s="6">
        <f t="shared" si="1"/>
        <v>14.00459638</v>
      </c>
      <c r="K33" s="6">
        <v>1.0</v>
      </c>
      <c r="L33" s="8">
        <v>1.0</v>
      </c>
      <c r="M33" s="6">
        <v>0.0</v>
      </c>
      <c r="N33" s="6">
        <v>0.0</v>
      </c>
      <c r="O33" s="6">
        <v>0.0</v>
      </c>
      <c r="P33" s="6">
        <v>0.0</v>
      </c>
      <c r="Q33" s="9">
        <v>0.0</v>
      </c>
      <c r="R33" s="3" t="s">
        <v>137</v>
      </c>
    </row>
    <row r="34" ht="15.75" customHeight="1">
      <c r="A34" s="6">
        <v>27.0</v>
      </c>
      <c r="B34" s="1" t="s">
        <v>161</v>
      </c>
      <c r="C34" s="3">
        <v>27.0</v>
      </c>
      <c r="D34" s="1" t="s">
        <v>162</v>
      </c>
      <c r="E34" s="6">
        <v>7.0</v>
      </c>
      <c r="F34" s="1" t="s">
        <v>21</v>
      </c>
      <c r="G34" s="1" t="s">
        <v>160</v>
      </c>
      <c r="H34" s="1">
        <v>1.07</v>
      </c>
      <c r="I34" s="1">
        <v>16.6</v>
      </c>
      <c r="J34" s="6">
        <f t="shared" si="1"/>
        <v>14.49908289</v>
      </c>
      <c r="K34" s="6">
        <v>1.0</v>
      </c>
      <c r="L34" s="8">
        <v>2.0</v>
      </c>
      <c r="M34" s="6">
        <v>0.0</v>
      </c>
      <c r="N34" s="6">
        <v>0.0</v>
      </c>
      <c r="O34" s="6">
        <v>0.0</v>
      </c>
      <c r="P34" s="6">
        <v>0.0</v>
      </c>
      <c r="Q34" s="9">
        <v>10.0</v>
      </c>
      <c r="S34" s="3"/>
    </row>
    <row r="35" ht="15.75" customHeight="1">
      <c r="A35" s="6">
        <v>50.0</v>
      </c>
      <c r="B35" s="1" t="s">
        <v>163</v>
      </c>
      <c r="C35" s="3">
        <v>50.0</v>
      </c>
      <c r="D35" s="1" t="s">
        <v>164</v>
      </c>
      <c r="E35" s="6">
        <v>7.0</v>
      </c>
      <c r="F35" s="1" t="s">
        <v>20</v>
      </c>
      <c r="G35" s="1" t="s">
        <v>160</v>
      </c>
      <c r="H35" s="1">
        <v>1.11</v>
      </c>
      <c r="I35" s="6">
        <v>22.3</v>
      </c>
      <c r="J35" s="6">
        <f t="shared" si="1"/>
        <v>18.09918026</v>
      </c>
      <c r="K35" s="8">
        <v>2.0</v>
      </c>
      <c r="L35" s="8">
        <v>4.0</v>
      </c>
      <c r="M35" s="6">
        <v>0.0</v>
      </c>
      <c r="N35" s="6">
        <v>0.0</v>
      </c>
      <c r="O35" s="6">
        <v>0.0</v>
      </c>
      <c r="P35" s="6">
        <v>0.0</v>
      </c>
      <c r="Q35" s="9">
        <v>0.0</v>
      </c>
      <c r="S35" s="3"/>
      <c r="T35" s="3"/>
      <c r="U35" s="3"/>
      <c r="V35" s="3"/>
    </row>
    <row r="36" ht="15.75" customHeight="1">
      <c r="A36" s="6">
        <v>6.0</v>
      </c>
      <c r="B36" s="1" t="s">
        <v>165</v>
      </c>
      <c r="C36" s="3">
        <v>6.0</v>
      </c>
      <c r="D36" s="1" t="s">
        <v>166</v>
      </c>
      <c r="E36" s="6">
        <v>8.0</v>
      </c>
      <c r="F36" s="1" t="s">
        <v>21</v>
      </c>
      <c r="G36" s="1" t="s">
        <v>160</v>
      </c>
      <c r="H36" s="1">
        <v>1.02</v>
      </c>
      <c r="I36" s="6">
        <v>18.0</v>
      </c>
      <c r="J36" s="6">
        <f t="shared" si="1"/>
        <v>17.30103806</v>
      </c>
      <c r="K36" s="6">
        <v>1.0</v>
      </c>
      <c r="L36" s="8">
        <v>3.0</v>
      </c>
      <c r="M36" s="6">
        <v>0.0</v>
      </c>
      <c r="N36" s="6">
        <v>0.0</v>
      </c>
      <c r="O36" s="6">
        <v>0.0</v>
      </c>
      <c r="P36" s="6">
        <v>0.0</v>
      </c>
      <c r="Q36" s="9">
        <v>0.0</v>
      </c>
      <c r="S36" s="3"/>
      <c r="T36" s="3"/>
      <c r="U36" s="3"/>
      <c r="V36" s="3"/>
      <c r="X36" s="3"/>
    </row>
    <row r="37" ht="15.75" customHeight="1">
      <c r="A37" s="6">
        <v>49.0</v>
      </c>
      <c r="B37" s="1" t="s">
        <v>167</v>
      </c>
      <c r="C37" s="3">
        <v>49.0</v>
      </c>
      <c r="D37" s="1" t="s">
        <v>168</v>
      </c>
      <c r="E37" s="6">
        <v>9.0</v>
      </c>
      <c r="F37" s="1" t="s">
        <v>20</v>
      </c>
      <c r="G37" s="1" t="s">
        <v>160</v>
      </c>
      <c r="H37" s="1">
        <v>1.15</v>
      </c>
      <c r="I37" s="6">
        <v>24.7</v>
      </c>
      <c r="J37" s="6">
        <f t="shared" si="1"/>
        <v>18.67674858</v>
      </c>
      <c r="K37" s="8">
        <v>2.0</v>
      </c>
      <c r="L37" s="8">
        <v>4.0</v>
      </c>
      <c r="M37" s="1">
        <v>0.0</v>
      </c>
      <c r="N37" s="6">
        <v>0.0</v>
      </c>
      <c r="O37" s="6">
        <v>0.0</v>
      </c>
      <c r="P37" s="6">
        <v>1.0</v>
      </c>
      <c r="Q37" s="9">
        <v>0.0</v>
      </c>
      <c r="S37" s="3"/>
      <c r="T37" s="3"/>
      <c r="U37" s="3"/>
      <c r="V37" s="3"/>
      <c r="X37" s="3"/>
    </row>
    <row r="38" ht="15.75" customHeight="1">
      <c r="A38" s="6">
        <v>28.0</v>
      </c>
      <c r="B38" s="1" t="s">
        <v>169</v>
      </c>
      <c r="C38" s="3">
        <v>28.0</v>
      </c>
      <c r="D38" s="1" t="s">
        <v>170</v>
      </c>
      <c r="E38" s="6">
        <v>6.0</v>
      </c>
      <c r="F38" s="1" t="s">
        <v>20</v>
      </c>
      <c r="G38" s="1" t="s">
        <v>160</v>
      </c>
      <c r="H38" s="1">
        <v>0.97</v>
      </c>
      <c r="I38" s="6">
        <v>15.1</v>
      </c>
      <c r="J38" s="6">
        <f t="shared" si="1"/>
        <v>16.04846424</v>
      </c>
      <c r="K38" s="6">
        <v>1.0</v>
      </c>
      <c r="L38" s="8">
        <v>3.0</v>
      </c>
      <c r="M38" s="6">
        <v>0.0</v>
      </c>
      <c r="N38" s="6">
        <v>0.0</v>
      </c>
      <c r="O38" s="6">
        <v>0.0</v>
      </c>
      <c r="P38" s="6">
        <v>0.0</v>
      </c>
      <c r="Q38" s="9">
        <v>0.0</v>
      </c>
      <c r="S38" s="3"/>
      <c r="T38" s="3"/>
      <c r="U38" s="3"/>
      <c r="V38" s="3"/>
      <c r="X38" s="3"/>
    </row>
    <row r="39" ht="15.75" customHeight="1">
      <c r="A39" s="6">
        <v>24.0</v>
      </c>
      <c r="B39" s="1" t="s">
        <v>171</v>
      </c>
      <c r="C39" s="3">
        <v>24.0</v>
      </c>
      <c r="D39" s="1" t="s">
        <v>172</v>
      </c>
      <c r="E39" s="6">
        <v>6.0</v>
      </c>
      <c r="F39" s="1" t="s">
        <v>21</v>
      </c>
      <c r="G39" s="1" t="s">
        <v>160</v>
      </c>
      <c r="H39" s="1">
        <v>1.03</v>
      </c>
      <c r="I39" s="6">
        <v>19.0</v>
      </c>
      <c r="J39" s="6">
        <f t="shared" si="1"/>
        <v>17.90932227</v>
      </c>
      <c r="K39" s="8">
        <v>2.0</v>
      </c>
      <c r="L39" s="8">
        <v>4.0</v>
      </c>
      <c r="M39" s="6">
        <v>0.0</v>
      </c>
      <c r="N39" s="6">
        <v>0.0</v>
      </c>
      <c r="O39" s="1">
        <v>0.0</v>
      </c>
      <c r="P39" s="6">
        <v>0.0</v>
      </c>
      <c r="Q39" s="9">
        <v>0.0</v>
      </c>
      <c r="S39" s="3"/>
      <c r="T39" s="3"/>
      <c r="U39" s="3"/>
      <c r="V39" s="3"/>
      <c r="X39" s="3"/>
    </row>
    <row r="40" ht="15.75" customHeight="1">
      <c r="A40" s="6">
        <v>4.0</v>
      </c>
      <c r="B40" s="1" t="s">
        <v>173</v>
      </c>
      <c r="C40" s="3">
        <v>4.0</v>
      </c>
      <c r="D40" s="1" t="s">
        <v>174</v>
      </c>
      <c r="E40" s="6">
        <v>5.0</v>
      </c>
      <c r="F40" s="1" t="s">
        <v>20</v>
      </c>
      <c r="G40" s="1" t="s">
        <v>160</v>
      </c>
      <c r="H40" s="1">
        <v>0.86</v>
      </c>
      <c r="I40" s="6">
        <v>17.3</v>
      </c>
      <c r="J40" s="6">
        <f t="shared" si="1"/>
        <v>23.39102217</v>
      </c>
      <c r="K40" s="10">
        <v>3.0</v>
      </c>
      <c r="L40" s="10">
        <v>5.0</v>
      </c>
      <c r="M40" s="6">
        <v>0.0</v>
      </c>
      <c r="N40" s="6">
        <v>0.0</v>
      </c>
      <c r="O40" s="6">
        <v>0.0</v>
      </c>
      <c r="P40" s="6">
        <v>0.0</v>
      </c>
      <c r="Q40" s="9">
        <v>0.0</v>
      </c>
      <c r="S40" s="3"/>
      <c r="T40" s="3"/>
      <c r="U40" s="3"/>
      <c r="V40" s="3"/>
      <c r="X40" s="3"/>
    </row>
    <row r="41" ht="15.75" customHeight="1">
      <c r="A41" s="6">
        <v>51.0</v>
      </c>
      <c r="B41" s="1" t="s">
        <v>175</v>
      </c>
      <c r="C41" s="3">
        <v>51.0</v>
      </c>
      <c r="D41" s="1" t="s">
        <v>176</v>
      </c>
      <c r="E41" s="6">
        <v>5.0</v>
      </c>
      <c r="F41" s="1" t="s">
        <v>20</v>
      </c>
      <c r="G41" s="1" t="s">
        <v>160</v>
      </c>
      <c r="H41" s="6">
        <v>0.99</v>
      </c>
      <c r="I41" s="1">
        <v>17.8</v>
      </c>
      <c r="J41" s="6">
        <f t="shared" si="1"/>
        <v>18.1614121</v>
      </c>
      <c r="K41" s="8">
        <v>2.0</v>
      </c>
      <c r="L41" s="8">
        <v>4.0</v>
      </c>
      <c r="M41" s="6">
        <v>0.0</v>
      </c>
      <c r="N41" s="6">
        <v>0.0</v>
      </c>
      <c r="O41" s="6">
        <v>0.0</v>
      </c>
      <c r="P41" s="6">
        <v>0.0</v>
      </c>
      <c r="Q41" s="9">
        <v>10.0</v>
      </c>
      <c r="S41" s="3"/>
      <c r="T41" s="3"/>
      <c r="U41" s="3"/>
      <c r="V41" s="3"/>
      <c r="X41" s="14"/>
    </row>
    <row r="42" ht="15.75" customHeight="1">
      <c r="A42" s="6">
        <v>13.0</v>
      </c>
      <c r="B42" s="1" t="s">
        <v>177</v>
      </c>
      <c r="C42" s="3">
        <v>13.0</v>
      </c>
      <c r="D42" s="1" t="s">
        <v>178</v>
      </c>
      <c r="E42" s="6">
        <v>8.0</v>
      </c>
      <c r="F42" s="1" t="s">
        <v>21</v>
      </c>
      <c r="G42" s="1" t="s">
        <v>160</v>
      </c>
      <c r="H42" s="1">
        <v>1.17</v>
      </c>
      <c r="I42" s="6">
        <v>21.5</v>
      </c>
      <c r="J42" s="6">
        <f t="shared" si="1"/>
        <v>15.70604135</v>
      </c>
      <c r="K42" s="6">
        <v>1.0</v>
      </c>
      <c r="L42" s="8">
        <v>2.0</v>
      </c>
      <c r="M42" s="6">
        <v>0.0</v>
      </c>
      <c r="N42" s="6">
        <v>0.0</v>
      </c>
      <c r="O42" s="6">
        <v>0.0</v>
      </c>
      <c r="P42" s="6">
        <v>0.0</v>
      </c>
      <c r="Q42" s="15">
        <v>1470.0</v>
      </c>
      <c r="S42" s="3"/>
      <c r="T42" s="3"/>
      <c r="U42" s="3"/>
      <c r="V42" s="3"/>
      <c r="X42" s="3"/>
    </row>
    <row r="43" ht="15.75" customHeight="1">
      <c r="A43" s="6">
        <v>63.0</v>
      </c>
      <c r="B43" s="1" t="s">
        <v>179</v>
      </c>
      <c r="C43" s="3">
        <v>63.0</v>
      </c>
      <c r="D43" s="1" t="s">
        <v>180</v>
      </c>
      <c r="E43" s="6">
        <v>6.0</v>
      </c>
      <c r="F43" s="1" t="s">
        <v>21</v>
      </c>
      <c r="G43" s="1" t="s">
        <v>160</v>
      </c>
      <c r="H43" s="1">
        <v>1.09</v>
      </c>
      <c r="I43" s="6">
        <v>15.6</v>
      </c>
      <c r="J43" s="6">
        <f t="shared" si="1"/>
        <v>13.13020789</v>
      </c>
      <c r="K43" s="6">
        <v>1.0</v>
      </c>
      <c r="L43" s="8">
        <v>1.0</v>
      </c>
      <c r="M43" s="6">
        <v>4.0</v>
      </c>
      <c r="N43" s="6">
        <v>0.0</v>
      </c>
      <c r="O43" s="6">
        <v>0.0</v>
      </c>
      <c r="P43" s="6">
        <v>1.0</v>
      </c>
      <c r="Q43" s="9">
        <v>10.0</v>
      </c>
    </row>
    <row r="44" ht="15.75" customHeight="1">
      <c r="A44" s="6">
        <v>45.0</v>
      </c>
      <c r="B44" s="1" t="s">
        <v>181</v>
      </c>
      <c r="C44" s="3">
        <v>45.0</v>
      </c>
      <c r="D44" s="1" t="s">
        <v>182</v>
      </c>
      <c r="E44" s="6">
        <v>10.0</v>
      </c>
      <c r="F44" s="1" t="s">
        <v>21</v>
      </c>
      <c r="G44" s="1" t="s">
        <v>160</v>
      </c>
      <c r="H44" s="1">
        <v>1.24</v>
      </c>
      <c r="I44" s="6">
        <v>25.2</v>
      </c>
      <c r="J44" s="6">
        <f t="shared" si="1"/>
        <v>16.38917794</v>
      </c>
      <c r="K44" s="6">
        <v>1.0</v>
      </c>
      <c r="L44" s="8">
        <v>2.0</v>
      </c>
      <c r="M44" s="6">
        <v>0.0</v>
      </c>
      <c r="N44" s="6">
        <v>0.0</v>
      </c>
      <c r="O44" s="6">
        <v>0.0</v>
      </c>
      <c r="P44" s="6">
        <v>0.0</v>
      </c>
      <c r="Q44" s="9">
        <v>720.0</v>
      </c>
    </row>
    <row r="45" ht="15.75" customHeight="1">
      <c r="A45" s="6">
        <v>22.0</v>
      </c>
      <c r="B45" s="1" t="s">
        <v>183</v>
      </c>
      <c r="C45" s="16">
        <v>22.0</v>
      </c>
      <c r="D45" s="1" t="s">
        <v>184</v>
      </c>
      <c r="E45" s="6">
        <v>10.0</v>
      </c>
      <c r="F45" s="1" t="s">
        <v>21</v>
      </c>
      <c r="G45" s="1" t="s">
        <v>160</v>
      </c>
      <c r="H45" s="1">
        <v>1.31</v>
      </c>
      <c r="I45" s="6">
        <v>44.0</v>
      </c>
      <c r="J45" s="6">
        <f t="shared" si="1"/>
        <v>25.6395315</v>
      </c>
      <c r="K45" s="10">
        <v>3.0</v>
      </c>
      <c r="L45" s="10">
        <v>5.0</v>
      </c>
      <c r="M45" s="6">
        <v>0.0</v>
      </c>
      <c r="N45" s="6">
        <v>0.0</v>
      </c>
      <c r="O45" s="6">
        <v>0.0</v>
      </c>
      <c r="P45" s="6">
        <v>0.0</v>
      </c>
      <c r="Q45" s="17">
        <v>0.0</v>
      </c>
    </row>
    <row r="46" ht="15.75" customHeight="1">
      <c r="A46" s="6">
        <v>23.0</v>
      </c>
      <c r="B46" s="1" t="s">
        <v>185</v>
      </c>
      <c r="C46" s="16">
        <v>23.0</v>
      </c>
      <c r="D46" s="1" t="s">
        <v>186</v>
      </c>
      <c r="E46" s="6">
        <v>8.0</v>
      </c>
      <c r="F46" s="1" t="s">
        <v>21</v>
      </c>
      <c r="G46" s="1" t="s">
        <v>160</v>
      </c>
      <c r="H46" s="1">
        <v>1.05</v>
      </c>
      <c r="I46" s="6">
        <v>18.3</v>
      </c>
      <c r="J46" s="6">
        <f t="shared" si="1"/>
        <v>16.59863946</v>
      </c>
      <c r="K46" s="6">
        <v>1.0</v>
      </c>
      <c r="L46" s="8">
        <v>3.0</v>
      </c>
      <c r="M46" s="6">
        <v>0.0</v>
      </c>
      <c r="N46" s="6">
        <v>0.0</v>
      </c>
      <c r="O46" s="6">
        <v>0.0</v>
      </c>
      <c r="P46" s="6">
        <v>0.0</v>
      </c>
      <c r="Q46" s="9">
        <v>0.0</v>
      </c>
    </row>
    <row r="47" ht="15.75" customHeight="1">
      <c r="A47" s="6">
        <v>10.0</v>
      </c>
      <c r="B47" s="1" t="s">
        <v>187</v>
      </c>
      <c r="C47" s="3">
        <v>10.0</v>
      </c>
      <c r="D47" s="1" t="s">
        <v>188</v>
      </c>
      <c r="E47" s="6">
        <v>7.0</v>
      </c>
      <c r="F47" s="1" t="s">
        <v>21</v>
      </c>
      <c r="G47" s="1" t="s">
        <v>160</v>
      </c>
      <c r="H47" s="1">
        <v>1.07</v>
      </c>
      <c r="I47" s="6">
        <v>21.0</v>
      </c>
      <c r="J47" s="6">
        <f t="shared" si="1"/>
        <v>18.34221329</v>
      </c>
      <c r="K47" s="8">
        <v>2.0</v>
      </c>
      <c r="L47" s="8">
        <v>4.0</v>
      </c>
      <c r="M47" s="6">
        <v>0.0</v>
      </c>
      <c r="N47" s="6">
        <v>0.0</v>
      </c>
      <c r="O47" s="6">
        <v>0.0</v>
      </c>
      <c r="P47" s="6">
        <v>0.0</v>
      </c>
      <c r="Q47" s="17">
        <v>0.0</v>
      </c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7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7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7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7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Q$47"/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34.75"/>
  </cols>
  <sheetData>
    <row r="1">
      <c r="A1" s="2" t="s">
        <v>0</v>
      </c>
      <c r="B1" s="1" t="s">
        <v>2</v>
      </c>
      <c r="C1" s="1" t="s">
        <v>3</v>
      </c>
      <c r="D1" s="1" t="s">
        <v>4</v>
      </c>
      <c r="E1" s="1" t="s">
        <v>189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>
        <v>103.0</v>
      </c>
      <c r="B2" s="1" t="s">
        <v>106</v>
      </c>
      <c r="C2" s="6">
        <v>7.0</v>
      </c>
      <c r="D2" s="1" t="s">
        <v>21</v>
      </c>
      <c r="E2" s="18" t="s">
        <v>190</v>
      </c>
      <c r="F2" s="18" t="s">
        <v>107</v>
      </c>
      <c r="G2" s="1">
        <v>1.07</v>
      </c>
      <c r="H2" s="6">
        <v>17.6</v>
      </c>
      <c r="I2" s="6">
        <f t="shared" ref="I2:I34" si="1">SUM(H2/(G2*G2))</f>
        <v>15.37252162</v>
      </c>
      <c r="J2" s="6">
        <v>1.0</v>
      </c>
      <c r="K2" s="8">
        <v>2.0</v>
      </c>
      <c r="L2" s="6">
        <v>0.0</v>
      </c>
      <c r="M2" s="6">
        <v>0.0</v>
      </c>
      <c r="N2" s="6">
        <v>0.0</v>
      </c>
      <c r="O2" s="6">
        <v>0.0</v>
      </c>
      <c r="P2" s="9">
        <v>0.0</v>
      </c>
    </row>
    <row r="3">
      <c r="A3" s="3">
        <v>82.0</v>
      </c>
      <c r="B3" s="1" t="s">
        <v>113</v>
      </c>
      <c r="C3" s="6">
        <v>5.0</v>
      </c>
      <c r="D3" s="1" t="s">
        <v>21</v>
      </c>
      <c r="E3" s="18" t="s">
        <v>190</v>
      </c>
      <c r="F3" s="18" t="s">
        <v>107</v>
      </c>
      <c r="G3" s="1">
        <v>1.02</v>
      </c>
      <c r="H3" s="6">
        <v>15.4</v>
      </c>
      <c r="I3" s="6">
        <f t="shared" si="1"/>
        <v>14.80199923</v>
      </c>
      <c r="J3" s="6">
        <v>1.0</v>
      </c>
      <c r="K3" s="8">
        <v>2.0</v>
      </c>
      <c r="L3" s="6">
        <v>0.0</v>
      </c>
      <c r="M3" s="6">
        <v>0.0</v>
      </c>
      <c r="N3" s="6">
        <v>0.0</v>
      </c>
      <c r="O3" s="6">
        <v>0.0</v>
      </c>
      <c r="P3" s="11">
        <v>24.0</v>
      </c>
    </row>
    <row r="4">
      <c r="A4" s="3">
        <v>101.0</v>
      </c>
      <c r="B4" s="1" t="s">
        <v>119</v>
      </c>
      <c r="C4" s="6">
        <v>9.0</v>
      </c>
      <c r="D4" s="1" t="s">
        <v>20</v>
      </c>
      <c r="E4" s="18" t="s">
        <v>190</v>
      </c>
      <c r="F4" s="18" t="s">
        <v>107</v>
      </c>
      <c r="G4" s="1">
        <v>1.2</v>
      </c>
      <c r="H4" s="6">
        <v>21.5</v>
      </c>
      <c r="I4" s="6">
        <f t="shared" si="1"/>
        <v>14.93055556</v>
      </c>
      <c r="J4" s="6">
        <v>1.0</v>
      </c>
      <c r="K4" s="8">
        <v>1.0</v>
      </c>
      <c r="L4" s="6">
        <v>0.0</v>
      </c>
      <c r="M4" s="6">
        <v>6.0</v>
      </c>
      <c r="N4" s="6">
        <v>0.0</v>
      </c>
      <c r="O4" s="6">
        <v>1.0</v>
      </c>
      <c r="P4" s="9">
        <v>0.0</v>
      </c>
    </row>
    <row r="5">
      <c r="A5" s="3">
        <v>136.0</v>
      </c>
      <c r="B5" s="1" t="s">
        <v>124</v>
      </c>
      <c r="C5" s="6">
        <v>8.0</v>
      </c>
      <c r="D5" s="1" t="s">
        <v>21</v>
      </c>
      <c r="E5" s="18" t="s">
        <v>190</v>
      </c>
      <c r="F5" s="18" t="s">
        <v>107</v>
      </c>
      <c r="G5" s="1">
        <v>1.19</v>
      </c>
      <c r="H5" s="6">
        <v>20.4</v>
      </c>
      <c r="I5" s="6">
        <f t="shared" si="1"/>
        <v>14.4057623</v>
      </c>
      <c r="J5" s="6">
        <v>1.0</v>
      </c>
      <c r="K5" s="8">
        <v>1.0</v>
      </c>
      <c r="L5" s="6">
        <v>0.0</v>
      </c>
      <c r="M5" s="6">
        <v>0.0</v>
      </c>
      <c r="N5" s="6">
        <v>0.0</v>
      </c>
      <c r="O5" s="6">
        <v>0.0</v>
      </c>
      <c r="P5" s="9">
        <v>0.0</v>
      </c>
    </row>
    <row r="6">
      <c r="A6" s="3">
        <v>151.0</v>
      </c>
      <c r="B6" s="1" t="s">
        <v>130</v>
      </c>
      <c r="C6" s="6">
        <v>6.0</v>
      </c>
      <c r="D6" s="1" t="s">
        <v>21</v>
      </c>
      <c r="E6" s="18" t="s">
        <v>190</v>
      </c>
      <c r="F6" s="18" t="s">
        <v>107</v>
      </c>
      <c r="G6" s="1">
        <v>0.9</v>
      </c>
      <c r="H6" s="6">
        <v>14.7</v>
      </c>
      <c r="I6" s="6">
        <f t="shared" si="1"/>
        <v>18.14814815</v>
      </c>
      <c r="J6" s="8">
        <v>2.0</v>
      </c>
      <c r="K6" s="8">
        <v>4.0</v>
      </c>
      <c r="L6" s="6">
        <v>0.0</v>
      </c>
      <c r="M6" s="6">
        <v>0.0</v>
      </c>
      <c r="N6" s="6">
        <v>0.0</v>
      </c>
      <c r="O6" s="6">
        <v>0.0</v>
      </c>
      <c r="P6" s="9">
        <v>82.0</v>
      </c>
    </row>
    <row r="7">
      <c r="A7" s="3">
        <v>96.0</v>
      </c>
      <c r="B7" s="1" t="s">
        <v>132</v>
      </c>
      <c r="C7" s="6">
        <v>8.0</v>
      </c>
      <c r="D7" s="1" t="s">
        <v>20</v>
      </c>
      <c r="E7" s="18" t="s">
        <v>190</v>
      </c>
      <c r="F7" s="18" t="s">
        <v>107</v>
      </c>
      <c r="G7" s="1">
        <v>1.19</v>
      </c>
      <c r="H7" s="6">
        <v>19.7</v>
      </c>
      <c r="I7" s="6">
        <f t="shared" si="1"/>
        <v>13.91144693</v>
      </c>
      <c r="J7" s="6">
        <v>1.0</v>
      </c>
      <c r="K7" s="8">
        <v>1.0</v>
      </c>
      <c r="L7" s="6">
        <v>0.0</v>
      </c>
      <c r="M7" s="6">
        <v>0.0</v>
      </c>
      <c r="N7" s="6">
        <v>0.0</v>
      </c>
      <c r="O7" s="6">
        <v>0.0</v>
      </c>
      <c r="P7" s="9">
        <v>8.0</v>
      </c>
    </row>
    <row r="8">
      <c r="A8" s="19">
        <v>114.0</v>
      </c>
      <c r="B8" s="1" t="s">
        <v>134</v>
      </c>
      <c r="C8" s="6">
        <v>6.0</v>
      </c>
      <c r="D8" s="1" t="s">
        <v>20</v>
      </c>
      <c r="E8" s="18" t="s">
        <v>190</v>
      </c>
      <c r="F8" s="18" t="s">
        <v>107</v>
      </c>
      <c r="G8" s="1">
        <v>1.04</v>
      </c>
      <c r="H8" s="6">
        <v>18.1</v>
      </c>
      <c r="I8" s="6">
        <f t="shared" si="1"/>
        <v>16.73446746</v>
      </c>
      <c r="J8" s="6">
        <v>1.0</v>
      </c>
      <c r="K8" s="8">
        <v>3.0</v>
      </c>
      <c r="L8" s="6">
        <v>0.0</v>
      </c>
      <c r="M8" s="6">
        <v>0.0</v>
      </c>
      <c r="N8" s="6">
        <v>0.0</v>
      </c>
      <c r="O8" s="6">
        <v>0.0</v>
      </c>
      <c r="P8" s="9">
        <v>58.0</v>
      </c>
    </row>
    <row r="9">
      <c r="A9" s="3">
        <v>155.0</v>
      </c>
      <c r="B9" s="1" t="s">
        <v>136</v>
      </c>
      <c r="C9" s="6">
        <v>8.0</v>
      </c>
      <c r="D9" s="1" t="s">
        <v>21</v>
      </c>
      <c r="E9" s="18" t="s">
        <v>190</v>
      </c>
      <c r="F9" s="18" t="s">
        <v>107</v>
      </c>
      <c r="G9" s="1">
        <v>1.26</v>
      </c>
      <c r="H9" s="6">
        <v>23.7</v>
      </c>
      <c r="I9" s="6">
        <f t="shared" si="1"/>
        <v>14.9281935</v>
      </c>
      <c r="J9" s="6">
        <v>1.0</v>
      </c>
      <c r="K9" s="8">
        <v>2.0</v>
      </c>
      <c r="L9" s="6">
        <v>0.0</v>
      </c>
      <c r="M9" s="6">
        <v>0.0</v>
      </c>
      <c r="N9" s="6">
        <v>0.0</v>
      </c>
      <c r="O9" s="6">
        <v>0.0</v>
      </c>
      <c r="P9" s="9">
        <v>0.0</v>
      </c>
    </row>
    <row r="10">
      <c r="A10" s="3">
        <v>74.0</v>
      </c>
      <c r="B10" s="1" t="s">
        <v>139</v>
      </c>
      <c r="C10" s="6">
        <v>10.0</v>
      </c>
      <c r="D10" s="1" t="s">
        <v>20</v>
      </c>
      <c r="E10" s="18" t="s">
        <v>190</v>
      </c>
      <c r="F10" s="18" t="s">
        <v>107</v>
      </c>
      <c r="G10" s="1">
        <v>1.4</v>
      </c>
      <c r="H10" s="6">
        <v>46.5</v>
      </c>
      <c r="I10" s="6">
        <f t="shared" si="1"/>
        <v>23.7244898</v>
      </c>
      <c r="J10" s="6">
        <v>2.0</v>
      </c>
      <c r="K10" s="8">
        <v>4.0</v>
      </c>
      <c r="L10" s="6">
        <v>3.0</v>
      </c>
      <c r="M10" s="6">
        <v>0.0</v>
      </c>
      <c r="N10" s="6">
        <v>0.0</v>
      </c>
      <c r="O10" s="6">
        <v>1.0</v>
      </c>
      <c r="P10" s="9">
        <v>0.0</v>
      </c>
    </row>
    <row r="11">
      <c r="A11" s="3">
        <v>76.0</v>
      </c>
      <c r="B11" s="1" t="s">
        <v>141</v>
      </c>
      <c r="C11" s="6">
        <v>6.0</v>
      </c>
      <c r="D11" s="1" t="s">
        <v>20</v>
      </c>
      <c r="E11" s="18" t="s">
        <v>190</v>
      </c>
      <c r="F11" s="18" t="s">
        <v>107</v>
      </c>
      <c r="G11" s="1">
        <v>1.18</v>
      </c>
      <c r="H11" s="6">
        <v>20.7</v>
      </c>
      <c r="I11" s="6">
        <f t="shared" si="1"/>
        <v>14.8664177</v>
      </c>
      <c r="J11" s="6">
        <v>1.0</v>
      </c>
      <c r="K11" s="8">
        <v>2.0</v>
      </c>
      <c r="L11" s="6">
        <v>0.0</v>
      </c>
      <c r="M11" s="6">
        <v>0.0</v>
      </c>
      <c r="N11" s="6">
        <v>0.0</v>
      </c>
      <c r="O11" s="6">
        <v>0.0</v>
      </c>
      <c r="P11" s="9">
        <v>21.0</v>
      </c>
    </row>
    <row r="12">
      <c r="A12" s="3">
        <v>135.0</v>
      </c>
      <c r="B12" s="1" t="s">
        <v>143</v>
      </c>
      <c r="C12" s="6">
        <v>10.0</v>
      </c>
      <c r="D12" s="1" t="s">
        <v>20</v>
      </c>
      <c r="E12" s="18" t="s">
        <v>190</v>
      </c>
      <c r="F12" s="18" t="s">
        <v>107</v>
      </c>
      <c r="G12" s="1">
        <v>1.26</v>
      </c>
      <c r="H12" s="6">
        <v>23.0</v>
      </c>
      <c r="I12" s="6">
        <f t="shared" si="1"/>
        <v>14.48727639</v>
      </c>
      <c r="J12" s="6">
        <v>1.0</v>
      </c>
      <c r="K12" s="8">
        <v>1.0</v>
      </c>
      <c r="L12" s="6">
        <v>0.0</v>
      </c>
      <c r="M12" s="6">
        <v>0.0</v>
      </c>
      <c r="N12" s="6">
        <v>0.0</v>
      </c>
      <c r="O12" s="6">
        <v>0.0</v>
      </c>
      <c r="P12" s="9">
        <v>0.0</v>
      </c>
    </row>
    <row r="13">
      <c r="A13" s="3">
        <v>92.0</v>
      </c>
      <c r="B13" s="1" t="s">
        <v>145</v>
      </c>
      <c r="C13" s="6">
        <v>6.0</v>
      </c>
      <c r="D13" s="1" t="s">
        <v>21</v>
      </c>
      <c r="E13" s="18" t="s">
        <v>190</v>
      </c>
      <c r="F13" s="18" t="s">
        <v>107</v>
      </c>
      <c r="G13" s="1">
        <v>1.09</v>
      </c>
      <c r="H13" s="6">
        <v>16.2</v>
      </c>
      <c r="I13" s="6">
        <f t="shared" si="1"/>
        <v>13.63521589</v>
      </c>
      <c r="J13" s="6">
        <v>1.0</v>
      </c>
      <c r="K13" s="8">
        <v>1.0</v>
      </c>
      <c r="L13" s="6">
        <v>0.0</v>
      </c>
      <c r="M13" s="6">
        <v>0.0</v>
      </c>
      <c r="N13" s="6">
        <v>0.0</v>
      </c>
      <c r="O13" s="6">
        <v>0.0</v>
      </c>
      <c r="P13" s="9">
        <v>9.0</v>
      </c>
    </row>
    <row r="14">
      <c r="A14" s="3">
        <v>117.0</v>
      </c>
      <c r="B14" s="1" t="s">
        <v>147</v>
      </c>
      <c r="C14" s="6">
        <v>9.0</v>
      </c>
      <c r="D14" s="1" t="s">
        <v>21</v>
      </c>
      <c r="E14" s="18" t="s">
        <v>190</v>
      </c>
      <c r="F14" s="18" t="s">
        <v>107</v>
      </c>
      <c r="G14" s="1">
        <v>1.26</v>
      </c>
      <c r="H14" s="6">
        <v>26.4</v>
      </c>
      <c r="I14" s="6">
        <f t="shared" si="1"/>
        <v>16.62887377</v>
      </c>
      <c r="J14" s="6">
        <v>1.0</v>
      </c>
      <c r="K14" s="8">
        <v>2.0</v>
      </c>
      <c r="L14" s="6">
        <v>0.0</v>
      </c>
      <c r="M14" s="6">
        <v>0.0</v>
      </c>
      <c r="N14" s="6">
        <v>0.0</v>
      </c>
      <c r="O14" s="6">
        <v>0.0</v>
      </c>
      <c r="P14" s="9">
        <v>0.0</v>
      </c>
    </row>
    <row r="15">
      <c r="A15" s="3">
        <v>131.0</v>
      </c>
      <c r="B15" s="1" t="s">
        <v>149</v>
      </c>
      <c r="C15" s="6">
        <v>9.0</v>
      </c>
      <c r="D15" s="1" t="s">
        <v>20</v>
      </c>
      <c r="E15" s="18" t="s">
        <v>190</v>
      </c>
      <c r="F15" s="18" t="s">
        <v>107</v>
      </c>
      <c r="G15" s="1">
        <v>1.27</v>
      </c>
      <c r="H15" s="6">
        <v>27.7</v>
      </c>
      <c r="I15" s="6">
        <f t="shared" si="1"/>
        <v>17.17403435</v>
      </c>
      <c r="J15" s="6">
        <v>1.0</v>
      </c>
      <c r="K15" s="8">
        <v>3.0</v>
      </c>
      <c r="L15" s="6">
        <v>7.0</v>
      </c>
      <c r="M15" s="6">
        <v>0.0</v>
      </c>
      <c r="N15" s="6">
        <v>0.0</v>
      </c>
      <c r="O15" s="6">
        <v>1.0</v>
      </c>
      <c r="P15" s="9">
        <v>0.0</v>
      </c>
    </row>
    <row r="16">
      <c r="A16" s="3">
        <v>109.0</v>
      </c>
      <c r="B16" s="1" t="s">
        <v>151</v>
      </c>
      <c r="C16" s="6">
        <v>9.0</v>
      </c>
      <c r="D16" s="1" t="s">
        <v>21</v>
      </c>
      <c r="E16" s="18" t="s">
        <v>190</v>
      </c>
      <c r="F16" s="18" t="s">
        <v>107</v>
      </c>
      <c r="G16" s="1">
        <v>1.22</v>
      </c>
      <c r="H16" s="6">
        <v>21.2</v>
      </c>
      <c r="I16" s="6">
        <f t="shared" si="1"/>
        <v>14.24348293</v>
      </c>
      <c r="J16" s="6">
        <v>1.0</v>
      </c>
      <c r="K16" s="8">
        <v>1.0</v>
      </c>
      <c r="L16" s="6">
        <v>0.0</v>
      </c>
      <c r="M16" s="6">
        <v>0.0</v>
      </c>
      <c r="N16" s="6">
        <v>0.0</v>
      </c>
      <c r="O16" s="6">
        <v>0.0</v>
      </c>
      <c r="P16" s="9">
        <v>215.0</v>
      </c>
    </row>
    <row r="17">
      <c r="A17" s="3">
        <v>161.0</v>
      </c>
      <c r="B17" s="1" t="s">
        <v>153</v>
      </c>
      <c r="C17" s="6">
        <v>11.0</v>
      </c>
      <c r="D17" s="1" t="s">
        <v>20</v>
      </c>
      <c r="E17" s="18" t="s">
        <v>190</v>
      </c>
      <c r="F17" s="18" t="s">
        <v>107</v>
      </c>
      <c r="G17" s="1">
        <v>1.27</v>
      </c>
      <c r="H17" s="6">
        <v>24.1</v>
      </c>
      <c r="I17" s="6">
        <f t="shared" si="1"/>
        <v>14.94202988</v>
      </c>
      <c r="J17" s="6">
        <v>1.0</v>
      </c>
      <c r="K17" s="8">
        <v>1.0</v>
      </c>
      <c r="L17" s="6">
        <v>2.0</v>
      </c>
      <c r="M17" s="6">
        <v>0.0</v>
      </c>
      <c r="N17" s="6">
        <v>0.0</v>
      </c>
      <c r="O17" s="6">
        <v>0.0</v>
      </c>
      <c r="P17" s="9">
        <v>0.0</v>
      </c>
    </row>
    <row r="18">
      <c r="A18" s="3">
        <v>102.0</v>
      </c>
      <c r="B18" s="1" t="s">
        <v>155</v>
      </c>
      <c r="C18" s="6">
        <v>8.0</v>
      </c>
      <c r="D18" s="1" t="s">
        <v>20</v>
      </c>
      <c r="E18" s="18" t="s">
        <v>190</v>
      </c>
      <c r="F18" s="18" t="s">
        <v>107</v>
      </c>
      <c r="G18" s="1">
        <v>1.12</v>
      </c>
      <c r="H18" s="6">
        <v>17.8</v>
      </c>
      <c r="I18" s="6">
        <f t="shared" si="1"/>
        <v>14.19005102</v>
      </c>
      <c r="J18" s="6">
        <v>1.0</v>
      </c>
      <c r="K18" s="8">
        <v>1.0</v>
      </c>
      <c r="L18" s="6">
        <v>0.0</v>
      </c>
      <c r="M18" s="6">
        <v>0.0</v>
      </c>
      <c r="N18" s="6">
        <v>0.0</v>
      </c>
      <c r="O18" s="6">
        <v>0.0</v>
      </c>
      <c r="P18" s="9">
        <v>0.0</v>
      </c>
    </row>
    <row r="19">
      <c r="A19" s="3">
        <v>95.0</v>
      </c>
      <c r="B19" s="1" t="s">
        <v>157</v>
      </c>
      <c r="C19" s="6">
        <v>10.0</v>
      </c>
      <c r="D19" s="1" t="s">
        <v>20</v>
      </c>
      <c r="E19" s="18" t="s">
        <v>190</v>
      </c>
      <c r="F19" s="18" t="s">
        <v>107</v>
      </c>
      <c r="G19" s="1">
        <v>1.34</v>
      </c>
      <c r="H19" s="6">
        <v>29.1</v>
      </c>
      <c r="I19" s="6">
        <f t="shared" si="1"/>
        <v>16.20628202</v>
      </c>
      <c r="J19" s="6">
        <v>1.0</v>
      </c>
      <c r="K19" s="8">
        <v>2.0</v>
      </c>
      <c r="L19" s="6">
        <v>4.0</v>
      </c>
      <c r="M19" s="6">
        <v>3.0</v>
      </c>
      <c r="N19" s="6">
        <v>0.0</v>
      </c>
      <c r="O19" s="6">
        <v>0.0</v>
      </c>
      <c r="P19" s="9">
        <v>178.0</v>
      </c>
    </row>
    <row r="20">
      <c r="A20" s="3">
        <v>30.0</v>
      </c>
      <c r="B20" s="1" t="s">
        <v>159</v>
      </c>
      <c r="C20" s="6">
        <v>9.0</v>
      </c>
      <c r="D20" s="1" t="s">
        <v>21</v>
      </c>
      <c r="E20" s="18" t="s">
        <v>190</v>
      </c>
      <c r="F20" s="18" t="s">
        <v>160</v>
      </c>
      <c r="G20" s="1">
        <v>1.18</v>
      </c>
      <c r="H20" s="1">
        <v>19.5</v>
      </c>
      <c r="I20" s="6">
        <f t="shared" si="1"/>
        <v>14.00459638</v>
      </c>
      <c r="J20" s="6">
        <v>1.0</v>
      </c>
      <c r="K20" s="8">
        <v>1.0</v>
      </c>
      <c r="L20" s="6">
        <v>0.0</v>
      </c>
      <c r="M20" s="6">
        <v>0.0</v>
      </c>
      <c r="N20" s="6">
        <v>0.0</v>
      </c>
      <c r="O20" s="6">
        <v>0.0</v>
      </c>
      <c r="P20" s="9">
        <v>0.0</v>
      </c>
    </row>
    <row r="21">
      <c r="A21" s="3">
        <v>27.0</v>
      </c>
      <c r="B21" s="1" t="s">
        <v>162</v>
      </c>
      <c r="C21" s="6">
        <v>7.0</v>
      </c>
      <c r="D21" s="1" t="s">
        <v>21</v>
      </c>
      <c r="E21" s="18" t="s">
        <v>190</v>
      </c>
      <c r="F21" s="18" t="s">
        <v>160</v>
      </c>
      <c r="G21" s="1">
        <v>1.07</v>
      </c>
      <c r="H21" s="1">
        <v>16.6</v>
      </c>
      <c r="I21" s="6">
        <f t="shared" si="1"/>
        <v>14.49908289</v>
      </c>
      <c r="J21" s="6">
        <v>1.0</v>
      </c>
      <c r="K21" s="8">
        <v>2.0</v>
      </c>
      <c r="L21" s="6">
        <v>0.0</v>
      </c>
      <c r="M21" s="6">
        <v>0.0</v>
      </c>
      <c r="N21" s="6">
        <v>0.0</v>
      </c>
      <c r="O21" s="6">
        <v>0.0</v>
      </c>
      <c r="P21" s="9">
        <v>10.0</v>
      </c>
    </row>
    <row r="22">
      <c r="A22" s="3">
        <v>50.0</v>
      </c>
      <c r="B22" s="1" t="s">
        <v>164</v>
      </c>
      <c r="C22" s="6">
        <v>7.0</v>
      </c>
      <c r="D22" s="1" t="s">
        <v>20</v>
      </c>
      <c r="E22" s="18" t="s">
        <v>190</v>
      </c>
      <c r="F22" s="18" t="s">
        <v>160</v>
      </c>
      <c r="G22" s="1">
        <v>1.11</v>
      </c>
      <c r="H22" s="6">
        <v>22.3</v>
      </c>
      <c r="I22" s="6">
        <f t="shared" si="1"/>
        <v>18.09918026</v>
      </c>
      <c r="J22" s="8">
        <v>2.0</v>
      </c>
      <c r="K22" s="8">
        <v>4.0</v>
      </c>
      <c r="L22" s="6">
        <v>0.0</v>
      </c>
      <c r="M22" s="6">
        <v>0.0</v>
      </c>
      <c r="N22" s="6">
        <v>0.0</v>
      </c>
      <c r="O22" s="6">
        <v>0.0</v>
      </c>
      <c r="P22" s="9">
        <v>0.0</v>
      </c>
    </row>
    <row r="23">
      <c r="A23" s="3">
        <v>6.0</v>
      </c>
      <c r="B23" s="1" t="s">
        <v>166</v>
      </c>
      <c r="C23" s="6">
        <v>8.0</v>
      </c>
      <c r="D23" s="1" t="s">
        <v>21</v>
      </c>
      <c r="E23" s="18" t="s">
        <v>190</v>
      </c>
      <c r="F23" s="18" t="s">
        <v>160</v>
      </c>
      <c r="G23" s="1">
        <v>1.02</v>
      </c>
      <c r="H23" s="6">
        <v>18.0</v>
      </c>
      <c r="I23" s="6">
        <f t="shared" si="1"/>
        <v>17.30103806</v>
      </c>
      <c r="J23" s="6">
        <v>1.0</v>
      </c>
      <c r="K23" s="8">
        <v>3.0</v>
      </c>
      <c r="L23" s="6">
        <v>0.0</v>
      </c>
      <c r="M23" s="6">
        <v>0.0</v>
      </c>
      <c r="N23" s="6">
        <v>0.0</v>
      </c>
      <c r="O23" s="6">
        <v>0.0</v>
      </c>
      <c r="P23" s="9">
        <v>0.0</v>
      </c>
    </row>
    <row r="24">
      <c r="A24" s="3">
        <v>49.0</v>
      </c>
      <c r="B24" s="1" t="s">
        <v>168</v>
      </c>
      <c r="C24" s="6">
        <v>9.0</v>
      </c>
      <c r="D24" s="1" t="s">
        <v>20</v>
      </c>
      <c r="E24" s="18" t="s">
        <v>190</v>
      </c>
      <c r="F24" s="18" t="s">
        <v>160</v>
      </c>
      <c r="G24" s="1">
        <v>1.15</v>
      </c>
      <c r="H24" s="6">
        <v>24.7</v>
      </c>
      <c r="I24" s="6">
        <f t="shared" si="1"/>
        <v>18.67674858</v>
      </c>
      <c r="J24" s="8">
        <v>2.0</v>
      </c>
      <c r="K24" s="8">
        <v>4.0</v>
      </c>
      <c r="L24" s="1">
        <v>0.0</v>
      </c>
      <c r="M24" s="6">
        <v>0.0</v>
      </c>
      <c r="N24" s="6">
        <v>0.0</v>
      </c>
      <c r="O24" s="6">
        <v>1.0</v>
      </c>
      <c r="P24" s="9">
        <v>0.0</v>
      </c>
    </row>
    <row r="25">
      <c r="A25" s="3">
        <v>28.0</v>
      </c>
      <c r="B25" s="1" t="s">
        <v>170</v>
      </c>
      <c r="C25" s="6">
        <v>6.0</v>
      </c>
      <c r="D25" s="1" t="s">
        <v>20</v>
      </c>
      <c r="E25" s="18" t="s">
        <v>190</v>
      </c>
      <c r="F25" s="18" t="s">
        <v>160</v>
      </c>
      <c r="G25" s="1">
        <v>0.97</v>
      </c>
      <c r="H25" s="6">
        <v>15.1</v>
      </c>
      <c r="I25" s="6">
        <f t="shared" si="1"/>
        <v>16.04846424</v>
      </c>
      <c r="J25" s="6">
        <v>1.0</v>
      </c>
      <c r="K25" s="8">
        <v>3.0</v>
      </c>
      <c r="L25" s="6">
        <v>0.0</v>
      </c>
      <c r="M25" s="6">
        <v>0.0</v>
      </c>
      <c r="N25" s="6">
        <v>0.0</v>
      </c>
      <c r="O25" s="6">
        <v>0.0</v>
      </c>
      <c r="P25" s="9">
        <v>0.0</v>
      </c>
    </row>
    <row r="26">
      <c r="A26" s="3">
        <v>24.0</v>
      </c>
      <c r="B26" s="1" t="s">
        <v>172</v>
      </c>
      <c r="C26" s="6">
        <v>6.0</v>
      </c>
      <c r="D26" s="1" t="s">
        <v>21</v>
      </c>
      <c r="E26" s="18" t="s">
        <v>190</v>
      </c>
      <c r="F26" s="18" t="s">
        <v>160</v>
      </c>
      <c r="G26" s="1">
        <v>1.03</v>
      </c>
      <c r="H26" s="6">
        <v>19.0</v>
      </c>
      <c r="I26" s="6">
        <f t="shared" si="1"/>
        <v>17.90932227</v>
      </c>
      <c r="J26" s="8">
        <v>2.0</v>
      </c>
      <c r="K26" s="8">
        <v>4.0</v>
      </c>
      <c r="L26" s="6">
        <v>0.0</v>
      </c>
      <c r="M26" s="6">
        <v>0.0</v>
      </c>
      <c r="N26" s="1">
        <v>0.0</v>
      </c>
      <c r="O26" s="6">
        <v>0.0</v>
      </c>
      <c r="P26" s="9">
        <v>0.0</v>
      </c>
    </row>
    <row r="27">
      <c r="A27" s="3">
        <v>4.0</v>
      </c>
      <c r="B27" s="1" t="s">
        <v>174</v>
      </c>
      <c r="C27" s="6">
        <v>5.0</v>
      </c>
      <c r="D27" s="1" t="s">
        <v>20</v>
      </c>
      <c r="E27" s="18" t="s">
        <v>190</v>
      </c>
      <c r="F27" s="18" t="s">
        <v>160</v>
      </c>
      <c r="G27" s="1">
        <v>0.86</v>
      </c>
      <c r="H27" s="6">
        <v>17.3</v>
      </c>
      <c r="I27" s="6">
        <f t="shared" si="1"/>
        <v>23.39102217</v>
      </c>
      <c r="J27" s="10">
        <v>3.0</v>
      </c>
      <c r="K27" s="10">
        <v>5.0</v>
      </c>
      <c r="L27" s="6">
        <v>0.0</v>
      </c>
      <c r="M27" s="6">
        <v>0.0</v>
      </c>
      <c r="N27" s="6">
        <v>0.0</v>
      </c>
      <c r="O27" s="6">
        <v>0.0</v>
      </c>
      <c r="P27" s="9">
        <v>0.0</v>
      </c>
    </row>
    <row r="28">
      <c r="A28" s="3">
        <v>51.0</v>
      </c>
      <c r="B28" s="1" t="s">
        <v>176</v>
      </c>
      <c r="C28" s="6">
        <v>5.0</v>
      </c>
      <c r="D28" s="1" t="s">
        <v>20</v>
      </c>
      <c r="E28" s="18" t="s">
        <v>190</v>
      </c>
      <c r="F28" s="18" t="s">
        <v>160</v>
      </c>
      <c r="G28" s="6">
        <v>0.99</v>
      </c>
      <c r="H28" s="1">
        <v>17.8</v>
      </c>
      <c r="I28" s="6">
        <f t="shared" si="1"/>
        <v>18.1614121</v>
      </c>
      <c r="J28" s="8">
        <v>2.0</v>
      </c>
      <c r="K28" s="8">
        <v>4.0</v>
      </c>
      <c r="L28" s="6">
        <v>0.0</v>
      </c>
      <c r="M28" s="6">
        <v>0.0</v>
      </c>
      <c r="N28" s="6">
        <v>0.0</v>
      </c>
      <c r="O28" s="6">
        <v>0.0</v>
      </c>
      <c r="P28" s="9">
        <v>10.0</v>
      </c>
    </row>
    <row r="29">
      <c r="A29" s="3">
        <v>13.0</v>
      </c>
      <c r="B29" s="1" t="s">
        <v>178</v>
      </c>
      <c r="C29" s="6">
        <v>8.0</v>
      </c>
      <c r="D29" s="1" t="s">
        <v>21</v>
      </c>
      <c r="E29" s="18" t="s">
        <v>190</v>
      </c>
      <c r="F29" s="18" t="s">
        <v>160</v>
      </c>
      <c r="G29" s="1">
        <v>1.17</v>
      </c>
      <c r="H29" s="6">
        <v>21.5</v>
      </c>
      <c r="I29" s="6">
        <f t="shared" si="1"/>
        <v>15.70604135</v>
      </c>
      <c r="J29" s="6">
        <v>1.0</v>
      </c>
      <c r="K29" s="8">
        <v>2.0</v>
      </c>
      <c r="L29" s="6">
        <v>0.0</v>
      </c>
      <c r="M29" s="6">
        <v>0.0</v>
      </c>
      <c r="N29" s="6">
        <v>0.0</v>
      </c>
      <c r="O29" s="6">
        <v>0.0</v>
      </c>
      <c r="P29" s="15">
        <v>1470.0</v>
      </c>
    </row>
    <row r="30">
      <c r="A30" s="3">
        <v>63.0</v>
      </c>
      <c r="B30" s="1" t="s">
        <v>180</v>
      </c>
      <c r="C30" s="6">
        <v>6.0</v>
      </c>
      <c r="D30" s="1" t="s">
        <v>21</v>
      </c>
      <c r="E30" s="18" t="s">
        <v>190</v>
      </c>
      <c r="F30" s="18" t="s">
        <v>160</v>
      </c>
      <c r="G30" s="1">
        <v>1.09</v>
      </c>
      <c r="H30" s="6">
        <v>15.6</v>
      </c>
      <c r="I30" s="6">
        <f t="shared" si="1"/>
        <v>13.13020789</v>
      </c>
      <c r="J30" s="6">
        <v>1.0</v>
      </c>
      <c r="K30" s="8">
        <v>1.0</v>
      </c>
      <c r="L30" s="6">
        <v>4.0</v>
      </c>
      <c r="M30" s="6">
        <v>0.0</v>
      </c>
      <c r="N30" s="6">
        <v>0.0</v>
      </c>
      <c r="O30" s="6">
        <v>1.0</v>
      </c>
      <c r="P30" s="9">
        <v>10.0</v>
      </c>
    </row>
    <row r="31">
      <c r="A31" s="3">
        <v>45.0</v>
      </c>
      <c r="B31" s="1" t="s">
        <v>182</v>
      </c>
      <c r="C31" s="6">
        <v>10.0</v>
      </c>
      <c r="D31" s="1" t="s">
        <v>21</v>
      </c>
      <c r="E31" s="18" t="s">
        <v>190</v>
      </c>
      <c r="F31" s="18" t="s">
        <v>160</v>
      </c>
      <c r="G31" s="1">
        <v>1.24</v>
      </c>
      <c r="H31" s="6">
        <v>25.2</v>
      </c>
      <c r="I31" s="6">
        <f t="shared" si="1"/>
        <v>16.38917794</v>
      </c>
      <c r="J31" s="6">
        <v>1.0</v>
      </c>
      <c r="K31" s="8">
        <v>2.0</v>
      </c>
      <c r="L31" s="6">
        <v>0.0</v>
      </c>
      <c r="M31" s="6">
        <v>0.0</v>
      </c>
      <c r="N31" s="6">
        <v>0.0</v>
      </c>
      <c r="O31" s="6">
        <v>0.0</v>
      </c>
      <c r="P31" s="9">
        <v>720.0</v>
      </c>
    </row>
    <row r="32">
      <c r="A32" s="16">
        <v>22.0</v>
      </c>
      <c r="B32" s="1" t="s">
        <v>184</v>
      </c>
      <c r="C32" s="6">
        <v>10.0</v>
      </c>
      <c r="D32" s="1" t="s">
        <v>21</v>
      </c>
      <c r="E32" s="18" t="s">
        <v>190</v>
      </c>
      <c r="F32" s="18" t="s">
        <v>160</v>
      </c>
      <c r="G32" s="1">
        <v>1.31</v>
      </c>
      <c r="H32" s="6">
        <v>44.0</v>
      </c>
      <c r="I32" s="6">
        <f t="shared" si="1"/>
        <v>25.6395315</v>
      </c>
      <c r="J32" s="10">
        <v>3.0</v>
      </c>
      <c r="K32" s="10">
        <v>5.0</v>
      </c>
      <c r="L32" s="6">
        <v>0.0</v>
      </c>
      <c r="M32" s="6">
        <v>0.0</v>
      </c>
      <c r="N32" s="6">
        <v>0.0</v>
      </c>
      <c r="O32" s="6">
        <v>0.0</v>
      </c>
      <c r="P32" s="17">
        <v>0.0</v>
      </c>
    </row>
    <row r="33">
      <c r="A33" s="16">
        <v>23.0</v>
      </c>
      <c r="B33" s="1" t="s">
        <v>186</v>
      </c>
      <c r="C33" s="6">
        <v>8.0</v>
      </c>
      <c r="D33" s="1" t="s">
        <v>21</v>
      </c>
      <c r="E33" s="18" t="s">
        <v>190</v>
      </c>
      <c r="F33" s="18" t="s">
        <v>160</v>
      </c>
      <c r="G33" s="1">
        <v>1.05</v>
      </c>
      <c r="H33" s="6">
        <v>18.3</v>
      </c>
      <c r="I33" s="6">
        <f t="shared" si="1"/>
        <v>16.59863946</v>
      </c>
      <c r="J33" s="6">
        <v>1.0</v>
      </c>
      <c r="K33" s="8">
        <v>3.0</v>
      </c>
      <c r="L33" s="6">
        <v>0.0</v>
      </c>
      <c r="M33" s="6">
        <v>0.0</v>
      </c>
      <c r="N33" s="6">
        <v>0.0</v>
      </c>
      <c r="O33" s="6">
        <v>0.0</v>
      </c>
      <c r="P33" s="9">
        <v>0.0</v>
      </c>
    </row>
    <row r="34">
      <c r="A34" s="3">
        <v>10.0</v>
      </c>
      <c r="B34" s="1" t="s">
        <v>188</v>
      </c>
      <c r="C34" s="6">
        <v>7.0</v>
      </c>
      <c r="D34" s="1" t="s">
        <v>21</v>
      </c>
      <c r="E34" s="18" t="s">
        <v>190</v>
      </c>
      <c r="F34" s="18" t="s">
        <v>160</v>
      </c>
      <c r="G34" s="1">
        <v>1.07</v>
      </c>
      <c r="H34" s="6">
        <v>21.0</v>
      </c>
      <c r="I34" s="6">
        <f t="shared" si="1"/>
        <v>18.34221329</v>
      </c>
      <c r="J34" s="8">
        <v>2.0</v>
      </c>
      <c r="K34" s="8">
        <v>4.0</v>
      </c>
      <c r="L34" s="6">
        <v>0.0</v>
      </c>
      <c r="M34" s="6">
        <v>0.0</v>
      </c>
      <c r="N34" s="6">
        <v>0.0</v>
      </c>
      <c r="O34" s="6">
        <v>0.0</v>
      </c>
      <c r="P34" s="17">
        <v>0.0</v>
      </c>
    </row>
    <row r="35">
      <c r="A35" s="20">
        <v>21.0</v>
      </c>
      <c r="B35" s="21" t="s">
        <v>191</v>
      </c>
      <c r="C35" s="22">
        <v>23.0</v>
      </c>
      <c r="D35" s="21" t="s">
        <v>21</v>
      </c>
      <c r="E35" s="23" t="s">
        <v>192</v>
      </c>
      <c r="F35" s="24" t="s">
        <v>160</v>
      </c>
      <c r="G35" s="3">
        <v>1.45</v>
      </c>
      <c r="H35" s="3">
        <v>58.0</v>
      </c>
      <c r="I35">
        <f t="shared" ref="I35:I53" si="2">H35/(G35*G35)</f>
        <v>27.5862069</v>
      </c>
      <c r="J35" s="3">
        <v>3.0</v>
      </c>
      <c r="K35" s="7" t="s">
        <v>193</v>
      </c>
      <c r="L35" s="3">
        <v>0.0</v>
      </c>
      <c r="M35" s="3">
        <v>0.0</v>
      </c>
      <c r="N35" s="3">
        <v>0.0</v>
      </c>
      <c r="O35" s="3">
        <v>1.0</v>
      </c>
      <c r="Q35" s="2" t="s">
        <v>194</v>
      </c>
    </row>
    <row r="36">
      <c r="A36" s="25">
        <v>47.0</v>
      </c>
      <c r="B36" s="26" t="s">
        <v>195</v>
      </c>
      <c r="C36" s="22">
        <v>23.0</v>
      </c>
      <c r="D36" s="21" t="s">
        <v>21</v>
      </c>
      <c r="E36" s="23" t="s">
        <v>192</v>
      </c>
      <c r="F36" s="24" t="s">
        <v>160</v>
      </c>
      <c r="G36" s="3">
        <v>1.4</v>
      </c>
      <c r="H36" s="3">
        <v>46.1</v>
      </c>
      <c r="I36">
        <f t="shared" si="2"/>
        <v>23.52040816</v>
      </c>
      <c r="J36" s="3">
        <v>1.0</v>
      </c>
      <c r="K36" s="7" t="s">
        <v>193</v>
      </c>
      <c r="L36" s="3">
        <v>0.0</v>
      </c>
      <c r="M36" s="3">
        <v>0.0</v>
      </c>
      <c r="N36" s="3">
        <v>0.0</v>
      </c>
      <c r="O36" s="3">
        <v>1.0</v>
      </c>
      <c r="Q36" s="2" t="s">
        <v>196</v>
      </c>
    </row>
    <row r="37">
      <c r="A37" s="25">
        <v>26.0</v>
      </c>
      <c r="B37" s="25" t="s">
        <v>197</v>
      </c>
      <c r="C37" s="22">
        <v>49.0</v>
      </c>
      <c r="D37" s="21" t="s">
        <v>21</v>
      </c>
      <c r="E37" s="23" t="s">
        <v>192</v>
      </c>
      <c r="F37" s="24" t="s">
        <v>160</v>
      </c>
      <c r="G37" s="3">
        <v>1.39</v>
      </c>
      <c r="H37" s="3">
        <v>61.8</v>
      </c>
      <c r="I37">
        <f t="shared" si="2"/>
        <v>31.98592205</v>
      </c>
      <c r="J37" s="3">
        <v>3.0</v>
      </c>
      <c r="K37" s="7" t="s">
        <v>193</v>
      </c>
      <c r="L37" s="3">
        <v>0.0</v>
      </c>
      <c r="M37" s="3">
        <v>2.0</v>
      </c>
      <c r="N37" s="3">
        <v>0.0</v>
      </c>
      <c r="O37" s="3">
        <v>3.0</v>
      </c>
      <c r="Q37" s="2" t="s">
        <v>198</v>
      </c>
    </row>
    <row r="38">
      <c r="A38" s="25">
        <v>8.0</v>
      </c>
      <c r="B38" s="21" t="s">
        <v>199</v>
      </c>
      <c r="C38" s="22">
        <v>49.0</v>
      </c>
      <c r="D38" s="21" t="s">
        <v>21</v>
      </c>
      <c r="E38" s="23" t="s">
        <v>192</v>
      </c>
      <c r="F38" s="24" t="s">
        <v>160</v>
      </c>
      <c r="G38" s="3">
        <v>1.45</v>
      </c>
      <c r="H38" s="3">
        <v>46.3</v>
      </c>
      <c r="I38">
        <f t="shared" si="2"/>
        <v>22.02140309</v>
      </c>
      <c r="J38" s="3">
        <v>1.0</v>
      </c>
      <c r="K38" s="7" t="s">
        <v>193</v>
      </c>
      <c r="L38" s="3">
        <v>0.0</v>
      </c>
      <c r="M38" s="3">
        <v>0.0</v>
      </c>
      <c r="N38" s="3">
        <v>0.0</v>
      </c>
      <c r="O38" s="3">
        <v>1.0</v>
      </c>
      <c r="Q38" s="2" t="s">
        <v>200</v>
      </c>
    </row>
    <row r="39">
      <c r="A39" s="25">
        <v>62.0</v>
      </c>
      <c r="B39" s="27" t="s">
        <v>201</v>
      </c>
      <c r="C39" s="28">
        <v>34.0</v>
      </c>
      <c r="D39" s="25" t="s">
        <v>21</v>
      </c>
      <c r="E39" s="23" t="s">
        <v>192</v>
      </c>
      <c r="F39" s="24" t="s">
        <v>160</v>
      </c>
      <c r="G39" s="3">
        <v>1.5</v>
      </c>
      <c r="H39" s="3">
        <v>62.9</v>
      </c>
      <c r="I39">
        <f t="shared" si="2"/>
        <v>27.95555556</v>
      </c>
      <c r="J39" s="3">
        <v>3.0</v>
      </c>
      <c r="K39" s="7" t="s">
        <v>193</v>
      </c>
      <c r="L39" s="3">
        <v>0.0</v>
      </c>
      <c r="M39" s="3">
        <v>0.0</v>
      </c>
      <c r="N39" s="3">
        <v>0.0</v>
      </c>
      <c r="O39" s="3">
        <v>1.0</v>
      </c>
      <c r="Q39" s="2" t="s">
        <v>202</v>
      </c>
    </row>
    <row r="40">
      <c r="A40" s="25">
        <v>29.0</v>
      </c>
      <c r="B40" s="21" t="s">
        <v>203</v>
      </c>
      <c r="C40" s="25">
        <v>32.0</v>
      </c>
      <c r="D40" s="21" t="s">
        <v>21</v>
      </c>
      <c r="E40" s="23" t="s">
        <v>192</v>
      </c>
      <c r="F40" s="24" t="s">
        <v>160</v>
      </c>
      <c r="G40" s="3">
        <v>1.36</v>
      </c>
      <c r="H40" s="3">
        <v>44.0</v>
      </c>
      <c r="I40">
        <f t="shared" si="2"/>
        <v>23.78892734</v>
      </c>
      <c r="J40" s="3">
        <v>1.0</v>
      </c>
      <c r="K40" s="7" t="s">
        <v>193</v>
      </c>
      <c r="L40" s="3">
        <v>0.0</v>
      </c>
      <c r="M40" s="3">
        <v>0.0</v>
      </c>
      <c r="N40" s="3">
        <v>1.0</v>
      </c>
      <c r="O40" s="3">
        <v>0.0</v>
      </c>
      <c r="Q40" s="2" t="s">
        <v>204</v>
      </c>
    </row>
    <row r="41">
      <c r="A41" s="25">
        <v>43.0</v>
      </c>
      <c r="B41" s="21" t="s">
        <v>205</v>
      </c>
      <c r="C41" s="22">
        <v>76.0</v>
      </c>
      <c r="D41" s="21" t="s">
        <v>21</v>
      </c>
      <c r="E41" s="23" t="s">
        <v>192</v>
      </c>
      <c r="F41" s="24" t="s">
        <v>160</v>
      </c>
      <c r="G41" s="3">
        <v>1.48</v>
      </c>
      <c r="H41" s="3">
        <v>55.4</v>
      </c>
      <c r="I41">
        <f t="shared" si="2"/>
        <v>25.29218408</v>
      </c>
      <c r="J41" s="3">
        <v>2.0</v>
      </c>
      <c r="K41" s="7" t="s">
        <v>193</v>
      </c>
      <c r="L41" s="3">
        <v>0.0</v>
      </c>
      <c r="M41" s="3">
        <v>0.0</v>
      </c>
      <c r="N41" s="3">
        <v>0.0</v>
      </c>
      <c r="O41" s="3">
        <v>1.0</v>
      </c>
      <c r="Q41" s="2" t="s">
        <v>206</v>
      </c>
    </row>
    <row r="42">
      <c r="A42" s="25">
        <v>3.0</v>
      </c>
      <c r="B42" s="21" t="s">
        <v>207</v>
      </c>
      <c r="C42" s="22">
        <v>24.0</v>
      </c>
      <c r="D42" s="21" t="s">
        <v>21</v>
      </c>
      <c r="E42" s="23" t="s">
        <v>192</v>
      </c>
      <c r="F42" s="24" t="s">
        <v>160</v>
      </c>
      <c r="G42" s="3">
        <v>1.42</v>
      </c>
      <c r="H42" s="3">
        <v>48.6</v>
      </c>
      <c r="I42">
        <f t="shared" si="2"/>
        <v>24.10236064</v>
      </c>
      <c r="J42" s="3">
        <v>1.0</v>
      </c>
      <c r="K42" s="7" t="s">
        <v>193</v>
      </c>
      <c r="L42" s="3">
        <v>0.0</v>
      </c>
      <c r="M42" s="3">
        <v>3.0</v>
      </c>
      <c r="N42" s="3">
        <v>0.0</v>
      </c>
      <c r="O42" s="3">
        <v>1.0</v>
      </c>
      <c r="Q42" s="2" t="s">
        <v>208</v>
      </c>
    </row>
    <row r="43">
      <c r="A43" s="25">
        <v>12.0</v>
      </c>
      <c r="B43" s="21" t="s">
        <v>209</v>
      </c>
      <c r="C43" s="22">
        <v>29.0</v>
      </c>
      <c r="D43" s="21" t="s">
        <v>21</v>
      </c>
      <c r="E43" s="23" t="s">
        <v>192</v>
      </c>
      <c r="F43" s="24" t="s">
        <v>160</v>
      </c>
      <c r="G43" s="3">
        <v>1.42</v>
      </c>
      <c r="H43" s="3">
        <v>50.7</v>
      </c>
      <c r="I43">
        <f t="shared" si="2"/>
        <v>25.14382067</v>
      </c>
      <c r="J43" s="3">
        <v>2.0</v>
      </c>
      <c r="K43" s="7" t="s">
        <v>193</v>
      </c>
      <c r="L43" s="3">
        <v>0.0</v>
      </c>
      <c r="M43" s="3">
        <v>0.0</v>
      </c>
      <c r="N43" s="3">
        <v>0.0</v>
      </c>
      <c r="O43" s="3">
        <v>1.0</v>
      </c>
      <c r="Q43" s="2" t="s">
        <v>210</v>
      </c>
    </row>
    <row r="44">
      <c r="A44" s="25">
        <v>99.0</v>
      </c>
      <c r="B44" s="21" t="s">
        <v>211</v>
      </c>
      <c r="C44" s="22">
        <v>27.0</v>
      </c>
      <c r="D44" s="21" t="s">
        <v>21</v>
      </c>
      <c r="E44" s="23" t="s">
        <v>192</v>
      </c>
      <c r="F44" s="24" t="s">
        <v>107</v>
      </c>
      <c r="G44" s="3">
        <v>1.56</v>
      </c>
      <c r="H44" s="3">
        <v>60.2</v>
      </c>
      <c r="I44">
        <f t="shared" si="2"/>
        <v>24.73701512</v>
      </c>
      <c r="J44" s="3">
        <v>1.0</v>
      </c>
      <c r="K44" s="7" t="s">
        <v>193</v>
      </c>
      <c r="L44" s="3">
        <v>0.0</v>
      </c>
      <c r="M44" s="3">
        <v>0.0</v>
      </c>
      <c r="N44" s="3">
        <v>0.0</v>
      </c>
      <c r="O44" s="3">
        <v>0.0</v>
      </c>
      <c r="Q44" s="2" t="s">
        <v>212</v>
      </c>
    </row>
    <row r="45">
      <c r="A45" s="25">
        <v>134.0</v>
      </c>
      <c r="B45" s="21" t="s">
        <v>213</v>
      </c>
      <c r="C45" s="22">
        <v>26.0</v>
      </c>
      <c r="D45" s="21" t="s">
        <v>21</v>
      </c>
      <c r="E45" s="23" t="s">
        <v>192</v>
      </c>
      <c r="F45" s="24" t="s">
        <v>107</v>
      </c>
      <c r="G45" s="3">
        <v>1.56</v>
      </c>
      <c r="H45" s="3">
        <v>67.2</v>
      </c>
      <c r="I45">
        <f t="shared" si="2"/>
        <v>27.61341223</v>
      </c>
      <c r="J45" s="3">
        <v>3.0</v>
      </c>
      <c r="K45" s="7" t="s">
        <v>193</v>
      </c>
      <c r="L45" s="3">
        <v>0.0</v>
      </c>
      <c r="M45" s="3">
        <v>0.0</v>
      </c>
      <c r="N45" s="3">
        <v>0.0</v>
      </c>
      <c r="O45" s="3">
        <v>1.0</v>
      </c>
      <c r="Q45" s="2" t="s">
        <v>214</v>
      </c>
    </row>
    <row r="46">
      <c r="A46" s="29">
        <v>73.0</v>
      </c>
      <c r="B46" s="30" t="s">
        <v>215</v>
      </c>
      <c r="C46" s="31">
        <v>30.0</v>
      </c>
      <c r="D46" s="21" t="s">
        <v>21</v>
      </c>
      <c r="E46" s="23" t="s">
        <v>192</v>
      </c>
      <c r="F46" s="24" t="s">
        <v>107</v>
      </c>
      <c r="G46" s="3">
        <v>1.57</v>
      </c>
      <c r="H46" s="3">
        <v>65.2</v>
      </c>
      <c r="I46">
        <f t="shared" si="2"/>
        <v>26.45137734</v>
      </c>
      <c r="J46" s="3">
        <v>2.0</v>
      </c>
      <c r="K46" s="7" t="s">
        <v>193</v>
      </c>
      <c r="L46" s="3">
        <v>3.0</v>
      </c>
      <c r="M46" s="3">
        <v>3.0</v>
      </c>
      <c r="N46" s="3">
        <v>1.0</v>
      </c>
      <c r="O46" s="3">
        <v>1.0</v>
      </c>
      <c r="Q46" s="2" t="s">
        <v>216</v>
      </c>
    </row>
    <row r="47">
      <c r="A47" s="29">
        <v>94.0</v>
      </c>
      <c r="B47" s="30" t="s">
        <v>217</v>
      </c>
      <c r="C47" s="31">
        <v>35.0</v>
      </c>
      <c r="D47" s="21" t="s">
        <v>21</v>
      </c>
      <c r="E47" s="23" t="s">
        <v>192</v>
      </c>
      <c r="F47" s="24" t="s">
        <v>107</v>
      </c>
      <c r="G47" s="3">
        <v>1.53</v>
      </c>
      <c r="H47" s="3">
        <v>53.6</v>
      </c>
      <c r="I47">
        <f t="shared" si="2"/>
        <v>22.8971763</v>
      </c>
      <c r="J47" s="3">
        <v>1.0</v>
      </c>
      <c r="K47" s="7" t="s">
        <v>193</v>
      </c>
      <c r="L47" s="3">
        <v>1.0</v>
      </c>
      <c r="M47" s="3">
        <v>0.0</v>
      </c>
      <c r="N47" s="3">
        <v>1.0</v>
      </c>
      <c r="O47" s="3">
        <v>0.0</v>
      </c>
      <c r="Q47" s="2" t="s">
        <v>218</v>
      </c>
    </row>
    <row r="48">
      <c r="A48" s="3">
        <v>116.0</v>
      </c>
      <c r="B48" s="3" t="s">
        <v>219</v>
      </c>
      <c r="C48" s="3">
        <v>31.0</v>
      </c>
      <c r="D48" s="3" t="s">
        <v>21</v>
      </c>
      <c r="E48" s="23" t="s">
        <v>192</v>
      </c>
      <c r="F48" s="24" t="s">
        <v>107</v>
      </c>
      <c r="G48" s="3">
        <v>1.49</v>
      </c>
      <c r="H48" s="3">
        <v>43.7</v>
      </c>
      <c r="I48">
        <f t="shared" si="2"/>
        <v>19.68379803</v>
      </c>
      <c r="J48" s="3">
        <v>1.0</v>
      </c>
      <c r="K48" s="7" t="s">
        <v>193</v>
      </c>
      <c r="L48" s="3">
        <v>0.0</v>
      </c>
      <c r="M48" s="3">
        <v>0.0</v>
      </c>
      <c r="N48" s="3">
        <v>0.0</v>
      </c>
      <c r="O48" s="3">
        <v>0.0</v>
      </c>
      <c r="Q48" s="2" t="s">
        <v>220</v>
      </c>
    </row>
    <row r="49">
      <c r="A49" s="3">
        <v>130.0</v>
      </c>
      <c r="B49" s="3" t="s">
        <v>221</v>
      </c>
      <c r="C49" s="3">
        <v>50.0</v>
      </c>
      <c r="D49" s="3" t="s">
        <v>21</v>
      </c>
      <c r="E49" s="23" t="s">
        <v>192</v>
      </c>
      <c r="F49" s="24" t="s">
        <v>107</v>
      </c>
      <c r="G49" s="3">
        <v>1.44</v>
      </c>
      <c r="H49" s="3">
        <v>47.3</v>
      </c>
      <c r="I49">
        <f t="shared" si="2"/>
        <v>22.81057099</v>
      </c>
      <c r="J49" s="3">
        <v>1.0</v>
      </c>
      <c r="K49" s="7" t="s">
        <v>193</v>
      </c>
      <c r="L49" s="3">
        <v>0.0</v>
      </c>
      <c r="M49" s="3">
        <v>0.0</v>
      </c>
      <c r="N49" s="3">
        <v>0.0</v>
      </c>
      <c r="O49" s="3">
        <v>1.0</v>
      </c>
      <c r="Q49" s="2" t="s">
        <v>222</v>
      </c>
    </row>
    <row r="50">
      <c r="A50" s="3">
        <v>159.0</v>
      </c>
      <c r="B50" s="3" t="s">
        <v>223</v>
      </c>
      <c r="C50" s="3">
        <v>35.0</v>
      </c>
      <c r="D50" s="3" t="s">
        <v>21</v>
      </c>
      <c r="E50" s="23" t="s">
        <v>192</v>
      </c>
      <c r="F50" s="24" t="s">
        <v>107</v>
      </c>
      <c r="G50" s="3">
        <v>1.43</v>
      </c>
      <c r="H50" s="3">
        <v>45.9</v>
      </c>
      <c r="I50">
        <f t="shared" si="2"/>
        <v>22.44608538</v>
      </c>
      <c r="J50" s="3">
        <v>1.0</v>
      </c>
      <c r="K50" s="7" t="s">
        <v>193</v>
      </c>
      <c r="L50" s="3">
        <v>0.0</v>
      </c>
      <c r="M50" s="3">
        <v>0.0</v>
      </c>
      <c r="N50" s="3">
        <v>0.0</v>
      </c>
      <c r="O50" s="3">
        <v>0.0</v>
      </c>
      <c r="Q50" s="2" t="s">
        <v>224</v>
      </c>
    </row>
    <row r="51">
      <c r="A51" s="3">
        <v>81.0</v>
      </c>
      <c r="B51" s="3" t="s">
        <v>225</v>
      </c>
      <c r="C51" s="3">
        <v>24.0</v>
      </c>
      <c r="D51" s="3" t="s">
        <v>21</v>
      </c>
      <c r="E51" s="23" t="s">
        <v>192</v>
      </c>
      <c r="F51" s="24" t="s">
        <v>107</v>
      </c>
      <c r="G51" s="3">
        <v>1.44</v>
      </c>
      <c r="H51" s="3">
        <v>45.8</v>
      </c>
      <c r="I51">
        <f t="shared" si="2"/>
        <v>22.08719136</v>
      </c>
      <c r="J51" s="3">
        <v>1.0</v>
      </c>
      <c r="K51" s="7" t="s">
        <v>193</v>
      </c>
      <c r="L51" s="3">
        <v>0.0</v>
      </c>
      <c r="M51" s="3">
        <v>0.0</v>
      </c>
      <c r="N51" s="3">
        <v>0.0</v>
      </c>
      <c r="O51" s="3">
        <v>0.0</v>
      </c>
      <c r="Q51" s="2" t="s">
        <v>226</v>
      </c>
    </row>
    <row r="52">
      <c r="A52" s="3">
        <v>148.0</v>
      </c>
      <c r="B52" s="3" t="s">
        <v>227</v>
      </c>
      <c r="C52" s="3">
        <v>40.0</v>
      </c>
      <c r="D52" s="3" t="s">
        <v>21</v>
      </c>
      <c r="E52" s="23" t="s">
        <v>192</v>
      </c>
      <c r="F52" s="24" t="s">
        <v>107</v>
      </c>
      <c r="G52" s="3">
        <v>1.52</v>
      </c>
      <c r="H52" s="3">
        <v>53.1</v>
      </c>
      <c r="I52">
        <f t="shared" si="2"/>
        <v>22.98303324</v>
      </c>
      <c r="J52" s="3">
        <v>1.0</v>
      </c>
      <c r="K52" s="7" t="s">
        <v>193</v>
      </c>
      <c r="L52" s="3">
        <v>0.0</v>
      </c>
      <c r="M52" s="3">
        <v>0.0</v>
      </c>
      <c r="N52" s="3">
        <v>0.0</v>
      </c>
      <c r="O52" s="3">
        <v>0.0</v>
      </c>
      <c r="Q52" s="2" t="s">
        <v>228</v>
      </c>
    </row>
    <row r="53">
      <c r="A53" s="3">
        <v>121.0</v>
      </c>
      <c r="B53" s="3" t="s">
        <v>229</v>
      </c>
      <c r="C53" s="3">
        <v>29.0</v>
      </c>
      <c r="D53" s="3" t="s">
        <v>21</v>
      </c>
      <c r="E53" s="23" t="s">
        <v>192</v>
      </c>
      <c r="F53" s="24" t="s">
        <v>107</v>
      </c>
      <c r="G53" s="3">
        <v>1.42</v>
      </c>
      <c r="H53" s="3">
        <v>60.9</v>
      </c>
      <c r="I53">
        <f t="shared" si="2"/>
        <v>30.20234081</v>
      </c>
      <c r="J53" s="3">
        <v>3.0</v>
      </c>
      <c r="K53" s="7" t="s">
        <v>193</v>
      </c>
      <c r="L53" s="3">
        <v>3.0</v>
      </c>
      <c r="M53" s="3">
        <v>2.0</v>
      </c>
      <c r="N53" s="3">
        <v>1.0</v>
      </c>
      <c r="O53" s="3">
        <v>1.0</v>
      </c>
      <c r="Q53" s="2" t="s">
        <v>230</v>
      </c>
    </row>
    <row r="54">
      <c r="A54" s="32"/>
      <c r="B54" s="33"/>
      <c r="C54" s="34"/>
      <c r="D54" s="33"/>
      <c r="I54" s="35"/>
      <c r="K54" s="7"/>
      <c r="R54" s="3"/>
    </row>
    <row r="55">
      <c r="B55" s="33"/>
      <c r="C55" s="34"/>
      <c r="I55" s="35"/>
      <c r="K55" s="7"/>
      <c r="R55" s="3"/>
      <c r="S55" s="3"/>
      <c r="T55" s="3"/>
    </row>
    <row r="56">
      <c r="B56" s="33"/>
      <c r="C56" s="34"/>
      <c r="I56" s="35"/>
      <c r="K56" s="7"/>
      <c r="U56" s="3"/>
    </row>
    <row r="57">
      <c r="B57" s="33"/>
      <c r="C57" s="34"/>
      <c r="D57" s="33"/>
      <c r="I57" s="35"/>
      <c r="K57" s="7"/>
      <c r="T57" s="3"/>
    </row>
    <row r="58">
      <c r="A58" s="32"/>
      <c r="B58" s="33"/>
      <c r="C58" s="34"/>
      <c r="I58" s="35"/>
      <c r="K58" s="7"/>
      <c r="S58" s="3"/>
    </row>
    <row r="59">
      <c r="A59" s="32"/>
      <c r="B59" s="33"/>
      <c r="C59" s="34"/>
      <c r="I59" s="35"/>
      <c r="K59" s="7"/>
      <c r="S59" s="3"/>
      <c r="T59" s="3"/>
    </row>
    <row r="60">
      <c r="A60" s="32"/>
      <c r="B60" s="33"/>
      <c r="C60" s="34"/>
      <c r="D60" s="33"/>
      <c r="I60" s="35"/>
      <c r="K60" s="7"/>
      <c r="S60" s="3"/>
      <c r="T60" s="3"/>
    </row>
    <row r="61">
      <c r="A61" s="32"/>
      <c r="B61" s="33"/>
      <c r="C61" s="34"/>
      <c r="I61" s="35"/>
      <c r="K61" s="7"/>
      <c r="S61" s="3"/>
      <c r="T61" s="3"/>
    </row>
    <row r="62">
      <c r="I62" s="35"/>
      <c r="K62" s="7"/>
      <c r="S62" s="3"/>
      <c r="T62" s="3"/>
    </row>
    <row r="63">
      <c r="I63" s="35"/>
      <c r="K63" s="7"/>
      <c r="S63" s="3"/>
      <c r="T63" s="3"/>
    </row>
    <row r="64">
      <c r="A64" s="32"/>
      <c r="B64" s="33"/>
      <c r="C64" s="34"/>
      <c r="D64" s="33"/>
      <c r="G64" s="36"/>
      <c r="H64" s="34"/>
      <c r="I64" s="35"/>
      <c r="K64" s="7"/>
      <c r="S64" s="3"/>
      <c r="T64" s="3"/>
    </row>
    <row r="65">
      <c r="A65" s="32"/>
      <c r="B65" s="33"/>
      <c r="C65" s="34"/>
      <c r="D65" s="33"/>
      <c r="G65" s="36"/>
      <c r="H65" s="34"/>
      <c r="I65" s="35"/>
      <c r="K65" s="7"/>
      <c r="S65" s="3"/>
      <c r="T65" s="3"/>
    </row>
    <row r="66">
      <c r="A66" s="32"/>
      <c r="B66" s="33"/>
      <c r="C66" s="34"/>
      <c r="D66" s="33"/>
      <c r="E66" s="3"/>
      <c r="F66" s="3"/>
      <c r="G66" s="36"/>
      <c r="H66" s="34"/>
      <c r="I66" s="37"/>
      <c r="J66" s="3"/>
      <c r="K66" s="7"/>
      <c r="L66" s="3"/>
      <c r="M66" s="3"/>
      <c r="N66" s="3"/>
      <c r="O66" s="3"/>
      <c r="Q66" s="3"/>
      <c r="S66" s="3"/>
      <c r="T66" s="3"/>
    </row>
    <row r="67">
      <c r="A67" s="32"/>
      <c r="B67" s="33"/>
      <c r="C67" s="34"/>
      <c r="D67" s="33"/>
      <c r="G67" s="36"/>
      <c r="H67" s="34"/>
      <c r="I67" s="37"/>
      <c r="K67" s="7"/>
      <c r="S67" s="3"/>
      <c r="T67" s="3"/>
    </row>
    <row r="68">
      <c r="A68" s="32"/>
      <c r="B68" s="33"/>
      <c r="C68" s="34"/>
      <c r="D68" s="33"/>
      <c r="G68" s="36"/>
      <c r="H68" s="34"/>
      <c r="I68" s="37"/>
      <c r="K68" s="7"/>
      <c r="S68" s="3"/>
      <c r="T68" s="3"/>
    </row>
    <row r="69">
      <c r="A69" s="32"/>
      <c r="B69" s="33"/>
      <c r="C69" s="34"/>
      <c r="D69" s="3"/>
      <c r="E69" s="3"/>
      <c r="F69" s="3"/>
      <c r="G69" s="3"/>
      <c r="H69" s="3"/>
      <c r="I69" s="37"/>
      <c r="J69" s="3"/>
      <c r="K69" s="7"/>
      <c r="L69" s="3"/>
      <c r="M69" s="3"/>
      <c r="N69" s="3"/>
      <c r="O69" s="3"/>
      <c r="Q69" s="3"/>
      <c r="R69" s="3"/>
    </row>
    <row r="70">
      <c r="A70" s="32"/>
      <c r="B70" s="33"/>
      <c r="C70" s="34"/>
      <c r="D70" s="33"/>
      <c r="G70" s="36"/>
      <c r="H70" s="34"/>
      <c r="I70" s="35"/>
      <c r="K70" s="7"/>
    </row>
    <row r="71">
      <c r="A71" s="32"/>
      <c r="B71" s="33"/>
      <c r="C71" s="34"/>
      <c r="D71" s="33"/>
      <c r="G71" s="36"/>
      <c r="H71" s="34"/>
      <c r="I71" s="35"/>
      <c r="K71" s="7"/>
    </row>
    <row r="72">
      <c r="A72" s="32"/>
      <c r="B72" s="33"/>
      <c r="C72" s="34"/>
      <c r="D72" s="33"/>
      <c r="G72" s="36"/>
      <c r="H72" s="34"/>
      <c r="I72" s="35"/>
      <c r="K72" s="7"/>
    </row>
    <row r="73">
      <c r="B73" s="33"/>
      <c r="C73" s="34"/>
      <c r="D73" s="33"/>
      <c r="G73" s="36"/>
      <c r="H73" s="34"/>
      <c r="I73" s="35"/>
      <c r="K73" s="7"/>
    </row>
    <row r="74">
      <c r="A74" s="32"/>
      <c r="B74" s="33"/>
      <c r="C74" s="34"/>
      <c r="D74" s="33"/>
      <c r="G74" s="36"/>
      <c r="H74" s="34"/>
      <c r="I74" s="35"/>
      <c r="K74" s="7"/>
    </row>
    <row r="79">
      <c r="A79" s="33"/>
      <c r="N79" s="3"/>
      <c r="O79" s="3"/>
      <c r="Q79" s="3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2"/>
      <c r="L80" s="1"/>
      <c r="M80" s="1"/>
      <c r="N80" s="1"/>
      <c r="O80" s="1"/>
      <c r="P80" s="1"/>
    </row>
    <row r="81">
      <c r="B81" s="3"/>
    </row>
    <row r="101">
      <c r="A101" s="32" t="s">
        <v>231</v>
      </c>
      <c r="B101" s="33" t="s">
        <v>232</v>
      </c>
      <c r="C101" s="34">
        <v>25.0</v>
      </c>
      <c r="D101" s="33" t="s">
        <v>20</v>
      </c>
      <c r="E101" s="3" t="s">
        <v>233</v>
      </c>
      <c r="F101" s="3" t="s">
        <v>107</v>
      </c>
      <c r="G101" s="3">
        <v>1.73</v>
      </c>
      <c r="H101" s="3">
        <v>78.8</v>
      </c>
      <c r="I101" s="35">
        <f t="shared" ref="I101:I103" si="3">SUM(H101/(G101*G101))</f>
        <v>26.32897858</v>
      </c>
      <c r="J101" s="3">
        <v>2.0</v>
      </c>
      <c r="K101" s="7" t="s">
        <v>193</v>
      </c>
      <c r="L101" s="3">
        <v>0.0</v>
      </c>
      <c r="M101" s="3">
        <v>0.0</v>
      </c>
      <c r="N101" s="3">
        <v>0.0</v>
      </c>
      <c r="O101" s="3">
        <v>0.0</v>
      </c>
      <c r="Q101" s="3" t="s">
        <v>234</v>
      </c>
      <c r="R101" s="3" t="s">
        <v>235</v>
      </c>
    </row>
    <row r="102">
      <c r="A102" s="3" t="s">
        <v>231</v>
      </c>
      <c r="B102" s="33" t="s">
        <v>236</v>
      </c>
      <c r="C102" s="34">
        <v>24.0</v>
      </c>
      <c r="D102" s="33" t="s">
        <v>20</v>
      </c>
      <c r="E102" s="3" t="s">
        <v>233</v>
      </c>
      <c r="F102" s="3" t="s">
        <v>107</v>
      </c>
      <c r="G102" s="3">
        <v>1.62</v>
      </c>
      <c r="H102" s="3">
        <v>61.3</v>
      </c>
      <c r="I102" s="35">
        <f t="shared" si="3"/>
        <v>23.35771986</v>
      </c>
      <c r="J102" s="3">
        <v>1.0</v>
      </c>
      <c r="K102" s="7" t="s">
        <v>193</v>
      </c>
      <c r="L102" s="3">
        <v>0.0</v>
      </c>
      <c r="M102" s="3">
        <v>7.0</v>
      </c>
      <c r="N102" s="3">
        <v>0.0</v>
      </c>
      <c r="O102" s="3">
        <v>0.0</v>
      </c>
      <c r="Q102" s="3" t="s">
        <v>237</v>
      </c>
      <c r="R102" s="3" t="s">
        <v>235</v>
      </c>
    </row>
    <row r="103">
      <c r="A103" s="32" t="s">
        <v>231</v>
      </c>
      <c r="B103" s="33" t="s">
        <v>238</v>
      </c>
      <c r="C103" s="34">
        <v>33.0</v>
      </c>
      <c r="D103" s="3" t="s">
        <v>20</v>
      </c>
      <c r="E103" s="3" t="s">
        <v>233</v>
      </c>
      <c r="F103" s="3" t="s">
        <v>160</v>
      </c>
      <c r="G103" s="3">
        <v>1.64</v>
      </c>
      <c r="H103" s="3">
        <v>65.0</v>
      </c>
      <c r="I103" s="35">
        <f t="shared" si="3"/>
        <v>24.1671624</v>
      </c>
      <c r="J103" s="3">
        <v>1.0</v>
      </c>
      <c r="K103" s="7" t="s">
        <v>193</v>
      </c>
      <c r="L103" s="3">
        <v>0.0</v>
      </c>
      <c r="M103" s="3">
        <v>7.0</v>
      </c>
      <c r="N103" s="3">
        <v>0.0</v>
      </c>
      <c r="O103" s="3">
        <v>0.0</v>
      </c>
      <c r="Q103" s="3" t="s">
        <v>239</v>
      </c>
    </row>
  </sheetData>
  <drawing r:id="rId2"/>
  <legacyDrawing r:id="rId3"/>
</worksheet>
</file>