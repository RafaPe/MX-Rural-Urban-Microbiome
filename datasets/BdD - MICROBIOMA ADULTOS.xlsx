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0=NO
1=DIARREA
2=DOLOR ESTOMAGO
3=VÍAS RESPIRATORIAS 
4=FIEBRE
5=VOMITO
6=CHIKUNGUNYA
7=OTROS
	-Santiago Martínez</t>
      </text>
    </comment>
    <comment authorId="0" ref="M1">
      <text>
        <t xml:space="preserve">0= Nada
1= Paliativo
2= Antibiótico
3= Antiparasitario
4= Otro (Montelukast)
	-Santiago Martínez</t>
      </text>
    </comment>
  </commentList>
</comments>
</file>

<file path=xl/sharedStrings.xml><?xml version="1.0" encoding="utf-8"?>
<sst xmlns="http://schemas.openxmlformats.org/spreadsheetml/2006/main" count="322" uniqueCount="146">
  <si>
    <t>Name</t>
  </si>
  <si>
    <t>Collection Code</t>
  </si>
  <si>
    <t>ID</t>
  </si>
  <si>
    <t>Age</t>
  </si>
  <si>
    <t>Sex</t>
  </si>
  <si>
    <t>Kinship</t>
  </si>
  <si>
    <t>Procedence</t>
  </si>
  <si>
    <t>Height (m)</t>
  </si>
  <si>
    <t>Weight (kgs)</t>
  </si>
  <si>
    <t>BMI</t>
  </si>
  <si>
    <t>Diseases (Currently)</t>
  </si>
  <si>
    <t>Meds Treatment (Currently)</t>
  </si>
  <si>
    <t>Meds Treatment (Last Month)</t>
  </si>
  <si>
    <t>#_parasites</t>
  </si>
  <si>
    <t>Qp4</t>
  </si>
  <si>
    <t>Qp5</t>
  </si>
  <si>
    <t>Qp9</t>
  </si>
  <si>
    <t>Qp10</t>
  </si>
  <si>
    <t>Notas</t>
  </si>
  <si>
    <t>ALICIA GARCIA ESPINOZA</t>
  </si>
  <si>
    <t>N056M</t>
  </si>
  <si>
    <t>M</t>
  </si>
  <si>
    <t>mamá</t>
  </si>
  <si>
    <t>Naranjo</t>
  </si>
  <si>
    <t>MARCELA SATURNINO ALEJO</t>
  </si>
  <si>
    <t>N075M</t>
  </si>
  <si>
    <t>NATALIA REMIGIO AURELIA</t>
  </si>
  <si>
    <t>N055M</t>
  </si>
  <si>
    <t>GUADALUPE ZAMORA ELIDIA</t>
  </si>
  <si>
    <t>N047M</t>
  </si>
  <si>
    <t>ISIDORA GARCIA ESPINOZA</t>
  </si>
  <si>
    <t>N079M</t>
  </si>
  <si>
    <t>REGINA RAMIREZ ESPINOZA</t>
  </si>
  <si>
    <t>N060M</t>
  </si>
  <si>
    <t>MARIA OLIRIA ZAMORA</t>
  </si>
  <si>
    <t>N078M</t>
  </si>
  <si>
    <t>LAURENTINA MATEO HILARIO</t>
  </si>
  <si>
    <t>N050M</t>
  </si>
  <si>
    <t>JOVITA ESPINOZA MORALES</t>
  </si>
  <si>
    <t>N073M</t>
  </si>
  <si>
    <t>EUGENIA SANTIAGO MORALES</t>
  </si>
  <si>
    <t>G030M</t>
  </si>
  <si>
    <t>Gatica</t>
  </si>
  <si>
    <t>ARCANGELA SILVERIO TORIBIO</t>
  </si>
  <si>
    <t>G105M</t>
  </si>
  <si>
    <t>SUSANA NAVA GIL</t>
  </si>
  <si>
    <t>G029M</t>
  </si>
  <si>
    <t>LORENA ALBERTO MARCELO</t>
  </si>
  <si>
    <t>G045M</t>
  </si>
  <si>
    <t>IIDALIA JAZMYN SANTIAGO GARCIA</t>
  </si>
  <si>
    <t>G102M</t>
  </si>
  <si>
    <t>ANTONIA GATICA GARCIA</t>
  </si>
  <si>
    <t>G103M</t>
  </si>
  <si>
    <t>ALBINA MORALES MAURILIO</t>
  </si>
  <si>
    <t>G046M</t>
  </si>
  <si>
    <t>MARDONIA GARCIA GATICA</t>
  </si>
  <si>
    <t>G033M</t>
  </si>
  <si>
    <t>na</t>
  </si>
  <si>
    <t>LUCIA SATURNINO  SANTIAGO</t>
  </si>
  <si>
    <t>G025M</t>
  </si>
  <si>
    <t>MARILUZ CASTRO AVILES</t>
  </si>
  <si>
    <t>G020M</t>
  </si>
  <si>
    <t>CARLOS CARRANZA AURELIO</t>
  </si>
  <si>
    <t>G030P</t>
  </si>
  <si>
    <t>H</t>
  </si>
  <si>
    <t>papá</t>
  </si>
  <si>
    <t>ONESIMO RODRIGUEZ AMADO</t>
  </si>
  <si>
    <t>N048P</t>
  </si>
  <si>
    <t>cuestionario posterior</t>
  </si>
  <si>
    <t>MARTIN AURELIO CATARINA</t>
  </si>
  <si>
    <t>N058P</t>
  </si>
  <si>
    <t>ANSELMO RUBIO SANTIAGO</t>
  </si>
  <si>
    <t>N069P</t>
  </si>
  <si>
    <t>ALBERTO MATEO SANTOS</t>
  </si>
  <si>
    <t>N072P</t>
  </si>
  <si>
    <t>GABINO GARCIA ESPINOZA</t>
  </si>
  <si>
    <t>N127P</t>
  </si>
  <si>
    <t>RAUL MIGUEL LORENZO</t>
  </si>
  <si>
    <t>N132P</t>
  </si>
  <si>
    <t>CLAUDIO SANTIAGO ZAMORA</t>
  </si>
  <si>
    <t>N134P</t>
  </si>
  <si>
    <t>MARIANO MAURO VAZQUEZ</t>
  </si>
  <si>
    <t>N136P</t>
  </si>
  <si>
    <t>VICTORINO AMADO ENRIQUE</t>
  </si>
  <si>
    <t>N138P</t>
  </si>
  <si>
    <t>NATALIO AURELIO ALBERTO</t>
  </si>
  <si>
    <t>G012P</t>
  </si>
  <si>
    <t>VALETIN GARCIA GATICA</t>
  </si>
  <si>
    <t>G016P</t>
  </si>
  <si>
    <t>ALFONSO CARRANZA SANTIAGO</t>
  </si>
  <si>
    <t>G020P</t>
  </si>
  <si>
    <t>JOSE NERI  MORA</t>
  </si>
  <si>
    <t>G025P</t>
  </si>
  <si>
    <t>LINO NAVA SILVERIO</t>
  </si>
  <si>
    <t>G028P</t>
  </si>
  <si>
    <t>LEONARDO NAVA CALIXTO</t>
  </si>
  <si>
    <t>G033P</t>
  </si>
  <si>
    <t>VILLAR GATICA GARCIA</t>
  </si>
  <si>
    <t>G045P</t>
  </si>
  <si>
    <t>EULALIO EMILIANO GARCIA</t>
  </si>
  <si>
    <t>G068P</t>
  </si>
  <si>
    <t>MARCIAL CARRANZA SANTIAGO</t>
  </si>
  <si>
    <t>G105P</t>
  </si>
  <si>
    <t>ORLANDO SATURNINO SILVERIO</t>
  </si>
  <si>
    <t>G111P</t>
  </si>
  <si>
    <t>ROGELIO GONZALEZ MARCOS</t>
  </si>
  <si>
    <t>G113P</t>
  </si>
  <si>
    <t>Adriana Vázquez Rojas</t>
  </si>
  <si>
    <t>U002M</t>
  </si>
  <si>
    <t>A04</t>
  </si>
  <si>
    <t>CDMX</t>
  </si>
  <si>
    <t>Monserrat Pacheco Aceves</t>
  </si>
  <si>
    <t>U003M</t>
  </si>
  <si>
    <t>A06</t>
  </si>
  <si>
    <t>para infeccion en riñones</t>
  </si>
  <si>
    <t>María Inés Núñez Velázquez</t>
  </si>
  <si>
    <t>U005M</t>
  </si>
  <si>
    <t>A10</t>
  </si>
  <si>
    <t>Depresión</t>
  </si>
  <si>
    <t>Fluoxetina</t>
  </si>
  <si>
    <t>Flouxetina</t>
  </si>
  <si>
    <t>Maria Isabel Hernández Rangel</t>
  </si>
  <si>
    <t>U006M</t>
  </si>
  <si>
    <t>A12</t>
  </si>
  <si>
    <t>Erika Natalia Valdez Sánchez</t>
  </si>
  <si>
    <t>U007M</t>
  </si>
  <si>
    <t>A15</t>
  </si>
  <si>
    <t>Enfermedad del hígado</t>
  </si>
  <si>
    <t>"del Higado"</t>
  </si>
  <si>
    <t>Luz María Ramírez Ventura</t>
  </si>
  <si>
    <t>U009M</t>
  </si>
  <si>
    <t>A19</t>
  </si>
  <si>
    <t>para la tos</t>
  </si>
  <si>
    <t>Maribel Cuevas Alvarado</t>
  </si>
  <si>
    <t>U011M</t>
  </si>
  <si>
    <t>A23</t>
  </si>
  <si>
    <t>para la ansiedad</t>
  </si>
  <si>
    <t>Lizette García García</t>
  </si>
  <si>
    <t>U012M</t>
  </si>
  <si>
    <t>A25</t>
  </si>
  <si>
    <t>Yeny Velázquez Roque</t>
  </si>
  <si>
    <t>U014M</t>
  </si>
  <si>
    <t>A30</t>
  </si>
  <si>
    <t>Maricela Martinez Juarez</t>
  </si>
  <si>
    <t>U016M</t>
  </si>
  <si>
    <t>A34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</si>
</sst>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Inconsolata"/>
    </font>
    <font>
      <color rgb="FF000000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2.75"/>
    <col customWidth="1" min="3" max="3" width="6.75"/>
    <col customWidth="1" min="4" max="4" width="7.5"/>
    <col customWidth="1" min="5" max="5" width="5.63"/>
    <col customWidth="1" min="6" max="6" width="9.13"/>
    <col customWidth="1" min="7" max="7" width="10.75"/>
    <col customWidth="1" min="8" max="8" width="8.75"/>
    <col customWidth="1" min="9" max="9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>
      <c r="A2" s="1" t="s">
        <v>19</v>
      </c>
      <c r="B2" s="1" t="s">
        <v>20</v>
      </c>
      <c r="C2" s="4">
        <v>21.0</v>
      </c>
      <c r="D2" s="4">
        <v>23.0</v>
      </c>
      <c r="E2" s="2" t="s">
        <v>21</v>
      </c>
      <c r="F2" s="1" t="s">
        <v>22</v>
      </c>
      <c r="G2" s="2" t="s">
        <v>23</v>
      </c>
      <c r="H2" s="4">
        <v>1.45</v>
      </c>
      <c r="I2" s="4">
        <v>58.0</v>
      </c>
      <c r="J2" s="5">
        <f t="shared" ref="J2:J41" si="1">SUM(I2/(H2*H2))</f>
        <v>27.5862069</v>
      </c>
      <c r="K2" s="4">
        <v>0.0</v>
      </c>
      <c r="L2" s="4">
        <v>0.0</v>
      </c>
      <c r="M2" s="4">
        <v>1.0</v>
      </c>
      <c r="N2" s="6">
        <v>0.0</v>
      </c>
      <c r="O2" s="6">
        <v>4.0</v>
      </c>
      <c r="P2" s="6">
        <v>4.0</v>
      </c>
      <c r="Q2" s="6">
        <v>4.0</v>
      </c>
      <c r="R2" s="6">
        <v>5.0</v>
      </c>
    </row>
    <row r="3">
      <c r="A3" s="1" t="s">
        <v>24</v>
      </c>
      <c r="B3" s="1" t="s">
        <v>25</v>
      </c>
      <c r="C3" s="7">
        <v>47.0</v>
      </c>
      <c r="D3" s="4">
        <v>23.0</v>
      </c>
      <c r="E3" s="2" t="s">
        <v>21</v>
      </c>
      <c r="F3" s="1" t="s">
        <v>22</v>
      </c>
      <c r="G3" s="2" t="s">
        <v>23</v>
      </c>
      <c r="H3" s="4">
        <v>1.4</v>
      </c>
      <c r="I3" s="4">
        <v>46.1</v>
      </c>
      <c r="J3" s="5">
        <f t="shared" si="1"/>
        <v>23.52040816</v>
      </c>
      <c r="K3" s="4">
        <v>0.0</v>
      </c>
      <c r="L3" s="4">
        <v>0.0</v>
      </c>
      <c r="M3" s="4">
        <v>1.0</v>
      </c>
      <c r="N3" s="6">
        <v>0.0</v>
      </c>
      <c r="O3" s="6">
        <v>5.0</v>
      </c>
      <c r="P3" s="6">
        <v>3.0</v>
      </c>
      <c r="Q3" s="6">
        <v>2.0</v>
      </c>
      <c r="R3" s="6">
        <v>2.0</v>
      </c>
    </row>
    <row r="4">
      <c r="A4" s="1" t="s">
        <v>26</v>
      </c>
      <c r="B4" s="1" t="s">
        <v>27</v>
      </c>
      <c r="C4" s="4">
        <v>26.0</v>
      </c>
      <c r="D4" s="4">
        <v>49.0</v>
      </c>
      <c r="E4" s="2" t="s">
        <v>21</v>
      </c>
      <c r="F4" s="1" t="s">
        <v>22</v>
      </c>
      <c r="G4" s="2" t="s">
        <v>23</v>
      </c>
      <c r="H4" s="4">
        <v>1.39</v>
      </c>
      <c r="I4" s="4">
        <v>61.8</v>
      </c>
      <c r="J4" s="5">
        <f t="shared" si="1"/>
        <v>31.98592205</v>
      </c>
      <c r="K4" s="4">
        <v>0.0</v>
      </c>
      <c r="L4" s="4">
        <v>0.0</v>
      </c>
      <c r="M4" s="4">
        <v>3.0</v>
      </c>
      <c r="N4" s="6">
        <v>0.0</v>
      </c>
      <c r="O4" s="6">
        <v>3.0</v>
      </c>
      <c r="P4" s="6">
        <v>2.0</v>
      </c>
      <c r="Q4" s="6">
        <v>2.0</v>
      </c>
      <c r="R4" s="6">
        <v>3.0</v>
      </c>
    </row>
    <row r="5">
      <c r="A5" s="1" t="s">
        <v>28</v>
      </c>
      <c r="B5" s="1" t="s">
        <v>29</v>
      </c>
      <c r="C5" s="4">
        <v>8.0</v>
      </c>
      <c r="D5" s="4">
        <v>49.0</v>
      </c>
      <c r="E5" s="2" t="s">
        <v>21</v>
      </c>
      <c r="F5" s="1" t="s">
        <v>22</v>
      </c>
      <c r="G5" s="2" t="s">
        <v>23</v>
      </c>
      <c r="H5" s="4">
        <v>1.45</v>
      </c>
      <c r="I5" s="4">
        <v>46.3</v>
      </c>
      <c r="J5" s="5">
        <f t="shared" si="1"/>
        <v>22.02140309</v>
      </c>
      <c r="K5" s="4">
        <v>0.0</v>
      </c>
      <c r="L5" s="4">
        <v>0.0</v>
      </c>
      <c r="M5" s="4">
        <v>1.0</v>
      </c>
      <c r="N5" s="6">
        <v>3935.0</v>
      </c>
      <c r="O5" s="6">
        <v>3.0</v>
      </c>
      <c r="P5" s="6">
        <v>3.0</v>
      </c>
      <c r="Q5" s="6">
        <v>2.0</v>
      </c>
      <c r="R5" s="6">
        <v>2.0</v>
      </c>
    </row>
    <row r="6">
      <c r="A6" s="1" t="s">
        <v>30</v>
      </c>
      <c r="B6" s="1" t="s">
        <v>31</v>
      </c>
      <c r="C6" s="7">
        <v>62.0</v>
      </c>
      <c r="D6" s="4">
        <v>34.0</v>
      </c>
      <c r="E6" s="2" t="s">
        <v>21</v>
      </c>
      <c r="F6" s="1" t="s">
        <v>22</v>
      </c>
      <c r="G6" s="2" t="s">
        <v>23</v>
      </c>
      <c r="H6" s="4">
        <v>1.5</v>
      </c>
      <c r="I6" s="4">
        <v>62.9</v>
      </c>
      <c r="J6" s="5">
        <f t="shared" si="1"/>
        <v>27.95555556</v>
      </c>
      <c r="K6" s="4">
        <v>0.0</v>
      </c>
      <c r="L6" s="4">
        <v>0.0</v>
      </c>
      <c r="M6" s="4">
        <v>1.0</v>
      </c>
      <c r="N6" s="6">
        <v>0.0</v>
      </c>
      <c r="O6" s="6">
        <v>3.0</v>
      </c>
      <c r="P6" s="6">
        <v>3.0</v>
      </c>
      <c r="Q6" s="6">
        <v>2.0</v>
      </c>
      <c r="R6" s="6">
        <v>2.0</v>
      </c>
    </row>
    <row r="7">
      <c r="A7" s="1" t="s">
        <v>32</v>
      </c>
      <c r="B7" s="1" t="s">
        <v>33</v>
      </c>
      <c r="C7" s="4">
        <v>29.0</v>
      </c>
      <c r="D7" s="4">
        <v>32.0</v>
      </c>
      <c r="E7" s="2" t="s">
        <v>21</v>
      </c>
      <c r="F7" s="1" t="s">
        <v>22</v>
      </c>
      <c r="G7" s="2" t="s">
        <v>23</v>
      </c>
      <c r="H7" s="4">
        <v>1.36</v>
      </c>
      <c r="I7" s="4">
        <v>44.0</v>
      </c>
      <c r="J7" s="5">
        <f t="shared" si="1"/>
        <v>23.78892734</v>
      </c>
      <c r="K7" s="4">
        <v>0.0</v>
      </c>
      <c r="L7" s="4">
        <v>1.0</v>
      </c>
      <c r="M7" s="4">
        <v>0.0</v>
      </c>
      <c r="N7" s="6">
        <v>7.0</v>
      </c>
      <c r="O7" s="6">
        <v>2.0</v>
      </c>
      <c r="P7" s="6">
        <v>3.0</v>
      </c>
      <c r="Q7" s="6">
        <v>2.0</v>
      </c>
      <c r="R7" s="6">
        <v>2.0</v>
      </c>
    </row>
    <row r="8">
      <c r="A8" s="1" t="s">
        <v>34</v>
      </c>
      <c r="B8" s="1" t="s">
        <v>35</v>
      </c>
      <c r="C8" s="4">
        <v>43.0</v>
      </c>
      <c r="D8" s="4">
        <v>76.0</v>
      </c>
      <c r="E8" s="2" t="s">
        <v>21</v>
      </c>
      <c r="F8" s="1" t="s">
        <v>22</v>
      </c>
      <c r="G8" s="2" t="s">
        <v>23</v>
      </c>
      <c r="H8" s="4">
        <v>1.48</v>
      </c>
      <c r="I8" s="4">
        <v>55.4</v>
      </c>
      <c r="J8" s="5">
        <f t="shared" si="1"/>
        <v>25.29218408</v>
      </c>
      <c r="K8" s="4">
        <v>0.0</v>
      </c>
      <c r="L8" s="4">
        <v>0.0</v>
      </c>
      <c r="M8" s="4">
        <v>1.0</v>
      </c>
      <c r="N8" s="6">
        <v>0.0</v>
      </c>
      <c r="O8" s="6">
        <v>3.0</v>
      </c>
      <c r="P8" s="6">
        <v>3.0</v>
      </c>
      <c r="Q8" s="6">
        <v>2.0</v>
      </c>
      <c r="R8" s="6">
        <v>2.0</v>
      </c>
    </row>
    <row r="9">
      <c r="A9" s="1" t="s">
        <v>36</v>
      </c>
      <c r="B9" s="1" t="s">
        <v>37</v>
      </c>
      <c r="C9" s="4">
        <v>3.0</v>
      </c>
      <c r="D9" s="4">
        <v>24.0</v>
      </c>
      <c r="E9" s="2" t="s">
        <v>21</v>
      </c>
      <c r="F9" s="1" t="s">
        <v>22</v>
      </c>
      <c r="G9" s="2" t="s">
        <v>23</v>
      </c>
      <c r="H9" s="4">
        <v>1.42</v>
      </c>
      <c r="I9" s="4">
        <v>48.6</v>
      </c>
      <c r="J9" s="5">
        <f t="shared" si="1"/>
        <v>24.10236064</v>
      </c>
      <c r="K9" s="4">
        <v>0.0</v>
      </c>
      <c r="L9" s="4">
        <v>0.0</v>
      </c>
      <c r="M9" s="4">
        <v>1.0</v>
      </c>
      <c r="N9" s="6">
        <v>0.0</v>
      </c>
      <c r="O9" s="6">
        <v>3.0</v>
      </c>
      <c r="P9" s="6">
        <v>2.0</v>
      </c>
      <c r="Q9" s="6">
        <v>2.0</v>
      </c>
      <c r="R9" s="6">
        <v>3.0</v>
      </c>
    </row>
    <row r="10">
      <c r="A10" s="1" t="s">
        <v>38</v>
      </c>
      <c r="B10" s="1" t="s">
        <v>39</v>
      </c>
      <c r="C10" s="4">
        <v>12.0</v>
      </c>
      <c r="D10" s="4">
        <v>29.0</v>
      </c>
      <c r="E10" s="2" t="s">
        <v>21</v>
      </c>
      <c r="F10" s="1" t="s">
        <v>22</v>
      </c>
      <c r="G10" s="2" t="s">
        <v>23</v>
      </c>
      <c r="H10" s="4">
        <v>1.42</v>
      </c>
      <c r="I10" s="4">
        <v>50.7</v>
      </c>
      <c r="J10" s="5">
        <f t="shared" si="1"/>
        <v>25.14382067</v>
      </c>
      <c r="K10" s="4">
        <v>0.0</v>
      </c>
      <c r="L10" s="4">
        <v>0.0</v>
      </c>
      <c r="M10" s="4">
        <v>1.0</v>
      </c>
      <c r="N10" s="6">
        <v>0.0</v>
      </c>
      <c r="O10" s="6">
        <v>3.0</v>
      </c>
      <c r="P10" s="6">
        <v>3.0</v>
      </c>
      <c r="Q10" s="6">
        <v>2.0</v>
      </c>
      <c r="R10" s="6">
        <v>4.0</v>
      </c>
    </row>
    <row r="11">
      <c r="A11" s="1" t="s">
        <v>40</v>
      </c>
      <c r="B11" s="1" t="s">
        <v>41</v>
      </c>
      <c r="C11" s="4">
        <v>99.0</v>
      </c>
      <c r="D11" s="4">
        <v>27.0</v>
      </c>
      <c r="E11" s="2" t="s">
        <v>21</v>
      </c>
      <c r="F11" s="1" t="s">
        <v>22</v>
      </c>
      <c r="G11" s="2" t="s">
        <v>42</v>
      </c>
      <c r="H11" s="4">
        <v>1.56</v>
      </c>
      <c r="I11" s="4">
        <v>60.2</v>
      </c>
      <c r="J11" s="5">
        <f t="shared" si="1"/>
        <v>24.73701512</v>
      </c>
      <c r="K11" s="4">
        <v>0.0</v>
      </c>
      <c r="L11" s="4">
        <v>0.0</v>
      </c>
      <c r="M11" s="4">
        <v>0.0</v>
      </c>
      <c r="N11" s="6">
        <v>0.0</v>
      </c>
      <c r="O11" s="6">
        <v>3.0</v>
      </c>
      <c r="P11" s="6">
        <v>3.0</v>
      </c>
      <c r="Q11" s="6">
        <v>2.0</v>
      </c>
      <c r="R11" s="6">
        <v>5.0</v>
      </c>
    </row>
    <row r="12">
      <c r="A12" s="1" t="s">
        <v>43</v>
      </c>
      <c r="B12" s="1" t="s">
        <v>44</v>
      </c>
      <c r="C12" s="4">
        <v>134.0</v>
      </c>
      <c r="D12" s="4">
        <v>26.0</v>
      </c>
      <c r="E12" s="2" t="s">
        <v>21</v>
      </c>
      <c r="F12" s="1" t="s">
        <v>22</v>
      </c>
      <c r="G12" s="2" t="s">
        <v>42</v>
      </c>
      <c r="H12" s="4">
        <v>1.56</v>
      </c>
      <c r="I12" s="4">
        <v>67.2</v>
      </c>
      <c r="J12" s="5">
        <f t="shared" si="1"/>
        <v>27.61341223</v>
      </c>
      <c r="K12" s="4">
        <v>0.0</v>
      </c>
      <c r="L12" s="4">
        <v>0.0</v>
      </c>
      <c r="M12" s="4">
        <v>1.0</v>
      </c>
      <c r="N12" s="6">
        <v>0.0</v>
      </c>
      <c r="O12" s="6">
        <v>4.0</v>
      </c>
      <c r="P12" s="6">
        <v>3.0</v>
      </c>
      <c r="Q12" s="6">
        <v>5.0</v>
      </c>
      <c r="R12" s="6">
        <v>2.0</v>
      </c>
    </row>
    <row r="13">
      <c r="A13" s="1" t="s">
        <v>45</v>
      </c>
      <c r="B13" s="1" t="s">
        <v>46</v>
      </c>
      <c r="C13" s="8">
        <v>73.0</v>
      </c>
      <c r="D13" s="8">
        <v>30.0</v>
      </c>
      <c r="E13" s="2" t="s">
        <v>21</v>
      </c>
      <c r="F13" s="1" t="s">
        <v>22</v>
      </c>
      <c r="G13" s="2" t="s">
        <v>42</v>
      </c>
      <c r="H13" s="4">
        <v>1.57</v>
      </c>
      <c r="I13" s="4">
        <v>65.2</v>
      </c>
      <c r="J13" s="5">
        <f t="shared" si="1"/>
        <v>26.45137734</v>
      </c>
      <c r="K13" s="4">
        <v>3.0</v>
      </c>
      <c r="L13" s="4">
        <v>1.0</v>
      </c>
      <c r="M13" s="4">
        <v>1.0</v>
      </c>
      <c r="N13" s="6">
        <v>0.0</v>
      </c>
      <c r="O13" s="6">
        <v>4.0</v>
      </c>
      <c r="P13" s="6">
        <v>3.0</v>
      </c>
      <c r="Q13" s="6">
        <v>4.0</v>
      </c>
      <c r="R13" s="6">
        <v>4.0</v>
      </c>
    </row>
    <row r="14">
      <c r="A14" s="1" t="s">
        <v>47</v>
      </c>
      <c r="B14" s="1" t="s">
        <v>48</v>
      </c>
      <c r="C14" s="8">
        <v>94.0</v>
      </c>
      <c r="D14" s="8">
        <v>35.0</v>
      </c>
      <c r="E14" s="2" t="s">
        <v>21</v>
      </c>
      <c r="F14" s="1" t="s">
        <v>22</v>
      </c>
      <c r="G14" s="2" t="s">
        <v>42</v>
      </c>
      <c r="H14" s="4">
        <v>1.53</v>
      </c>
      <c r="I14" s="4">
        <v>53.6</v>
      </c>
      <c r="J14" s="5">
        <f t="shared" si="1"/>
        <v>22.8971763</v>
      </c>
      <c r="K14" s="4">
        <v>1.0</v>
      </c>
      <c r="L14" s="4">
        <v>1.0</v>
      </c>
      <c r="M14" s="4">
        <v>0.0</v>
      </c>
      <c r="N14" s="6">
        <v>475.0</v>
      </c>
      <c r="O14" s="6">
        <v>3.0</v>
      </c>
      <c r="P14" s="6">
        <v>1.0</v>
      </c>
      <c r="Q14" s="6">
        <v>2.0</v>
      </c>
      <c r="R14" s="6">
        <v>2.0</v>
      </c>
    </row>
    <row r="15">
      <c r="A15" s="1" t="s">
        <v>49</v>
      </c>
      <c r="B15" s="1" t="s">
        <v>50</v>
      </c>
      <c r="C15" s="4">
        <v>116.0</v>
      </c>
      <c r="D15" s="4">
        <v>31.0</v>
      </c>
      <c r="E15" s="2" t="s">
        <v>21</v>
      </c>
      <c r="F15" s="1" t="s">
        <v>22</v>
      </c>
      <c r="G15" s="2" t="s">
        <v>42</v>
      </c>
      <c r="H15" s="4">
        <v>1.49</v>
      </c>
      <c r="I15" s="4">
        <v>43.7</v>
      </c>
      <c r="J15" s="5">
        <f t="shared" si="1"/>
        <v>19.68379803</v>
      </c>
      <c r="K15" s="4">
        <v>0.0</v>
      </c>
      <c r="L15" s="4">
        <v>0.0</v>
      </c>
      <c r="M15" s="4">
        <v>0.0</v>
      </c>
      <c r="N15" s="6">
        <v>0.0</v>
      </c>
      <c r="O15" s="6">
        <v>2.0</v>
      </c>
      <c r="P15" s="6">
        <v>3.0</v>
      </c>
      <c r="Q15" s="6">
        <v>4.0</v>
      </c>
      <c r="R15" s="6">
        <v>4.0</v>
      </c>
    </row>
    <row r="16">
      <c r="A16" s="1" t="s">
        <v>51</v>
      </c>
      <c r="B16" s="1" t="s">
        <v>52</v>
      </c>
      <c r="C16" s="4">
        <v>130.0</v>
      </c>
      <c r="D16" s="4">
        <v>50.0</v>
      </c>
      <c r="E16" s="2" t="s">
        <v>21</v>
      </c>
      <c r="F16" s="1" t="s">
        <v>22</v>
      </c>
      <c r="G16" s="2" t="s">
        <v>42</v>
      </c>
      <c r="H16" s="4">
        <v>1.44</v>
      </c>
      <c r="I16" s="4">
        <v>47.3</v>
      </c>
      <c r="J16" s="5">
        <f t="shared" si="1"/>
        <v>22.81057099</v>
      </c>
      <c r="K16" s="4">
        <v>0.0</v>
      </c>
      <c r="L16" s="4">
        <v>0.0</v>
      </c>
      <c r="M16" s="4">
        <v>1.0</v>
      </c>
      <c r="N16" s="6">
        <v>0.0</v>
      </c>
      <c r="O16" s="6">
        <v>2.0</v>
      </c>
      <c r="P16" s="6">
        <v>3.0</v>
      </c>
      <c r="Q16" s="6">
        <v>5.0</v>
      </c>
      <c r="R16" s="6">
        <v>2.0</v>
      </c>
    </row>
    <row r="17">
      <c r="A17" s="1" t="s">
        <v>53</v>
      </c>
      <c r="B17" s="1" t="s">
        <v>54</v>
      </c>
      <c r="C17" s="4">
        <v>159.0</v>
      </c>
      <c r="D17" s="4">
        <v>35.0</v>
      </c>
      <c r="E17" s="2" t="s">
        <v>21</v>
      </c>
      <c r="F17" s="1" t="s">
        <v>22</v>
      </c>
      <c r="G17" s="2" t="s">
        <v>42</v>
      </c>
      <c r="H17" s="4">
        <v>1.43</v>
      </c>
      <c r="I17" s="4">
        <v>45.9</v>
      </c>
      <c r="J17" s="5">
        <f t="shared" si="1"/>
        <v>22.44608538</v>
      </c>
      <c r="K17" s="4">
        <v>0.0</v>
      </c>
      <c r="L17" s="4">
        <v>0.0</v>
      </c>
      <c r="M17" s="4">
        <v>0.0</v>
      </c>
      <c r="N17" s="6">
        <v>0.0</v>
      </c>
      <c r="O17" s="6">
        <v>4.0</v>
      </c>
      <c r="P17" s="6">
        <v>4.0</v>
      </c>
      <c r="Q17" s="6">
        <v>2.0</v>
      </c>
      <c r="R17" s="6">
        <v>2.0</v>
      </c>
    </row>
    <row r="18">
      <c r="A18" s="1" t="s">
        <v>55</v>
      </c>
      <c r="B18" s="1" t="s">
        <v>56</v>
      </c>
      <c r="C18" s="4">
        <v>81.0</v>
      </c>
      <c r="D18" s="4">
        <v>24.0</v>
      </c>
      <c r="E18" s="2" t="s">
        <v>21</v>
      </c>
      <c r="F18" s="1" t="s">
        <v>22</v>
      </c>
      <c r="G18" s="2" t="s">
        <v>42</v>
      </c>
      <c r="H18" s="4">
        <v>1.44</v>
      </c>
      <c r="I18" s="4">
        <v>45.8</v>
      </c>
      <c r="J18" s="5">
        <f t="shared" si="1"/>
        <v>22.08719136</v>
      </c>
      <c r="K18" s="4">
        <v>0.0</v>
      </c>
      <c r="L18" s="4">
        <v>0.0</v>
      </c>
      <c r="M18" s="4">
        <v>0.0</v>
      </c>
      <c r="N18" s="6">
        <v>0.0</v>
      </c>
      <c r="O18" s="6" t="s">
        <v>57</v>
      </c>
      <c r="P18" s="6" t="s">
        <v>57</v>
      </c>
      <c r="Q18" s="6" t="s">
        <v>57</v>
      </c>
      <c r="R18" s="6" t="s">
        <v>57</v>
      </c>
    </row>
    <row r="19">
      <c r="A19" s="1" t="s">
        <v>58</v>
      </c>
      <c r="B19" s="1" t="s">
        <v>59</v>
      </c>
      <c r="C19" s="4">
        <v>148.0</v>
      </c>
      <c r="D19" s="4">
        <v>40.0</v>
      </c>
      <c r="E19" s="2" t="s">
        <v>21</v>
      </c>
      <c r="F19" s="1" t="s">
        <v>22</v>
      </c>
      <c r="G19" s="2" t="s">
        <v>42</v>
      </c>
      <c r="H19" s="4">
        <v>1.52</v>
      </c>
      <c r="I19" s="4">
        <v>53.1</v>
      </c>
      <c r="J19" s="5">
        <f t="shared" si="1"/>
        <v>22.98303324</v>
      </c>
      <c r="K19" s="4">
        <v>0.0</v>
      </c>
      <c r="L19" s="4">
        <v>0.0</v>
      </c>
      <c r="M19" s="4">
        <v>0.0</v>
      </c>
      <c r="N19" s="6">
        <v>0.0</v>
      </c>
      <c r="O19" s="6">
        <v>4.0</v>
      </c>
      <c r="P19" s="6">
        <v>3.0</v>
      </c>
      <c r="Q19" s="6">
        <v>2.0</v>
      </c>
      <c r="R19" s="6">
        <v>2.0</v>
      </c>
    </row>
    <row r="20">
      <c r="A20" s="1" t="s">
        <v>60</v>
      </c>
      <c r="B20" s="1" t="s">
        <v>61</v>
      </c>
      <c r="C20" s="4">
        <v>121.0</v>
      </c>
      <c r="D20" s="4">
        <v>29.0</v>
      </c>
      <c r="E20" s="2" t="s">
        <v>21</v>
      </c>
      <c r="F20" s="1" t="s">
        <v>22</v>
      </c>
      <c r="G20" s="2" t="s">
        <v>42</v>
      </c>
      <c r="H20" s="4">
        <v>1.42</v>
      </c>
      <c r="I20" s="4">
        <v>60.9</v>
      </c>
      <c r="J20" s="5">
        <f t="shared" si="1"/>
        <v>30.20234081</v>
      </c>
      <c r="K20" s="4">
        <v>3.0</v>
      </c>
      <c r="L20" s="4">
        <v>1.0</v>
      </c>
      <c r="M20" s="4">
        <v>1.0</v>
      </c>
      <c r="N20" s="6">
        <v>24375.0</v>
      </c>
      <c r="O20" s="6">
        <v>3.0</v>
      </c>
      <c r="P20" s="6">
        <v>2.0</v>
      </c>
      <c r="Q20" s="6">
        <v>2.0</v>
      </c>
      <c r="R20" s="6">
        <v>2.0</v>
      </c>
    </row>
    <row r="21">
      <c r="A21" s="1" t="s">
        <v>62</v>
      </c>
      <c r="B21" s="9" t="s">
        <v>63</v>
      </c>
      <c r="C21" s="10">
        <v>100.0</v>
      </c>
      <c r="D21" s="10">
        <v>30.0</v>
      </c>
      <c r="E21" s="11" t="s">
        <v>64</v>
      </c>
      <c r="F21" s="1" t="s">
        <v>65</v>
      </c>
      <c r="G21" s="2" t="s">
        <v>42</v>
      </c>
      <c r="H21" s="10">
        <v>1.6</v>
      </c>
      <c r="I21" s="10">
        <v>71.1</v>
      </c>
      <c r="J21" s="5">
        <f t="shared" si="1"/>
        <v>27.7734375</v>
      </c>
      <c r="K21" s="4">
        <v>0.0</v>
      </c>
      <c r="L21" s="4">
        <v>0.0</v>
      </c>
      <c r="M21" s="4">
        <v>0.0</v>
      </c>
      <c r="N21" s="6">
        <v>0.0</v>
      </c>
      <c r="O21" s="12" t="s">
        <v>57</v>
      </c>
      <c r="P21" s="6">
        <v>3.0</v>
      </c>
      <c r="Q21" s="6">
        <v>3.0</v>
      </c>
      <c r="R21" s="6">
        <v>4.0</v>
      </c>
    </row>
    <row r="22">
      <c r="A22" s="1" t="s">
        <v>66</v>
      </c>
      <c r="B22" s="1" t="s">
        <v>67</v>
      </c>
      <c r="C22" s="6">
        <v>168.0</v>
      </c>
      <c r="D22" s="6">
        <v>17.0</v>
      </c>
      <c r="E22" s="1" t="s">
        <v>64</v>
      </c>
      <c r="F22" s="1" t="s">
        <v>65</v>
      </c>
      <c r="G22" s="1" t="s">
        <v>23</v>
      </c>
      <c r="H22" s="6">
        <v>1.65</v>
      </c>
      <c r="I22" s="6">
        <v>54.0</v>
      </c>
      <c r="J22" s="5">
        <f t="shared" si="1"/>
        <v>19.83471074</v>
      </c>
      <c r="K22" s="6">
        <v>0.0</v>
      </c>
      <c r="L22" s="6">
        <v>0.0</v>
      </c>
      <c r="M22" s="6">
        <v>0.0</v>
      </c>
      <c r="N22" s="6">
        <v>15.0</v>
      </c>
      <c r="O22" s="6">
        <v>3.0</v>
      </c>
      <c r="P22" s="6">
        <v>4.0</v>
      </c>
      <c r="Q22" s="6">
        <v>4.0</v>
      </c>
      <c r="R22" s="6">
        <v>2.0</v>
      </c>
      <c r="S22" s="1" t="s">
        <v>68</v>
      </c>
    </row>
    <row r="23">
      <c r="A23" s="1" t="s">
        <v>69</v>
      </c>
      <c r="B23" s="1" t="s">
        <v>70</v>
      </c>
      <c r="C23" s="4">
        <v>169.0</v>
      </c>
      <c r="D23" s="4">
        <v>32.0</v>
      </c>
      <c r="E23" s="2" t="s">
        <v>64</v>
      </c>
      <c r="F23" s="1" t="s">
        <v>65</v>
      </c>
      <c r="G23" s="2" t="s">
        <v>23</v>
      </c>
      <c r="H23" s="4">
        <v>1.61</v>
      </c>
      <c r="I23" s="4">
        <v>65.1</v>
      </c>
      <c r="J23" s="5">
        <f t="shared" si="1"/>
        <v>25.11477181</v>
      </c>
      <c r="K23" s="4">
        <v>0.0</v>
      </c>
      <c r="L23" s="4">
        <v>0.0</v>
      </c>
      <c r="M23" s="4">
        <v>0.0</v>
      </c>
      <c r="N23" s="6">
        <v>5.0</v>
      </c>
      <c r="O23" s="6">
        <v>4.0</v>
      </c>
      <c r="P23" s="6">
        <v>3.0</v>
      </c>
      <c r="Q23" s="6">
        <v>4.0</v>
      </c>
      <c r="R23" s="6">
        <v>3.0</v>
      </c>
    </row>
    <row r="24">
      <c r="A24" s="1" t="s">
        <v>71</v>
      </c>
      <c r="B24" s="9" t="s">
        <v>72</v>
      </c>
      <c r="C24" s="10">
        <v>170.0</v>
      </c>
      <c r="D24" s="10">
        <v>27.0</v>
      </c>
      <c r="E24" s="2" t="s">
        <v>64</v>
      </c>
      <c r="F24" s="1" t="s">
        <v>65</v>
      </c>
      <c r="G24" s="2" t="s">
        <v>23</v>
      </c>
      <c r="H24" s="4">
        <v>1.65</v>
      </c>
      <c r="I24" s="4">
        <v>78.2</v>
      </c>
      <c r="J24" s="5">
        <f t="shared" si="1"/>
        <v>28.72359963</v>
      </c>
      <c r="K24" s="4">
        <v>0.0</v>
      </c>
      <c r="L24" s="4">
        <v>0.0</v>
      </c>
      <c r="M24" s="4">
        <v>0.0</v>
      </c>
      <c r="N24" s="6">
        <v>0.0</v>
      </c>
      <c r="O24" s="6">
        <v>3.0</v>
      </c>
      <c r="P24" s="6">
        <v>3.0</v>
      </c>
      <c r="Q24" s="6">
        <v>3.0</v>
      </c>
      <c r="R24" s="6">
        <v>3.0</v>
      </c>
    </row>
    <row r="25">
      <c r="A25" s="1" t="s">
        <v>73</v>
      </c>
      <c r="B25" s="1" t="s">
        <v>74</v>
      </c>
      <c r="C25" s="10">
        <v>171.0</v>
      </c>
      <c r="D25" s="10">
        <v>19.0</v>
      </c>
      <c r="E25" s="2" t="s">
        <v>64</v>
      </c>
      <c r="F25" s="1" t="s">
        <v>65</v>
      </c>
      <c r="G25" s="2" t="s">
        <v>23</v>
      </c>
      <c r="H25" s="4">
        <v>1.61</v>
      </c>
      <c r="I25" s="4">
        <v>56.4</v>
      </c>
      <c r="J25" s="5">
        <f t="shared" si="1"/>
        <v>21.75841981</v>
      </c>
      <c r="K25" s="4">
        <v>0.0</v>
      </c>
      <c r="L25" s="4">
        <v>0.0</v>
      </c>
      <c r="M25" s="4">
        <v>0.0</v>
      </c>
      <c r="N25" s="6">
        <v>690.0</v>
      </c>
      <c r="O25" s="6">
        <v>4.0</v>
      </c>
      <c r="P25" s="6">
        <v>2.0</v>
      </c>
      <c r="Q25" s="6">
        <v>4.0</v>
      </c>
      <c r="R25" s="6">
        <v>2.0</v>
      </c>
      <c r="S25" s="1" t="s">
        <v>68</v>
      </c>
    </row>
    <row r="26">
      <c r="A26" s="1" t="s">
        <v>75</v>
      </c>
      <c r="B26" s="1" t="s">
        <v>76</v>
      </c>
      <c r="C26" s="4">
        <v>172.0</v>
      </c>
      <c r="D26" s="10">
        <v>32.0</v>
      </c>
      <c r="E26" s="2" t="s">
        <v>64</v>
      </c>
      <c r="F26" s="1" t="s">
        <v>65</v>
      </c>
      <c r="G26" s="2" t="s">
        <v>23</v>
      </c>
      <c r="H26" s="4">
        <v>1.67</v>
      </c>
      <c r="I26" s="4">
        <v>71.9</v>
      </c>
      <c r="J26" s="5">
        <f t="shared" si="1"/>
        <v>25.78077378</v>
      </c>
      <c r="K26" s="4">
        <v>0.0</v>
      </c>
      <c r="L26" s="4">
        <v>0.0</v>
      </c>
      <c r="M26" s="4">
        <v>0.0</v>
      </c>
      <c r="N26" s="6">
        <v>0.0</v>
      </c>
      <c r="O26" s="6">
        <v>3.0</v>
      </c>
      <c r="P26" s="6">
        <v>3.0</v>
      </c>
      <c r="Q26" s="6">
        <v>3.0</v>
      </c>
      <c r="R26" s="6">
        <v>2.0</v>
      </c>
      <c r="S26" s="1"/>
    </row>
    <row r="27">
      <c r="A27" s="1" t="s">
        <v>77</v>
      </c>
      <c r="B27" s="1" t="s">
        <v>78</v>
      </c>
      <c r="C27" s="4">
        <v>173.0</v>
      </c>
      <c r="D27" s="10">
        <v>29.0</v>
      </c>
      <c r="E27" s="2" t="s">
        <v>64</v>
      </c>
      <c r="F27" s="1" t="s">
        <v>65</v>
      </c>
      <c r="G27" s="2" t="s">
        <v>23</v>
      </c>
      <c r="H27" s="4">
        <v>1.7</v>
      </c>
      <c r="I27" s="4">
        <v>82.3</v>
      </c>
      <c r="J27" s="5">
        <f t="shared" si="1"/>
        <v>28.47750865</v>
      </c>
      <c r="K27" s="4">
        <v>0.0</v>
      </c>
      <c r="L27" s="4">
        <v>0.0</v>
      </c>
      <c r="M27" s="4">
        <v>0.0</v>
      </c>
      <c r="N27" s="6">
        <v>20.0</v>
      </c>
      <c r="O27" s="6">
        <v>4.0</v>
      </c>
      <c r="P27" s="6">
        <v>3.0</v>
      </c>
      <c r="Q27" s="6">
        <v>4.0</v>
      </c>
      <c r="R27" s="6">
        <v>4.0</v>
      </c>
      <c r="S27" s="1"/>
    </row>
    <row r="28">
      <c r="A28" s="1" t="s">
        <v>79</v>
      </c>
      <c r="B28" s="1" t="s">
        <v>80</v>
      </c>
      <c r="C28" s="6">
        <v>174.0</v>
      </c>
      <c r="D28" s="6">
        <v>33.0</v>
      </c>
      <c r="E28" s="1" t="s">
        <v>64</v>
      </c>
      <c r="F28" s="1" t="s">
        <v>65</v>
      </c>
      <c r="G28" s="1" t="s">
        <v>23</v>
      </c>
      <c r="H28" s="6">
        <v>1.64</v>
      </c>
      <c r="I28" s="6">
        <v>65.0</v>
      </c>
      <c r="J28" s="5">
        <f t="shared" si="1"/>
        <v>24.1671624</v>
      </c>
      <c r="K28" s="6">
        <v>0.0</v>
      </c>
      <c r="L28" s="6">
        <v>0.0</v>
      </c>
      <c r="M28" s="6">
        <v>0.0</v>
      </c>
      <c r="N28" s="6">
        <v>0.0</v>
      </c>
      <c r="O28" s="6">
        <v>4.0</v>
      </c>
      <c r="P28" s="6">
        <v>3.0</v>
      </c>
      <c r="Q28" s="6">
        <v>3.0</v>
      </c>
      <c r="R28" s="6">
        <v>2.0</v>
      </c>
      <c r="S28" s="1" t="s">
        <v>68</v>
      </c>
    </row>
    <row r="29">
      <c r="A29" s="1" t="s">
        <v>81</v>
      </c>
      <c r="B29" s="1" t="s">
        <v>82</v>
      </c>
      <c r="C29" s="10">
        <v>176.0</v>
      </c>
      <c r="D29" s="10">
        <v>23.0</v>
      </c>
      <c r="E29" s="11" t="s">
        <v>64</v>
      </c>
      <c r="F29" s="1" t="s">
        <v>65</v>
      </c>
      <c r="G29" s="2" t="s">
        <v>23</v>
      </c>
      <c r="H29" s="4">
        <v>1.56</v>
      </c>
      <c r="I29" s="4">
        <v>61.1</v>
      </c>
      <c r="J29" s="5">
        <f t="shared" si="1"/>
        <v>25.10683761</v>
      </c>
      <c r="K29" s="4">
        <v>0.0</v>
      </c>
      <c r="L29" s="4">
        <v>0.0</v>
      </c>
      <c r="M29" s="4">
        <v>0.0</v>
      </c>
      <c r="N29" s="6">
        <v>0.0</v>
      </c>
      <c r="O29" s="6">
        <v>4.0</v>
      </c>
      <c r="P29" s="6">
        <v>3.0</v>
      </c>
      <c r="Q29" s="6">
        <v>2.0</v>
      </c>
      <c r="R29" s="6">
        <v>3.0</v>
      </c>
    </row>
    <row r="30">
      <c r="A30" s="1" t="s">
        <v>83</v>
      </c>
      <c r="B30" s="1" t="s">
        <v>84</v>
      </c>
      <c r="C30" s="4">
        <v>177.0</v>
      </c>
      <c r="D30" s="10">
        <v>25.0</v>
      </c>
      <c r="E30" s="11" t="s">
        <v>64</v>
      </c>
      <c r="F30" s="1" t="s">
        <v>65</v>
      </c>
      <c r="G30" s="2" t="s">
        <v>23</v>
      </c>
      <c r="H30" s="4">
        <v>1.62</v>
      </c>
      <c r="I30" s="4">
        <v>61.9</v>
      </c>
      <c r="J30" s="5">
        <f t="shared" si="1"/>
        <v>23.58634355</v>
      </c>
      <c r="K30" s="4">
        <v>0.0</v>
      </c>
      <c r="L30" s="4">
        <v>0.0</v>
      </c>
      <c r="M30" s="4">
        <v>0.0</v>
      </c>
      <c r="N30" s="6">
        <v>1440.0</v>
      </c>
      <c r="O30" s="6">
        <v>3.0</v>
      </c>
      <c r="P30" s="6">
        <v>3.0</v>
      </c>
      <c r="Q30" s="6">
        <v>3.0</v>
      </c>
      <c r="R30" s="6">
        <v>2.0</v>
      </c>
    </row>
    <row r="31">
      <c r="A31" s="1" t="s">
        <v>85</v>
      </c>
      <c r="B31" s="1" t="s">
        <v>86</v>
      </c>
      <c r="C31" s="10">
        <v>178.0</v>
      </c>
      <c r="D31" s="10">
        <v>40.0</v>
      </c>
      <c r="E31" s="11" t="s">
        <v>64</v>
      </c>
      <c r="F31" s="1" t="s">
        <v>65</v>
      </c>
      <c r="G31" s="2" t="s">
        <v>42</v>
      </c>
      <c r="H31" s="10">
        <v>1.54</v>
      </c>
      <c r="I31" s="10">
        <v>63.0</v>
      </c>
      <c r="J31" s="5">
        <f t="shared" si="1"/>
        <v>26.56434475</v>
      </c>
      <c r="K31" s="4">
        <v>0.0</v>
      </c>
      <c r="L31" s="4">
        <v>0.0</v>
      </c>
      <c r="M31" s="4">
        <v>0.0</v>
      </c>
      <c r="N31" s="6">
        <v>5.0</v>
      </c>
      <c r="O31" s="6">
        <v>3.0</v>
      </c>
      <c r="P31" s="6">
        <v>4.0</v>
      </c>
      <c r="Q31" s="6">
        <v>2.0</v>
      </c>
      <c r="R31" s="6">
        <v>3.0</v>
      </c>
    </row>
    <row r="32">
      <c r="A32" s="1" t="s">
        <v>87</v>
      </c>
      <c r="B32" s="1" t="s">
        <v>88</v>
      </c>
      <c r="C32" s="10">
        <v>179.0</v>
      </c>
      <c r="D32" s="10">
        <v>42.0</v>
      </c>
      <c r="E32" s="11" t="s">
        <v>64</v>
      </c>
      <c r="F32" s="1" t="s">
        <v>65</v>
      </c>
      <c r="G32" s="2" t="s">
        <v>42</v>
      </c>
      <c r="H32" s="4">
        <v>1.62</v>
      </c>
      <c r="I32" s="4">
        <v>56.6</v>
      </c>
      <c r="J32" s="5">
        <f t="shared" si="1"/>
        <v>21.56683432</v>
      </c>
      <c r="K32" s="4">
        <v>0.0</v>
      </c>
      <c r="L32" s="4">
        <v>0.0</v>
      </c>
      <c r="M32" s="4">
        <v>0.0</v>
      </c>
      <c r="N32" s="6">
        <v>0.0</v>
      </c>
      <c r="O32" s="12" t="s">
        <v>57</v>
      </c>
      <c r="P32" s="12" t="s">
        <v>57</v>
      </c>
      <c r="Q32" s="12" t="s">
        <v>57</v>
      </c>
      <c r="R32" s="12" t="s">
        <v>57</v>
      </c>
    </row>
    <row r="33">
      <c r="A33" s="1" t="s">
        <v>89</v>
      </c>
      <c r="B33" s="1" t="s">
        <v>90</v>
      </c>
      <c r="C33" s="10">
        <v>180.0</v>
      </c>
      <c r="D33" s="10">
        <v>37.0</v>
      </c>
      <c r="E33" s="11" t="s">
        <v>64</v>
      </c>
      <c r="F33" s="1" t="s">
        <v>65</v>
      </c>
      <c r="G33" s="2" t="s">
        <v>42</v>
      </c>
      <c r="H33" s="10">
        <v>1.57</v>
      </c>
      <c r="I33" s="10">
        <v>62.7</v>
      </c>
      <c r="J33" s="5">
        <f t="shared" si="1"/>
        <v>25.43713741</v>
      </c>
      <c r="K33" s="4">
        <v>0.0</v>
      </c>
      <c r="L33" s="4">
        <v>0.0</v>
      </c>
      <c r="M33" s="4">
        <v>0.0</v>
      </c>
      <c r="N33" s="6">
        <v>0.0</v>
      </c>
      <c r="O33" s="12" t="s">
        <v>57</v>
      </c>
      <c r="P33" s="12" t="s">
        <v>57</v>
      </c>
      <c r="Q33" s="12" t="s">
        <v>57</v>
      </c>
      <c r="R33" s="12" t="s">
        <v>57</v>
      </c>
    </row>
    <row r="34">
      <c r="A34" s="1" t="s">
        <v>91</v>
      </c>
      <c r="B34" s="1" t="s">
        <v>92</v>
      </c>
      <c r="C34" s="10">
        <v>181.0</v>
      </c>
      <c r="D34" s="10">
        <v>47.0</v>
      </c>
      <c r="E34" s="11" t="s">
        <v>64</v>
      </c>
      <c r="F34" s="1" t="s">
        <v>65</v>
      </c>
      <c r="G34" s="2" t="s">
        <v>42</v>
      </c>
      <c r="H34" s="10">
        <v>1.57</v>
      </c>
      <c r="I34" s="10">
        <v>56.3</v>
      </c>
      <c r="J34" s="5">
        <f t="shared" si="1"/>
        <v>22.84068319</v>
      </c>
      <c r="K34" s="4">
        <v>0.0</v>
      </c>
      <c r="L34" s="4">
        <v>0.0</v>
      </c>
      <c r="M34" s="4">
        <v>0.0</v>
      </c>
      <c r="N34" s="6">
        <v>0.0</v>
      </c>
      <c r="O34" s="12" t="s">
        <v>57</v>
      </c>
      <c r="P34" s="12" t="s">
        <v>57</v>
      </c>
      <c r="Q34" s="12" t="s">
        <v>57</v>
      </c>
      <c r="R34" s="12" t="s">
        <v>57</v>
      </c>
    </row>
    <row r="35">
      <c r="A35" s="1" t="s">
        <v>93</v>
      </c>
      <c r="B35" s="1" t="s">
        <v>94</v>
      </c>
      <c r="C35" s="4">
        <v>182.0</v>
      </c>
      <c r="D35" s="10">
        <v>28.0</v>
      </c>
      <c r="E35" s="11" t="s">
        <v>64</v>
      </c>
      <c r="F35" s="1" t="s">
        <v>65</v>
      </c>
      <c r="G35" s="2" t="s">
        <v>42</v>
      </c>
      <c r="H35" s="10">
        <v>1.63</v>
      </c>
      <c r="I35" s="10">
        <v>66.3</v>
      </c>
      <c r="J35" s="5">
        <f t="shared" si="1"/>
        <v>24.95389364</v>
      </c>
      <c r="K35" s="4">
        <v>0.0</v>
      </c>
      <c r="L35" s="4">
        <v>0.0</v>
      </c>
      <c r="M35" s="4">
        <v>0.0</v>
      </c>
      <c r="N35" s="6">
        <v>110.0</v>
      </c>
      <c r="O35" s="12" t="s">
        <v>57</v>
      </c>
      <c r="P35" s="12" t="s">
        <v>57</v>
      </c>
      <c r="Q35" s="6">
        <v>5.0</v>
      </c>
      <c r="R35" s="6">
        <v>4.0</v>
      </c>
    </row>
    <row r="36">
      <c r="A36" s="1" t="s">
        <v>95</v>
      </c>
      <c r="B36" s="1" t="s">
        <v>96</v>
      </c>
      <c r="C36" s="10">
        <v>184.0</v>
      </c>
      <c r="D36" s="10">
        <v>30.0</v>
      </c>
      <c r="E36" s="11" t="s">
        <v>64</v>
      </c>
      <c r="F36" s="1" t="s">
        <v>65</v>
      </c>
      <c r="G36" s="2" t="s">
        <v>42</v>
      </c>
      <c r="H36" s="10">
        <v>1.58</v>
      </c>
      <c r="I36" s="10">
        <v>72.7</v>
      </c>
      <c r="J36" s="5">
        <f t="shared" si="1"/>
        <v>29.12193559</v>
      </c>
      <c r="K36" s="4">
        <v>0.0</v>
      </c>
      <c r="L36" s="4">
        <v>0.0</v>
      </c>
      <c r="M36" s="4">
        <v>0.0</v>
      </c>
      <c r="N36" s="6">
        <v>85.0</v>
      </c>
      <c r="O36" s="12" t="s">
        <v>57</v>
      </c>
      <c r="P36" s="12" t="s">
        <v>57</v>
      </c>
      <c r="Q36" s="6">
        <v>3.0</v>
      </c>
      <c r="R36" s="6">
        <v>4.0</v>
      </c>
    </row>
    <row r="37">
      <c r="A37" s="1" t="s">
        <v>97</v>
      </c>
      <c r="B37" s="9" t="s">
        <v>98</v>
      </c>
      <c r="C37" s="10">
        <v>185.0</v>
      </c>
      <c r="D37" s="10">
        <v>42.0</v>
      </c>
      <c r="E37" s="11" t="s">
        <v>64</v>
      </c>
      <c r="F37" s="1" t="s">
        <v>65</v>
      </c>
      <c r="G37" s="2" t="s">
        <v>42</v>
      </c>
      <c r="H37" s="10">
        <v>1.68</v>
      </c>
      <c r="I37" s="10">
        <v>72.6</v>
      </c>
      <c r="J37" s="5">
        <f t="shared" si="1"/>
        <v>25.72278912</v>
      </c>
      <c r="K37" s="4">
        <v>0.0</v>
      </c>
      <c r="L37" s="4">
        <v>0.0</v>
      </c>
      <c r="M37" s="4">
        <v>0.0</v>
      </c>
      <c r="N37" s="6">
        <v>0.0</v>
      </c>
      <c r="O37" s="12" t="s">
        <v>57</v>
      </c>
      <c r="P37" s="12" t="s">
        <v>57</v>
      </c>
      <c r="Q37" s="6">
        <v>4.0</v>
      </c>
      <c r="R37" s="6">
        <v>3.0</v>
      </c>
    </row>
    <row r="38">
      <c r="A38" s="1" t="s">
        <v>99</v>
      </c>
      <c r="B38" s="1" t="s">
        <v>100</v>
      </c>
      <c r="C38" s="10">
        <v>186.0</v>
      </c>
      <c r="D38" s="10">
        <v>26.0</v>
      </c>
      <c r="E38" s="11" t="s">
        <v>64</v>
      </c>
      <c r="F38" s="1" t="s">
        <v>65</v>
      </c>
      <c r="G38" s="2" t="s">
        <v>42</v>
      </c>
      <c r="H38" s="10">
        <v>1.67</v>
      </c>
      <c r="I38" s="10">
        <v>59.2</v>
      </c>
      <c r="J38" s="5">
        <f t="shared" si="1"/>
        <v>21.22700706</v>
      </c>
      <c r="K38" s="4">
        <v>0.0</v>
      </c>
      <c r="L38" s="4">
        <v>0.0</v>
      </c>
      <c r="M38" s="4">
        <v>0.0</v>
      </c>
      <c r="N38" s="6">
        <v>0.0</v>
      </c>
      <c r="O38" s="12" t="s">
        <v>57</v>
      </c>
      <c r="P38" s="12" t="s">
        <v>57</v>
      </c>
      <c r="Q38" s="12" t="s">
        <v>57</v>
      </c>
      <c r="R38" s="12" t="s">
        <v>57</v>
      </c>
    </row>
    <row r="39">
      <c r="A39" s="1" t="s">
        <v>101</v>
      </c>
      <c r="B39" s="1" t="s">
        <v>102</v>
      </c>
      <c r="C39" s="10">
        <v>187.0</v>
      </c>
      <c r="D39" s="10">
        <v>33.0</v>
      </c>
      <c r="E39" s="11" t="s">
        <v>64</v>
      </c>
      <c r="F39" s="1" t="s">
        <v>65</v>
      </c>
      <c r="G39" s="2" t="s">
        <v>42</v>
      </c>
      <c r="H39" s="10">
        <v>1.62</v>
      </c>
      <c r="I39" s="10">
        <v>61.6</v>
      </c>
      <c r="J39" s="5">
        <f t="shared" si="1"/>
        <v>23.4720317</v>
      </c>
      <c r="K39" s="4">
        <v>0.0</v>
      </c>
      <c r="L39" s="4">
        <v>0.0</v>
      </c>
      <c r="M39" s="4">
        <v>0.0</v>
      </c>
      <c r="N39" s="6">
        <v>0.0</v>
      </c>
      <c r="O39" s="6">
        <v>4.0</v>
      </c>
      <c r="P39" s="6">
        <v>2.0</v>
      </c>
      <c r="Q39" s="6">
        <v>5.0</v>
      </c>
      <c r="R39" s="6">
        <v>4.0</v>
      </c>
    </row>
    <row r="40">
      <c r="A40" s="1" t="s">
        <v>103</v>
      </c>
      <c r="B40" s="1" t="s">
        <v>104</v>
      </c>
      <c r="C40" s="6">
        <v>188.0</v>
      </c>
      <c r="D40" s="6">
        <v>24.0</v>
      </c>
      <c r="E40" s="1" t="s">
        <v>64</v>
      </c>
      <c r="F40" s="1" t="s">
        <v>65</v>
      </c>
      <c r="G40" s="1" t="s">
        <v>42</v>
      </c>
      <c r="H40" s="6">
        <v>1.73</v>
      </c>
      <c r="I40" s="6">
        <v>78.8</v>
      </c>
      <c r="J40" s="5">
        <f t="shared" si="1"/>
        <v>26.32897858</v>
      </c>
      <c r="K40" s="6">
        <v>0.0</v>
      </c>
      <c r="L40" s="6">
        <v>0.0</v>
      </c>
      <c r="M40" s="6">
        <v>0.0</v>
      </c>
      <c r="N40" s="6">
        <v>0.0</v>
      </c>
      <c r="O40" s="6">
        <v>3.0</v>
      </c>
      <c r="P40" s="6">
        <v>3.0</v>
      </c>
      <c r="Q40" s="6">
        <v>1.0</v>
      </c>
      <c r="R40" s="6">
        <v>1.0</v>
      </c>
      <c r="S40" s="1" t="s">
        <v>68</v>
      </c>
    </row>
    <row r="41">
      <c r="A41" s="1" t="s">
        <v>105</v>
      </c>
      <c r="B41" s="1" t="s">
        <v>106</v>
      </c>
      <c r="C41" s="6">
        <v>189.0</v>
      </c>
      <c r="D41" s="6">
        <v>24.0</v>
      </c>
      <c r="E41" s="1" t="s">
        <v>64</v>
      </c>
      <c r="F41" s="1" t="s">
        <v>65</v>
      </c>
      <c r="G41" s="1" t="s">
        <v>42</v>
      </c>
      <c r="H41" s="6">
        <v>1.62</v>
      </c>
      <c r="I41" s="6">
        <v>61.3</v>
      </c>
      <c r="J41" s="5">
        <f t="shared" si="1"/>
        <v>23.35771986</v>
      </c>
      <c r="K41" s="6">
        <v>0.0</v>
      </c>
      <c r="L41" s="6">
        <v>0.0</v>
      </c>
      <c r="M41" s="6">
        <v>0.0</v>
      </c>
      <c r="N41" s="6">
        <v>0.0</v>
      </c>
      <c r="O41" s="6">
        <v>4.0</v>
      </c>
      <c r="P41" s="6">
        <v>3.0</v>
      </c>
      <c r="Q41" s="12" t="s">
        <v>57</v>
      </c>
      <c r="R41" s="12" t="s">
        <v>57</v>
      </c>
      <c r="S41" s="1" t="s">
        <v>68</v>
      </c>
    </row>
    <row r="42">
      <c r="A42" s="1" t="s">
        <v>107</v>
      </c>
      <c r="B42" s="3" t="s">
        <v>108</v>
      </c>
      <c r="C42" s="13" t="s">
        <v>109</v>
      </c>
      <c r="D42" s="6">
        <v>34.0</v>
      </c>
      <c r="E42" s="1" t="s">
        <v>21</v>
      </c>
      <c r="F42" s="14" t="s">
        <v>22</v>
      </c>
      <c r="G42" s="14" t="s">
        <v>110</v>
      </c>
      <c r="H42" s="6">
        <v>1.55</v>
      </c>
      <c r="I42" s="6">
        <v>54.0</v>
      </c>
      <c r="J42" s="6">
        <v>22.476586888657646</v>
      </c>
      <c r="K42" s="13">
        <v>0.0</v>
      </c>
      <c r="L42" s="13">
        <v>0.0</v>
      </c>
      <c r="M42" s="14">
        <v>0.0</v>
      </c>
      <c r="N42" s="14">
        <v>0.0</v>
      </c>
      <c r="O42" s="6">
        <v>4.0</v>
      </c>
      <c r="P42" s="6">
        <v>3.0</v>
      </c>
      <c r="Q42" s="6">
        <v>4.0</v>
      </c>
      <c r="R42" s="6">
        <v>4.0</v>
      </c>
    </row>
    <row r="43">
      <c r="A43" s="3" t="s">
        <v>111</v>
      </c>
      <c r="B43" s="13" t="s">
        <v>112</v>
      </c>
      <c r="C43" s="3" t="s">
        <v>113</v>
      </c>
      <c r="D43" s="6">
        <v>25.0</v>
      </c>
      <c r="E43" s="1" t="s">
        <v>21</v>
      </c>
      <c r="F43" s="14" t="s">
        <v>22</v>
      </c>
      <c r="G43" s="14" t="s">
        <v>110</v>
      </c>
      <c r="H43" s="6">
        <v>1.63</v>
      </c>
      <c r="I43" s="6">
        <v>79.5</v>
      </c>
      <c r="J43" s="6">
        <v>29.922089653355417</v>
      </c>
      <c r="K43" s="13">
        <v>0.0</v>
      </c>
      <c r="L43" s="3">
        <v>0.0</v>
      </c>
      <c r="M43" s="13" t="s">
        <v>114</v>
      </c>
      <c r="N43" s="3">
        <v>0.0</v>
      </c>
      <c r="O43" s="6">
        <v>3.0</v>
      </c>
      <c r="P43" s="6">
        <v>4.0</v>
      </c>
      <c r="Q43" s="6">
        <v>2.0</v>
      </c>
      <c r="R43" s="6">
        <v>2.0</v>
      </c>
    </row>
    <row r="44">
      <c r="A44" s="3" t="s">
        <v>115</v>
      </c>
      <c r="B44" s="13" t="s">
        <v>116</v>
      </c>
      <c r="C44" s="3" t="s">
        <v>117</v>
      </c>
      <c r="D44" s="6">
        <v>46.0</v>
      </c>
      <c r="E44" s="1" t="s">
        <v>21</v>
      </c>
      <c r="F44" s="14" t="s">
        <v>22</v>
      </c>
      <c r="G44" s="14" t="s">
        <v>110</v>
      </c>
      <c r="H44" s="6">
        <v>1.54</v>
      </c>
      <c r="I44" s="6">
        <v>62.9</v>
      </c>
      <c r="J44" s="6">
        <v>26.52217911958172</v>
      </c>
      <c r="K44" s="1" t="s">
        <v>118</v>
      </c>
      <c r="L44" s="3" t="s">
        <v>119</v>
      </c>
      <c r="M44" s="1" t="s">
        <v>120</v>
      </c>
      <c r="N44" s="3">
        <v>0.0</v>
      </c>
      <c r="O44" s="6">
        <v>4.0</v>
      </c>
      <c r="P44" s="6">
        <v>4.0</v>
      </c>
      <c r="Q44" s="6">
        <v>2.0</v>
      </c>
      <c r="R44" s="6">
        <v>4.0</v>
      </c>
    </row>
    <row r="45">
      <c r="A45" s="3" t="s">
        <v>121</v>
      </c>
      <c r="B45" s="13" t="s">
        <v>122</v>
      </c>
      <c r="C45" s="3" t="s">
        <v>123</v>
      </c>
      <c r="D45" s="6">
        <v>31.0</v>
      </c>
      <c r="E45" s="1" t="s">
        <v>21</v>
      </c>
      <c r="F45" s="14" t="s">
        <v>22</v>
      </c>
      <c r="G45" s="14" t="s">
        <v>110</v>
      </c>
      <c r="H45" s="6">
        <v>1.53</v>
      </c>
      <c r="I45" s="6">
        <v>64.7</v>
      </c>
      <c r="J45" s="6">
        <v>27.638942287154514</v>
      </c>
      <c r="K45" s="13">
        <v>0.0</v>
      </c>
      <c r="L45" s="3">
        <v>0.0</v>
      </c>
      <c r="M45" s="13">
        <v>0.0</v>
      </c>
      <c r="N45" s="3">
        <v>0.0</v>
      </c>
      <c r="O45" s="6">
        <v>4.0</v>
      </c>
      <c r="P45" s="6">
        <v>5.0</v>
      </c>
      <c r="Q45" s="6">
        <v>4.0</v>
      </c>
      <c r="R45" s="6">
        <v>4.0</v>
      </c>
    </row>
    <row r="46">
      <c r="A46" s="3" t="s">
        <v>124</v>
      </c>
      <c r="B46" s="13" t="s">
        <v>125</v>
      </c>
      <c r="C46" s="3" t="s">
        <v>126</v>
      </c>
      <c r="D46" s="6">
        <v>32.0</v>
      </c>
      <c r="E46" s="1" t="s">
        <v>21</v>
      </c>
      <c r="F46" s="14" t="s">
        <v>22</v>
      </c>
      <c r="G46" s="14" t="s">
        <v>110</v>
      </c>
      <c r="H46" s="6">
        <v>1.63</v>
      </c>
      <c r="I46" s="6">
        <v>75.9</v>
      </c>
      <c r="J46" s="6">
        <v>28.567127103014794</v>
      </c>
      <c r="K46" s="13" t="s">
        <v>127</v>
      </c>
      <c r="L46" s="13" t="s">
        <v>128</v>
      </c>
      <c r="M46" s="13" t="s">
        <v>128</v>
      </c>
      <c r="N46" s="3">
        <v>0.0</v>
      </c>
      <c r="O46" s="6">
        <v>4.0</v>
      </c>
      <c r="P46" s="6">
        <v>3.0</v>
      </c>
      <c r="Q46" s="6">
        <v>2.0</v>
      </c>
      <c r="R46" s="6">
        <v>2.0</v>
      </c>
    </row>
    <row r="47">
      <c r="A47" s="3" t="s">
        <v>129</v>
      </c>
      <c r="B47" s="13" t="s">
        <v>130</v>
      </c>
      <c r="C47" s="3" t="s">
        <v>131</v>
      </c>
      <c r="D47" s="6">
        <v>40.0</v>
      </c>
      <c r="E47" s="1" t="s">
        <v>21</v>
      </c>
      <c r="F47" s="14" t="s">
        <v>22</v>
      </c>
      <c r="G47" s="14" t="s">
        <v>110</v>
      </c>
      <c r="H47" s="6">
        <v>1.45</v>
      </c>
      <c r="I47" s="6">
        <v>61.3</v>
      </c>
      <c r="J47" s="6">
        <v>29.15576694411415</v>
      </c>
      <c r="K47" s="13">
        <v>0.0</v>
      </c>
      <c r="L47" s="3">
        <v>0.0</v>
      </c>
      <c r="M47" s="13" t="s">
        <v>132</v>
      </c>
      <c r="N47" s="3">
        <v>0.0</v>
      </c>
      <c r="O47" s="6">
        <v>4.0</v>
      </c>
      <c r="P47" s="6">
        <v>3.0</v>
      </c>
      <c r="Q47" s="6">
        <v>4.0</v>
      </c>
      <c r="R47" s="6">
        <v>4.0</v>
      </c>
    </row>
    <row r="48">
      <c r="A48" s="3" t="s">
        <v>133</v>
      </c>
      <c r="B48" s="13" t="s">
        <v>134</v>
      </c>
      <c r="C48" s="3" t="s">
        <v>135</v>
      </c>
      <c r="D48" s="6">
        <v>41.0</v>
      </c>
      <c r="E48" s="1" t="s">
        <v>21</v>
      </c>
      <c r="F48" s="14" t="s">
        <v>22</v>
      </c>
      <c r="G48" s="14" t="s">
        <v>110</v>
      </c>
      <c r="H48" s="6">
        <v>1.53</v>
      </c>
      <c r="I48" s="6">
        <v>60.8</v>
      </c>
      <c r="J48" s="6">
        <v>25.972916399675338</v>
      </c>
      <c r="K48" s="13">
        <v>0.0</v>
      </c>
      <c r="L48" s="3">
        <v>0.0</v>
      </c>
      <c r="M48" s="13" t="s">
        <v>136</v>
      </c>
      <c r="N48" s="3">
        <v>0.0</v>
      </c>
      <c r="O48" s="6">
        <v>4.0</v>
      </c>
      <c r="P48" s="6">
        <v>3.0</v>
      </c>
      <c r="Q48" s="6">
        <v>4.0</v>
      </c>
      <c r="R48" s="6">
        <v>4.0</v>
      </c>
    </row>
    <row r="49">
      <c r="A49" s="3" t="s">
        <v>137</v>
      </c>
      <c r="B49" s="13" t="s">
        <v>138</v>
      </c>
      <c r="C49" s="3" t="s">
        <v>139</v>
      </c>
      <c r="D49" s="6">
        <v>45.0</v>
      </c>
      <c r="E49" s="1" t="s">
        <v>21</v>
      </c>
      <c r="F49" s="14" t="s">
        <v>22</v>
      </c>
      <c r="G49" s="14" t="s">
        <v>110</v>
      </c>
      <c r="H49" s="6">
        <v>1.68</v>
      </c>
      <c r="I49" s="6">
        <v>67.2</v>
      </c>
      <c r="J49" s="6">
        <v>23.809523809523814</v>
      </c>
      <c r="K49" s="13">
        <v>0.0</v>
      </c>
      <c r="L49" s="13">
        <v>0.0</v>
      </c>
      <c r="M49" s="3">
        <v>0.0</v>
      </c>
      <c r="N49" s="3">
        <v>0.0</v>
      </c>
      <c r="O49" s="6">
        <v>4.0</v>
      </c>
      <c r="P49" s="6">
        <v>4.0</v>
      </c>
      <c r="Q49" s="6">
        <v>4.0</v>
      </c>
      <c r="R49" s="6">
        <v>4.0</v>
      </c>
    </row>
    <row r="50">
      <c r="A50" s="3" t="s">
        <v>140</v>
      </c>
      <c r="B50" s="13" t="s">
        <v>141</v>
      </c>
      <c r="C50" s="3" t="s">
        <v>142</v>
      </c>
      <c r="D50" s="6">
        <v>35.0</v>
      </c>
      <c r="E50" s="1" t="s">
        <v>21</v>
      </c>
      <c r="F50" s="14" t="s">
        <v>22</v>
      </c>
      <c r="G50" s="14" t="s">
        <v>110</v>
      </c>
      <c r="H50" s="6">
        <v>1.67</v>
      </c>
      <c r="I50" s="6">
        <v>65.2</v>
      </c>
      <c r="J50" s="6">
        <v>23.378392914769265</v>
      </c>
      <c r="K50" s="13">
        <v>0.0</v>
      </c>
      <c r="L50" s="3">
        <v>0.0</v>
      </c>
      <c r="M50" s="3">
        <v>0.0</v>
      </c>
      <c r="N50" s="3">
        <v>0.0</v>
      </c>
      <c r="O50" s="6">
        <v>3.0</v>
      </c>
      <c r="P50" s="6">
        <v>4.0</v>
      </c>
      <c r="Q50" s="6">
        <v>2.0</v>
      </c>
      <c r="R50" s="6">
        <v>3.0</v>
      </c>
    </row>
    <row r="51">
      <c r="A51" s="3" t="s">
        <v>143</v>
      </c>
      <c r="B51" s="13" t="s">
        <v>144</v>
      </c>
      <c r="C51" s="3" t="s">
        <v>145</v>
      </c>
      <c r="D51" s="6">
        <v>41.0</v>
      </c>
      <c r="E51" s="1" t="s">
        <v>21</v>
      </c>
      <c r="F51" s="14" t="s">
        <v>22</v>
      </c>
      <c r="G51" s="14" t="s">
        <v>110</v>
      </c>
      <c r="H51" s="6">
        <v>1.51</v>
      </c>
      <c r="I51" s="6">
        <v>82.16</v>
      </c>
      <c r="J51" s="6">
        <v>36.0335073023113</v>
      </c>
      <c r="K51" s="13">
        <v>0.0</v>
      </c>
      <c r="L51" s="3">
        <v>0.0</v>
      </c>
      <c r="M51" s="3">
        <v>0.0</v>
      </c>
      <c r="N51" s="3">
        <v>0.0</v>
      </c>
      <c r="O51" s="6">
        <v>4.0</v>
      </c>
      <c r="P51" s="6">
        <v>3.0</v>
      </c>
      <c r="Q51" s="6">
        <v>4.0</v>
      </c>
      <c r="R51" s="6">
        <v>2.0</v>
      </c>
    </row>
    <row r="52">
      <c r="A52" s="1"/>
      <c r="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6"/>
      <c r="D54" s="1"/>
      <c r="E54" s="6"/>
      <c r="F54" s="6"/>
      <c r="G54" s="6"/>
      <c r="H54" s="6"/>
      <c r="I54" s="6"/>
      <c r="J54" s="6"/>
      <c r="K54" s="1"/>
      <c r="L54" s="6"/>
      <c r="M54" s="1"/>
      <c r="N54" s="6"/>
      <c r="O54" s="6"/>
      <c r="P54" s="6"/>
      <c r="Q54" s="6"/>
    </row>
    <row r="55">
      <c r="A55" s="1"/>
      <c r="B55" s="1"/>
      <c r="C55" s="6"/>
      <c r="D55" s="1"/>
      <c r="E55" s="6"/>
      <c r="F55" s="6"/>
      <c r="G55" s="6"/>
      <c r="H55" s="6"/>
      <c r="I55" s="6"/>
      <c r="J55" s="6"/>
      <c r="K55" s="1"/>
      <c r="L55" s="6"/>
      <c r="M55" s="1"/>
      <c r="N55" s="6"/>
      <c r="O55" s="6"/>
      <c r="P55" s="6"/>
      <c r="Q55" s="6"/>
    </row>
    <row r="56">
      <c r="A56" s="1"/>
      <c r="B56" s="1"/>
      <c r="C56" s="6"/>
      <c r="D56" s="1"/>
      <c r="E56" s="6"/>
      <c r="F56" s="6"/>
      <c r="G56" s="6"/>
      <c r="H56" s="6"/>
      <c r="I56" s="6"/>
      <c r="J56" s="6"/>
      <c r="K56" s="1"/>
      <c r="L56" s="6"/>
      <c r="M56" s="1"/>
      <c r="N56" s="6"/>
      <c r="O56" s="6"/>
      <c r="P56" s="6"/>
      <c r="Q56" s="6"/>
    </row>
    <row r="57">
      <c r="A57" s="1"/>
      <c r="B57" s="1"/>
      <c r="C57" s="6"/>
      <c r="D57" s="1"/>
      <c r="E57" s="6"/>
      <c r="F57" s="6"/>
      <c r="G57" s="6"/>
      <c r="H57" s="6"/>
      <c r="I57" s="6"/>
      <c r="J57" s="6"/>
      <c r="K57" s="1"/>
      <c r="L57" s="6"/>
      <c r="M57" s="1"/>
      <c r="N57" s="6"/>
      <c r="O57" s="6"/>
      <c r="P57" s="6"/>
      <c r="Q57" s="6"/>
    </row>
    <row r="58">
      <c r="A58" s="1"/>
      <c r="B58" s="1"/>
      <c r="C58" s="6"/>
      <c r="D58" s="1"/>
      <c r="E58" s="6"/>
      <c r="F58" s="6"/>
      <c r="G58" s="6"/>
      <c r="H58" s="6"/>
      <c r="I58" s="6"/>
      <c r="J58" s="6"/>
      <c r="K58" s="1"/>
      <c r="L58" s="6"/>
      <c r="M58" s="1"/>
      <c r="N58" s="6"/>
      <c r="O58" s="6"/>
      <c r="P58" s="6"/>
      <c r="Q58" s="6"/>
    </row>
    <row r="59">
      <c r="A59" s="1"/>
      <c r="B59" s="1"/>
      <c r="C59" s="6"/>
      <c r="D59" s="1"/>
      <c r="E59" s="6"/>
      <c r="F59" s="6"/>
      <c r="G59" s="6"/>
      <c r="H59" s="6"/>
      <c r="I59" s="6"/>
      <c r="J59" s="6"/>
      <c r="K59" s="1"/>
      <c r="L59" s="6"/>
      <c r="M59" s="1"/>
      <c r="N59" s="6"/>
      <c r="O59" s="6"/>
      <c r="P59" s="6"/>
      <c r="Q59" s="6"/>
    </row>
    <row r="60">
      <c r="A60" s="1"/>
      <c r="B60" s="1"/>
      <c r="C60" s="6"/>
      <c r="D60" s="1"/>
      <c r="E60" s="6"/>
      <c r="F60" s="6"/>
      <c r="G60" s="6"/>
      <c r="H60" s="6"/>
      <c r="I60" s="6"/>
      <c r="J60" s="6"/>
      <c r="K60" s="1"/>
      <c r="L60" s="6"/>
      <c r="M60" s="1"/>
      <c r="N60" s="6"/>
      <c r="O60" s="6"/>
      <c r="P60" s="6"/>
      <c r="Q60" s="6"/>
    </row>
    <row r="61">
      <c r="A61" s="1"/>
      <c r="B61" s="1"/>
      <c r="C61" s="6"/>
      <c r="D61" s="1"/>
      <c r="E61" s="6"/>
      <c r="F61" s="6"/>
      <c r="G61" s="6"/>
      <c r="H61" s="6"/>
      <c r="I61" s="6"/>
      <c r="J61" s="6"/>
      <c r="K61" s="1"/>
      <c r="L61" s="6"/>
      <c r="M61" s="1"/>
      <c r="N61" s="6"/>
      <c r="O61" s="6"/>
      <c r="P61" s="6"/>
      <c r="Q61" s="6"/>
    </row>
    <row r="62">
      <c r="A62" s="1"/>
      <c r="B62" s="1"/>
      <c r="C62" s="6"/>
      <c r="D62" s="1"/>
      <c r="E62" s="6"/>
      <c r="F62" s="6"/>
      <c r="G62" s="6"/>
      <c r="H62" s="6"/>
      <c r="I62" s="6"/>
      <c r="J62" s="6"/>
      <c r="K62" s="1"/>
      <c r="L62" s="6"/>
      <c r="M62" s="1"/>
      <c r="N62" s="6"/>
      <c r="O62" s="6"/>
      <c r="P62" s="6"/>
      <c r="Q62" s="6"/>
    </row>
    <row r="63">
      <c r="A63" s="1"/>
      <c r="B63" s="1"/>
      <c r="C63" s="6"/>
      <c r="D63" s="1"/>
      <c r="E63" s="6"/>
      <c r="F63" s="6"/>
      <c r="G63" s="6"/>
      <c r="H63" s="6"/>
      <c r="I63" s="6"/>
      <c r="J63" s="6"/>
      <c r="K63" s="1"/>
      <c r="L63" s="6"/>
      <c r="M63" s="1"/>
      <c r="N63" s="6"/>
      <c r="O63" s="6"/>
      <c r="P63" s="6"/>
      <c r="Q63" s="6"/>
    </row>
  </sheetData>
  <drawing r:id="rId2"/>
  <legacyDrawing r:id="rId3"/>
</worksheet>
</file>