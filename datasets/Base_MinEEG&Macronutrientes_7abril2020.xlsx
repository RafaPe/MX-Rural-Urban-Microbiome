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mac/Google Drive/Proyectos/Base de datos Generales Proyectos Montaña-Cuidad/"/>
    </mc:Choice>
  </mc:AlternateContent>
  <xr:revisionPtr revIDLastSave="0" documentId="13_ncr:1_{5B71799D-C9B5-984E-9C67-A2BDC65CFE26}" xr6:coauthVersionLast="45" xr6:coauthVersionMax="45" xr10:uidLastSave="{00000000-0000-0000-0000-000000000000}"/>
  <bookViews>
    <workbookView xWindow="1540" yWindow="8120" windowWidth="14400" windowHeight="9660" activeTab="1" xr2:uid="{00000000-000D-0000-FFFF-FFFF00000000}"/>
  </bookViews>
  <sheets>
    <sheet name="Tabla EEG(Para Montaña)" sheetId="1" r:id="rId1"/>
    <sheet name="Puntaje Z (proteína)" sheetId="3" r:id="rId2"/>
    <sheet name="Proteína" sheetId="5" r:id="rId3"/>
    <sheet name="Puntaje Z (Lípidos)" sheetId="8" r:id="rId4"/>
    <sheet name="Lípidos" sheetId="10" r:id="rId5"/>
    <sheet name="Medidas antropométricas(Montaña" sheetId="6" r:id="rId6"/>
    <sheet name="Niños Montaña Resumen " sheetId="7" r:id="rId7"/>
    <sheet name="Antropometricas (Ciudad)" sheetId="9" r:id="rId8"/>
  </sheets>
  <definedNames>
    <definedName name="Z_CCD90A06_F9A0_47F4_B370_3694B372724D_.wvu.FilterData" localSheetId="0" hidden="1">'Tabla EEG(Para Montaña)'!$F$1:$F$1003</definedName>
  </definedNames>
  <calcPr calcId="191029"/>
  <customWorkbookViews>
    <customWorkbookView name="Filtro 1" guid="{CCD90A06-F9A0-47F4-B370-3694B372724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3" l="1"/>
  <c r="E39" i="3"/>
  <c r="E37" i="3"/>
  <c r="G3" i="3" l="1"/>
  <c r="G28" i="5"/>
  <c r="G4" i="5"/>
  <c r="F5" i="3" l="1"/>
  <c r="F2" i="3"/>
  <c r="AN43" i="10" l="1"/>
  <c r="AJ43" i="10"/>
  <c r="AB43" i="10"/>
  <c r="X43" i="10"/>
  <c r="T43" i="10"/>
  <c r="P43" i="10"/>
  <c r="L43" i="10"/>
  <c r="H43" i="10"/>
  <c r="AN42" i="10"/>
  <c r="AJ42" i="10"/>
  <c r="AB42" i="10"/>
  <c r="X42" i="10"/>
  <c r="T42" i="10"/>
  <c r="P42" i="10"/>
  <c r="L42" i="10"/>
  <c r="H42" i="10"/>
  <c r="AN41" i="10"/>
  <c r="AJ41" i="10"/>
  <c r="AB41" i="10"/>
  <c r="X41" i="10"/>
  <c r="T41" i="10"/>
  <c r="P41" i="10"/>
  <c r="L41" i="10"/>
  <c r="H41" i="10"/>
  <c r="AN40" i="10"/>
  <c r="AJ40" i="10"/>
  <c r="AB40" i="10"/>
  <c r="X40" i="10"/>
  <c r="T40" i="10"/>
  <c r="P40" i="10"/>
  <c r="L40" i="10"/>
  <c r="H40" i="10"/>
  <c r="AN39" i="10"/>
  <c r="AJ39" i="10"/>
  <c r="AB39" i="10"/>
  <c r="X39" i="10"/>
  <c r="T39" i="10"/>
  <c r="P39" i="10"/>
  <c r="L39" i="10"/>
  <c r="H39" i="10"/>
  <c r="AN38" i="10"/>
  <c r="AJ38" i="10"/>
  <c r="AB38" i="10"/>
  <c r="X38" i="10"/>
  <c r="T38" i="10"/>
  <c r="P38" i="10"/>
  <c r="L38" i="10"/>
  <c r="H38" i="10"/>
  <c r="AN37" i="10"/>
  <c r="AJ37" i="10"/>
  <c r="AB37" i="10"/>
  <c r="X37" i="10"/>
  <c r="T37" i="10"/>
  <c r="P37" i="10"/>
  <c r="L37" i="10"/>
  <c r="H37" i="10"/>
  <c r="AN36" i="10"/>
  <c r="AJ36" i="10"/>
  <c r="AB36" i="10"/>
  <c r="X36" i="10"/>
  <c r="T36" i="10"/>
  <c r="P36" i="10"/>
  <c r="L36" i="10"/>
  <c r="H36" i="10"/>
  <c r="AN35" i="10"/>
  <c r="AJ35" i="10"/>
  <c r="AB35" i="10"/>
  <c r="X35" i="10"/>
  <c r="T35" i="10"/>
  <c r="P35" i="10"/>
  <c r="L35" i="10"/>
  <c r="H35" i="10"/>
  <c r="AN34" i="10"/>
  <c r="AJ34" i="10"/>
  <c r="AB34" i="10"/>
  <c r="X34" i="10"/>
  <c r="T34" i="10"/>
  <c r="P34" i="10"/>
  <c r="L34" i="10"/>
  <c r="H34" i="10"/>
  <c r="AN33" i="10"/>
  <c r="AJ33" i="10"/>
  <c r="AB33" i="10"/>
  <c r="X33" i="10"/>
  <c r="T33" i="10"/>
  <c r="P33" i="10"/>
  <c r="L33" i="10"/>
  <c r="H33" i="10"/>
  <c r="AN32" i="10"/>
  <c r="AJ32" i="10"/>
  <c r="AB32" i="10"/>
  <c r="X32" i="10"/>
  <c r="T32" i="10"/>
  <c r="P32" i="10"/>
  <c r="L32" i="10"/>
  <c r="H32" i="10"/>
  <c r="AN31" i="10"/>
  <c r="AJ31" i="10"/>
  <c r="AB31" i="10"/>
  <c r="X31" i="10"/>
  <c r="T31" i="10"/>
  <c r="P31" i="10"/>
  <c r="L31" i="10"/>
  <c r="H31" i="10"/>
  <c r="AN30" i="10"/>
  <c r="AJ30" i="10"/>
  <c r="AB30" i="10"/>
  <c r="X30" i="10"/>
  <c r="T30" i="10"/>
  <c r="P30" i="10"/>
  <c r="L30" i="10"/>
  <c r="H30" i="10"/>
  <c r="AN29" i="10"/>
  <c r="AJ29" i="10"/>
  <c r="AB29" i="10"/>
  <c r="X29" i="10"/>
  <c r="T29" i="10"/>
  <c r="P29" i="10"/>
  <c r="L29" i="10"/>
  <c r="H29" i="10"/>
  <c r="AN28" i="10"/>
  <c r="AJ28" i="10"/>
  <c r="AB28" i="10"/>
  <c r="X28" i="10"/>
  <c r="T28" i="10"/>
  <c r="P28" i="10"/>
  <c r="L28" i="10"/>
  <c r="H28" i="10"/>
  <c r="AN27" i="10"/>
  <c r="AJ27" i="10"/>
  <c r="AB27" i="10"/>
  <c r="X27" i="10"/>
  <c r="T27" i="10"/>
  <c r="P27" i="10"/>
  <c r="L27" i="10"/>
  <c r="H27" i="10"/>
  <c r="AN26" i="10"/>
  <c r="AJ26" i="10"/>
  <c r="AB26" i="10"/>
  <c r="X26" i="10"/>
  <c r="T26" i="10"/>
  <c r="P26" i="10"/>
  <c r="L26" i="10"/>
  <c r="H26" i="10"/>
  <c r="AN25" i="10"/>
  <c r="AJ25" i="10"/>
  <c r="AB25" i="10"/>
  <c r="X25" i="10"/>
  <c r="T25" i="10"/>
  <c r="P25" i="10"/>
  <c r="L25" i="10"/>
  <c r="H25" i="10"/>
  <c r="AN20" i="10"/>
  <c r="AJ20" i="10"/>
  <c r="AI20" i="10"/>
  <c r="AE20" i="10"/>
  <c r="AB20" i="10"/>
  <c r="X20" i="10"/>
  <c r="W20" i="10"/>
  <c r="T20" i="10"/>
  <c r="P20" i="10"/>
  <c r="L20" i="10"/>
  <c r="H20" i="10"/>
  <c r="AN19" i="10"/>
  <c r="AJ19" i="10"/>
  <c r="AB19" i="10"/>
  <c r="X19" i="10"/>
  <c r="T19" i="10"/>
  <c r="P19" i="10"/>
  <c r="L19" i="10"/>
  <c r="H19" i="10"/>
  <c r="AN18" i="10"/>
  <c r="AJ18" i="10"/>
  <c r="AB18" i="10"/>
  <c r="X18" i="10"/>
  <c r="T18" i="10"/>
  <c r="P18" i="10"/>
  <c r="L18" i="10"/>
  <c r="H18" i="10"/>
  <c r="AN17" i="10"/>
  <c r="AJ17" i="10"/>
  <c r="AB17" i="10"/>
  <c r="X17" i="10"/>
  <c r="T17" i="10"/>
  <c r="P17" i="10"/>
  <c r="L17" i="10"/>
  <c r="H17" i="10"/>
  <c r="AN16" i="10"/>
  <c r="AJ16" i="10"/>
  <c r="AB16" i="10"/>
  <c r="X16" i="10"/>
  <c r="T16" i="10"/>
  <c r="P16" i="10"/>
  <c r="L16" i="10"/>
  <c r="H16" i="10"/>
  <c r="AN15" i="10"/>
  <c r="AJ15" i="10"/>
  <c r="AB15" i="10"/>
  <c r="X15" i="10"/>
  <c r="T15" i="10"/>
  <c r="P15" i="10"/>
  <c r="L15" i="10"/>
  <c r="H15" i="10"/>
  <c r="AN14" i="10"/>
  <c r="AJ14" i="10"/>
  <c r="AI14" i="10"/>
  <c r="AB14" i="10"/>
  <c r="X14" i="10"/>
  <c r="T14" i="10"/>
  <c r="P14" i="10"/>
  <c r="L14" i="10"/>
  <c r="H14" i="10"/>
  <c r="AN13" i="10"/>
  <c r="AJ13" i="10"/>
  <c r="AI13" i="10"/>
  <c r="AB13" i="10"/>
  <c r="X13" i="10"/>
  <c r="W13" i="10"/>
  <c r="T13" i="10"/>
  <c r="P13" i="10"/>
  <c r="L13" i="10"/>
  <c r="H13" i="10"/>
  <c r="AN12" i="10"/>
  <c r="AI12" i="10"/>
  <c r="AJ12" i="10" s="1"/>
  <c r="AE12" i="10"/>
  <c r="AB12" i="10"/>
  <c r="W12" i="10"/>
  <c r="X12" i="10" s="1"/>
  <c r="T12" i="10"/>
  <c r="P12" i="10"/>
  <c r="L12" i="10"/>
  <c r="H12" i="10"/>
  <c r="AN11" i="10"/>
  <c r="AJ11" i="10"/>
  <c r="AI11" i="10"/>
  <c r="AE11" i="10"/>
  <c r="AB11" i="10"/>
  <c r="X11" i="10"/>
  <c r="W11" i="10"/>
  <c r="T11" i="10"/>
  <c r="P11" i="10"/>
  <c r="L11" i="10"/>
  <c r="H11" i="10"/>
  <c r="AN10" i="10"/>
  <c r="AI10" i="10"/>
  <c r="AJ10" i="10" s="1"/>
  <c r="AE10" i="10"/>
  <c r="AB10" i="10"/>
  <c r="W10" i="10"/>
  <c r="X10" i="10" s="1"/>
  <c r="T10" i="10"/>
  <c r="P10" i="10"/>
  <c r="L10" i="10"/>
  <c r="H10" i="10"/>
  <c r="AN9" i="10"/>
  <c r="AI9" i="10"/>
  <c r="AJ9" i="10" s="1"/>
  <c r="AE9" i="10"/>
  <c r="AB9" i="10"/>
  <c r="W9" i="10"/>
  <c r="X9" i="10" s="1"/>
  <c r="T9" i="10"/>
  <c r="P9" i="10"/>
  <c r="L9" i="10"/>
  <c r="H9" i="10"/>
  <c r="AN8" i="10"/>
  <c r="AJ8" i="10"/>
  <c r="AI8" i="10"/>
  <c r="AF8" i="10"/>
  <c r="AE8" i="10"/>
  <c r="AB8" i="10"/>
  <c r="W8" i="10"/>
  <c r="X8" i="10" s="1"/>
  <c r="T8" i="10"/>
  <c r="P8" i="10"/>
  <c r="L8" i="10"/>
  <c r="H8" i="10"/>
  <c r="AN7" i="10"/>
  <c r="AI7" i="10"/>
  <c r="AJ7" i="10" s="1"/>
  <c r="AE7" i="10"/>
  <c r="AB7" i="10"/>
  <c r="W7" i="10"/>
  <c r="X7" i="10" s="1"/>
  <c r="T7" i="10"/>
  <c r="P7" i="10"/>
  <c r="L7" i="10"/>
  <c r="H7" i="10"/>
  <c r="AN6" i="10"/>
  <c r="AI6" i="10"/>
  <c r="AJ6" i="10" s="1"/>
  <c r="AB6" i="10"/>
  <c r="X6" i="10"/>
  <c r="T6" i="10"/>
  <c r="P6" i="10"/>
  <c r="L6" i="10"/>
  <c r="H6" i="10"/>
  <c r="AN5" i="10"/>
  <c r="AJ5" i="10"/>
  <c r="AI5" i="10"/>
  <c r="AB5" i="10"/>
  <c r="X5" i="10"/>
  <c r="T5" i="10"/>
  <c r="P5" i="10"/>
  <c r="L5" i="10"/>
  <c r="H5" i="10"/>
  <c r="AM4" i="10"/>
  <c r="AN4" i="10" s="1"/>
  <c r="AI4" i="10"/>
  <c r="AJ4" i="10" s="1"/>
  <c r="AE4" i="10"/>
  <c r="AA4" i="10"/>
  <c r="AB4" i="10" s="1"/>
  <c r="W4" i="10"/>
  <c r="X4" i="10" s="1"/>
  <c r="T4" i="10"/>
  <c r="P4" i="10"/>
  <c r="L4" i="10"/>
  <c r="H4" i="10"/>
  <c r="G4" i="10" s="1"/>
  <c r="AF2" i="10"/>
  <c r="AF40" i="10" s="1"/>
  <c r="AP40" i="10" s="1"/>
  <c r="AO40" i="10" s="1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1" i="9"/>
  <c r="I10" i="9"/>
  <c r="I9" i="9"/>
  <c r="I8" i="9"/>
  <c r="I7" i="9"/>
  <c r="I6" i="9"/>
  <c r="I5" i="9"/>
  <c r="I4" i="9"/>
  <c r="I2" i="9"/>
  <c r="F37" i="8"/>
  <c r="F38" i="8" s="1"/>
  <c r="E37" i="8"/>
  <c r="E38" i="8" s="1"/>
  <c r="F36" i="8"/>
  <c r="E36" i="8"/>
  <c r="K42" i="6"/>
  <c r="K43" i="6" s="1"/>
  <c r="M31" i="6" s="1"/>
  <c r="H42" i="6"/>
  <c r="H43" i="6" s="1"/>
  <c r="G42" i="6"/>
  <c r="G43" i="6" s="1"/>
  <c r="F42" i="6"/>
  <c r="F43" i="6" s="1"/>
  <c r="K41" i="6"/>
  <c r="M35" i="6" s="1"/>
  <c r="H41" i="6"/>
  <c r="G41" i="6"/>
  <c r="F41" i="6"/>
  <c r="L17" i="6" s="1"/>
  <c r="L40" i="6"/>
  <c r="N39" i="6"/>
  <c r="I19" i="6"/>
  <c r="L16" i="6"/>
  <c r="I16" i="6"/>
  <c r="L15" i="6"/>
  <c r="L13" i="6"/>
  <c r="L12" i="6"/>
  <c r="L11" i="6"/>
  <c r="M10" i="6"/>
  <c r="L10" i="6"/>
  <c r="L9" i="6"/>
  <c r="L8" i="6"/>
  <c r="L7" i="6"/>
  <c r="L6" i="6"/>
  <c r="L5" i="6"/>
  <c r="L4" i="6"/>
  <c r="L3" i="6"/>
  <c r="AD47" i="5"/>
  <c r="Z47" i="5"/>
  <c r="V47" i="5"/>
  <c r="R47" i="5"/>
  <c r="N47" i="5"/>
  <c r="AE46" i="5"/>
  <c r="AA46" i="5"/>
  <c r="W46" i="5"/>
  <c r="S46" i="5"/>
  <c r="AF46" i="5" s="1"/>
  <c r="O46" i="5"/>
  <c r="K46" i="5"/>
  <c r="G46" i="5"/>
  <c r="AE45" i="5"/>
  <c r="AA45" i="5"/>
  <c r="W45" i="5"/>
  <c r="S45" i="5"/>
  <c r="O45" i="5"/>
  <c r="K45" i="5"/>
  <c r="G45" i="5"/>
  <c r="AE44" i="5"/>
  <c r="AA44" i="5"/>
  <c r="W44" i="5"/>
  <c r="S44" i="5"/>
  <c r="O44" i="5"/>
  <c r="K44" i="5"/>
  <c r="G44" i="5"/>
  <c r="AE43" i="5"/>
  <c r="AA43" i="5"/>
  <c r="W43" i="5"/>
  <c r="S43" i="5"/>
  <c r="O43" i="5"/>
  <c r="K43" i="5"/>
  <c r="G43" i="5"/>
  <c r="AE42" i="5"/>
  <c r="AA42" i="5"/>
  <c r="W42" i="5"/>
  <c r="S42" i="5"/>
  <c r="AF42" i="5" s="1"/>
  <c r="O42" i="5"/>
  <c r="K42" i="5"/>
  <c r="G42" i="5"/>
  <c r="AE41" i="5"/>
  <c r="AA41" i="5"/>
  <c r="W41" i="5"/>
  <c r="S41" i="5"/>
  <c r="O41" i="5"/>
  <c r="K41" i="5"/>
  <c r="G41" i="5"/>
  <c r="AE40" i="5"/>
  <c r="AA40" i="5"/>
  <c r="W40" i="5"/>
  <c r="S40" i="5"/>
  <c r="O40" i="5"/>
  <c r="K40" i="5"/>
  <c r="G40" i="5"/>
  <c r="AE39" i="5"/>
  <c r="AA39" i="5"/>
  <c r="W39" i="5"/>
  <c r="S39" i="5"/>
  <c r="O39" i="5"/>
  <c r="K39" i="5"/>
  <c r="G39" i="5"/>
  <c r="AE38" i="5"/>
  <c r="AA38" i="5"/>
  <c r="W38" i="5"/>
  <c r="S38" i="5"/>
  <c r="AF38" i="5" s="1"/>
  <c r="O38" i="5"/>
  <c r="K38" i="5"/>
  <c r="G38" i="5"/>
  <c r="AE37" i="5"/>
  <c r="AA37" i="5"/>
  <c r="W37" i="5"/>
  <c r="S37" i="5"/>
  <c r="O37" i="5"/>
  <c r="K37" i="5"/>
  <c r="G37" i="5"/>
  <c r="AE36" i="5"/>
  <c r="AA36" i="5"/>
  <c r="W36" i="5"/>
  <c r="S36" i="5"/>
  <c r="O36" i="5"/>
  <c r="K36" i="5"/>
  <c r="G36" i="5"/>
  <c r="AE35" i="5"/>
  <c r="AA35" i="5"/>
  <c r="W35" i="5"/>
  <c r="S35" i="5"/>
  <c r="O35" i="5"/>
  <c r="K35" i="5"/>
  <c r="G35" i="5"/>
  <c r="AE34" i="5"/>
  <c r="AA34" i="5"/>
  <c r="W34" i="5"/>
  <c r="S34" i="5"/>
  <c r="AF34" i="5" s="1"/>
  <c r="O34" i="5"/>
  <c r="K34" i="5"/>
  <c r="G34" i="5"/>
  <c r="AE33" i="5"/>
  <c r="AA33" i="5"/>
  <c r="W33" i="5"/>
  <c r="S33" i="5"/>
  <c r="O33" i="5"/>
  <c r="K33" i="5"/>
  <c r="G33" i="5"/>
  <c r="AE32" i="5"/>
  <c r="AA32" i="5"/>
  <c r="W32" i="5"/>
  <c r="S32" i="5"/>
  <c r="O32" i="5"/>
  <c r="K32" i="5"/>
  <c r="G32" i="5"/>
  <c r="AE31" i="5"/>
  <c r="AA31" i="5"/>
  <c r="W31" i="5"/>
  <c r="S31" i="5"/>
  <c r="O31" i="5"/>
  <c r="K31" i="5"/>
  <c r="G31" i="5"/>
  <c r="AE30" i="5"/>
  <c r="AA30" i="5"/>
  <c r="W30" i="5"/>
  <c r="S30" i="5"/>
  <c r="O30" i="5"/>
  <c r="K30" i="5"/>
  <c r="G30" i="5"/>
  <c r="AN29" i="5"/>
  <c r="AE29" i="5"/>
  <c r="AA29" i="5"/>
  <c r="W29" i="5"/>
  <c r="S29" i="5"/>
  <c r="O29" i="5"/>
  <c r="K29" i="5"/>
  <c r="G29" i="5"/>
  <c r="AN28" i="5"/>
  <c r="AE28" i="5"/>
  <c r="AA28" i="5"/>
  <c r="W28" i="5"/>
  <c r="S28" i="5"/>
  <c r="O28" i="5"/>
  <c r="K28" i="5"/>
  <c r="AE21" i="5"/>
  <c r="AA21" i="5"/>
  <c r="W21" i="5"/>
  <c r="K21" i="5"/>
  <c r="G21" i="5"/>
  <c r="AE20" i="5"/>
  <c r="Z20" i="5"/>
  <c r="AA20" i="5" s="1"/>
  <c r="W20" i="5"/>
  <c r="S20" i="5"/>
  <c r="O20" i="5"/>
  <c r="K20" i="5"/>
  <c r="G20" i="5"/>
  <c r="AE19" i="5"/>
  <c r="AA19" i="5"/>
  <c r="W19" i="5"/>
  <c r="S19" i="5"/>
  <c r="AF19" i="5" s="1"/>
  <c r="O19" i="5"/>
  <c r="K19" i="5"/>
  <c r="G19" i="5"/>
  <c r="AE18" i="5"/>
  <c r="AA18" i="5"/>
  <c r="W18" i="5"/>
  <c r="S18" i="5"/>
  <c r="O18" i="5"/>
  <c r="K18" i="5"/>
  <c r="G18" i="5"/>
  <c r="AE17" i="5"/>
  <c r="AA17" i="5"/>
  <c r="W17" i="5"/>
  <c r="S17" i="5"/>
  <c r="O17" i="5"/>
  <c r="K17" i="5"/>
  <c r="G17" i="5"/>
  <c r="AE16" i="5"/>
  <c r="AA16" i="5"/>
  <c r="W16" i="5"/>
  <c r="S16" i="5"/>
  <c r="O16" i="5"/>
  <c r="K16" i="5"/>
  <c r="G16" i="5"/>
  <c r="AE15" i="5"/>
  <c r="AA15" i="5"/>
  <c r="W15" i="5"/>
  <c r="S15" i="5"/>
  <c r="AF15" i="5" s="1"/>
  <c r="O15" i="5"/>
  <c r="K15" i="5"/>
  <c r="G15" i="5"/>
  <c r="AE14" i="5"/>
  <c r="Z14" i="5"/>
  <c r="AA14" i="5" s="1"/>
  <c r="W14" i="5"/>
  <c r="S14" i="5"/>
  <c r="O14" i="5"/>
  <c r="K14" i="5"/>
  <c r="G14" i="5"/>
  <c r="AE13" i="5"/>
  <c r="Z13" i="5"/>
  <c r="AA13" i="5" s="1"/>
  <c r="W13" i="5"/>
  <c r="S13" i="5"/>
  <c r="N13" i="5"/>
  <c r="O13" i="5" s="1"/>
  <c r="K13" i="5"/>
  <c r="G13" i="5"/>
  <c r="AE12" i="5"/>
  <c r="Z12" i="5"/>
  <c r="AA12" i="5" s="1"/>
  <c r="V12" i="5"/>
  <c r="W12" i="5" s="1"/>
  <c r="S12" i="5"/>
  <c r="N12" i="5"/>
  <c r="O12" i="5" s="1"/>
  <c r="K12" i="5"/>
  <c r="G12" i="5"/>
  <c r="AE11" i="5"/>
  <c r="Z11" i="5"/>
  <c r="AA11" i="5" s="1"/>
  <c r="V11" i="5"/>
  <c r="W11" i="5" s="1"/>
  <c r="S11" i="5"/>
  <c r="N11" i="5"/>
  <c r="O11" i="5" s="1"/>
  <c r="K11" i="5"/>
  <c r="G11" i="5"/>
  <c r="AE10" i="5"/>
  <c r="Z10" i="5"/>
  <c r="AA10" i="5" s="1"/>
  <c r="V10" i="5"/>
  <c r="W10" i="5" s="1"/>
  <c r="S10" i="5"/>
  <c r="N10" i="5"/>
  <c r="O10" i="5" s="1"/>
  <c r="K10" i="5"/>
  <c r="G10" i="5"/>
  <c r="AE9" i="5"/>
  <c r="Z9" i="5"/>
  <c r="AA9" i="5" s="1"/>
  <c r="V9" i="5"/>
  <c r="W9" i="5" s="1"/>
  <c r="S9" i="5"/>
  <c r="N9" i="5"/>
  <c r="O9" i="5" s="1"/>
  <c r="K9" i="5"/>
  <c r="G9" i="5"/>
  <c r="AE8" i="5"/>
  <c r="Z8" i="5"/>
  <c r="AA8" i="5" s="1"/>
  <c r="V8" i="5"/>
  <c r="W8" i="5" s="1"/>
  <c r="S8" i="5"/>
  <c r="N8" i="5"/>
  <c r="O8" i="5" s="1"/>
  <c r="K8" i="5"/>
  <c r="G8" i="5"/>
  <c r="AE7" i="5"/>
  <c r="Z7" i="5"/>
  <c r="AA7" i="5" s="1"/>
  <c r="V7" i="5"/>
  <c r="W7" i="5" s="1"/>
  <c r="S7" i="5"/>
  <c r="N7" i="5"/>
  <c r="O7" i="5" s="1"/>
  <c r="K7" i="5"/>
  <c r="G7" i="5"/>
  <c r="AE6" i="5"/>
  <c r="Z6" i="5"/>
  <c r="AA6" i="5" s="1"/>
  <c r="W6" i="5"/>
  <c r="S6" i="5"/>
  <c r="O6" i="5"/>
  <c r="K6" i="5"/>
  <c r="G6" i="5"/>
  <c r="AE5" i="5"/>
  <c r="AA5" i="5"/>
  <c r="Z5" i="5"/>
  <c r="W5" i="5"/>
  <c r="S5" i="5"/>
  <c r="O5" i="5"/>
  <c r="K5" i="5"/>
  <c r="G5" i="5"/>
  <c r="AD4" i="5"/>
  <c r="AE4" i="5" s="1"/>
  <c r="AE22" i="5" s="1"/>
  <c r="Z4" i="5"/>
  <c r="V4" i="5"/>
  <c r="W4" i="5" s="1"/>
  <c r="R4" i="5"/>
  <c r="R22" i="5" s="1"/>
  <c r="N4" i="5"/>
  <c r="O4" i="5" s="1"/>
  <c r="K4" i="5"/>
  <c r="E38" i="3"/>
  <c r="G18" i="3"/>
  <c r="G35" i="3"/>
  <c r="F35" i="3"/>
  <c r="F34" i="3"/>
  <c r="F33" i="3"/>
  <c r="F32" i="3"/>
  <c r="G31" i="3"/>
  <c r="F31" i="3"/>
  <c r="F30" i="3"/>
  <c r="F29" i="3"/>
  <c r="F28" i="3"/>
  <c r="F27" i="3"/>
  <c r="F26" i="3"/>
  <c r="F25" i="3"/>
  <c r="G24" i="3"/>
  <c r="F24" i="3"/>
  <c r="F23" i="3"/>
  <c r="G22" i="3"/>
  <c r="F22" i="3"/>
  <c r="F21" i="3"/>
  <c r="G20" i="3"/>
  <c r="F20" i="3"/>
  <c r="F19" i="3"/>
  <c r="F18" i="3"/>
  <c r="F17" i="3"/>
  <c r="G16" i="3"/>
  <c r="F16" i="3"/>
  <c r="F15" i="3"/>
  <c r="G14" i="3"/>
  <c r="F14" i="3"/>
  <c r="F13" i="3"/>
  <c r="G12" i="3"/>
  <c r="F12" i="3"/>
  <c r="F11" i="3"/>
  <c r="F10" i="3"/>
  <c r="F9" i="3"/>
  <c r="G8" i="3"/>
  <c r="F7" i="3"/>
  <c r="F6" i="3"/>
  <c r="G5" i="3"/>
  <c r="F4" i="3"/>
  <c r="F3" i="3"/>
  <c r="F39" i="1"/>
  <c r="G27" i="8" l="1"/>
  <c r="M39" i="6"/>
  <c r="M8" i="6"/>
  <c r="M24" i="6"/>
  <c r="M6" i="6"/>
  <c r="M25" i="6"/>
  <c r="M36" i="6"/>
  <c r="M4" i="6"/>
  <c r="M12" i="6"/>
  <c r="M29" i="6"/>
  <c r="AF32" i="10"/>
  <c r="AP32" i="10" s="1"/>
  <c r="AO32" i="10" s="1"/>
  <c r="S47" i="5"/>
  <c r="AF17" i="5"/>
  <c r="AA47" i="5"/>
  <c r="AF32" i="5"/>
  <c r="AF36" i="5"/>
  <c r="AF40" i="5"/>
  <c r="AF44" i="5"/>
  <c r="M27" i="6"/>
  <c r="M32" i="6"/>
  <c r="M37" i="6"/>
  <c r="G9" i="8"/>
  <c r="G19" i="8"/>
  <c r="G31" i="8"/>
  <c r="G7" i="3"/>
  <c r="G10" i="3"/>
  <c r="G23" i="3"/>
  <c r="Z22" i="5"/>
  <c r="AF11" i="5"/>
  <c r="AF14" i="5"/>
  <c r="AF16" i="5"/>
  <c r="AF21" i="5"/>
  <c r="O47" i="5"/>
  <c r="AE47" i="5"/>
  <c r="AF29" i="5"/>
  <c r="AF31" i="5"/>
  <c r="H49" i="5"/>
  <c r="I49" i="5" s="1"/>
  <c r="AF39" i="5"/>
  <c r="AF43" i="5"/>
  <c r="M3" i="6"/>
  <c r="M5" i="6"/>
  <c r="M7" i="6"/>
  <c r="M9" i="6"/>
  <c r="M11" i="6"/>
  <c r="L14" i="6"/>
  <c r="M23" i="6"/>
  <c r="M28" i="6"/>
  <c r="M33" i="6"/>
  <c r="G11" i="8"/>
  <c r="G23" i="8"/>
  <c r="G33" i="8"/>
  <c r="AF5" i="10"/>
  <c r="AF10" i="10"/>
  <c r="AP10" i="10" s="1"/>
  <c r="AO10" i="10" s="1"/>
  <c r="AP12" i="10"/>
  <c r="AO12" i="10" s="1"/>
  <c r="AP8" i="10"/>
  <c r="AO8" i="10" s="1"/>
  <c r="AF12" i="10"/>
  <c r="AD22" i="5"/>
  <c r="G15" i="8"/>
  <c r="G25" i="8"/>
  <c r="AF5" i="5"/>
  <c r="AF18" i="5"/>
  <c r="W47" i="5"/>
  <c r="AF33" i="5"/>
  <c r="AF37" i="5"/>
  <c r="AF41" i="5"/>
  <c r="AF45" i="5"/>
  <c r="G7" i="8"/>
  <c r="G17" i="8"/>
  <c r="AF16" i="10"/>
  <c r="AP16" i="10" s="1"/>
  <c r="AO16" i="10" s="1"/>
  <c r="G4" i="3"/>
  <c r="G11" i="3"/>
  <c r="G15" i="3"/>
  <c r="G19" i="3"/>
  <c r="G32" i="3"/>
  <c r="W22" i="5"/>
  <c r="AF9" i="5"/>
  <c r="AF12" i="5"/>
  <c r="AF20" i="5"/>
  <c r="F37" i="3"/>
  <c r="F38" i="3"/>
  <c r="F39" i="3" s="1"/>
  <c r="G28" i="3"/>
  <c r="G33" i="3"/>
  <c r="G26" i="3"/>
  <c r="O22" i="5"/>
  <c r="AF8" i="5"/>
  <c r="AF10" i="5"/>
  <c r="G6" i="3"/>
  <c r="G9" i="3"/>
  <c r="G13" i="3"/>
  <c r="G17" i="3"/>
  <c r="G21" i="3"/>
  <c r="G25" i="3"/>
  <c r="G27" i="3"/>
  <c r="G29" i="3"/>
  <c r="AF6" i="5"/>
  <c r="AF7" i="5"/>
  <c r="J19" i="6"/>
  <c r="J16" i="6"/>
  <c r="J21" i="6"/>
  <c r="J17" i="6"/>
  <c r="J13" i="6"/>
  <c r="J12" i="6"/>
  <c r="J11" i="6"/>
  <c r="J10" i="6"/>
  <c r="J9" i="6"/>
  <c r="J8" i="6"/>
  <c r="J7" i="6"/>
  <c r="J6" i="6"/>
  <c r="J5" i="6"/>
  <c r="J4" i="6"/>
  <c r="J3" i="6"/>
  <c r="AF13" i="5"/>
  <c r="N22" i="5"/>
  <c r="V22" i="5"/>
  <c r="AF30" i="5"/>
  <c r="AF35" i="5"/>
  <c r="I2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G30" i="3"/>
  <c r="G34" i="3"/>
  <c r="I15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AF28" i="10"/>
  <c r="AP28" i="10" s="1"/>
  <c r="AO28" i="10" s="1"/>
  <c r="S4" i="5"/>
  <c r="S22" i="5" s="1"/>
  <c r="AA4" i="5"/>
  <c r="AA22" i="5" s="1"/>
  <c r="AF28" i="5"/>
  <c r="I14" i="6"/>
  <c r="J15" i="6"/>
  <c r="I18" i="6"/>
  <c r="I20" i="6"/>
  <c r="M21" i="6"/>
  <c r="M20" i="6"/>
  <c r="M19" i="6"/>
  <c r="M18" i="6"/>
  <c r="M17" i="6"/>
  <c r="M16" i="6"/>
  <c r="M15" i="6"/>
  <c r="M14" i="6"/>
  <c r="M13" i="6"/>
  <c r="M40" i="6"/>
  <c r="G34" i="8"/>
  <c r="G32" i="8"/>
  <c r="G30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I3" i="6"/>
  <c r="I4" i="6"/>
  <c r="I5" i="6"/>
  <c r="I6" i="6"/>
  <c r="I7" i="6"/>
  <c r="I8" i="6"/>
  <c r="I9" i="6"/>
  <c r="I10" i="6"/>
  <c r="I11" i="6"/>
  <c r="I12" i="6"/>
  <c r="I13" i="6"/>
  <c r="J14" i="6"/>
  <c r="I17" i="6"/>
  <c r="J18" i="6"/>
  <c r="J20" i="6"/>
  <c r="M22" i="6"/>
  <c r="M26" i="6"/>
  <c r="M30" i="6"/>
  <c r="M34" i="6"/>
  <c r="M38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G5" i="8"/>
  <c r="G13" i="8"/>
  <c r="G21" i="8"/>
  <c r="G29" i="8"/>
  <c r="AF41" i="10"/>
  <c r="AP41" i="10" s="1"/>
  <c r="AO41" i="10" s="1"/>
  <c r="AF37" i="10"/>
  <c r="AP37" i="10" s="1"/>
  <c r="AO37" i="10" s="1"/>
  <c r="AF33" i="10"/>
  <c r="AP33" i="10" s="1"/>
  <c r="AO33" i="10" s="1"/>
  <c r="AF29" i="10"/>
  <c r="AF25" i="10"/>
  <c r="AP25" i="10" s="1"/>
  <c r="AF17" i="10"/>
  <c r="AF4" i="10"/>
  <c r="AP4" i="10" s="1"/>
  <c r="AF42" i="10"/>
  <c r="AP42" i="10" s="1"/>
  <c r="AO42" i="10" s="1"/>
  <c r="AF38" i="10"/>
  <c r="AP38" i="10" s="1"/>
  <c r="AO38" i="10" s="1"/>
  <c r="AF34" i="10"/>
  <c r="AP34" i="10" s="1"/>
  <c r="AO34" i="10" s="1"/>
  <c r="AF30" i="10"/>
  <c r="AP30" i="10" s="1"/>
  <c r="AO30" i="10" s="1"/>
  <c r="AF26" i="10"/>
  <c r="AP26" i="10" s="1"/>
  <c r="AO26" i="10" s="1"/>
  <c r="AF20" i="10"/>
  <c r="AP20" i="10" s="1"/>
  <c r="AO20" i="10" s="1"/>
  <c r="AF18" i="10"/>
  <c r="AP18" i="10" s="1"/>
  <c r="AO18" i="10" s="1"/>
  <c r="AF11" i="10"/>
  <c r="AP11" i="10" s="1"/>
  <c r="AO11" i="10" s="1"/>
  <c r="AF9" i="10"/>
  <c r="AF7" i="10"/>
  <c r="AP7" i="10" s="1"/>
  <c r="AO7" i="10" s="1"/>
  <c r="AF43" i="10"/>
  <c r="AP43" i="10" s="1"/>
  <c r="AO43" i="10" s="1"/>
  <c r="AF39" i="10"/>
  <c r="AP39" i="10" s="1"/>
  <c r="AO39" i="10" s="1"/>
  <c r="AF35" i="10"/>
  <c r="AF31" i="10"/>
  <c r="AP31" i="10" s="1"/>
  <c r="AO31" i="10" s="1"/>
  <c r="AF27" i="10"/>
  <c r="AP27" i="10" s="1"/>
  <c r="AO27" i="10" s="1"/>
  <c r="AF19" i="10"/>
  <c r="AP19" i="10" s="1"/>
  <c r="AO19" i="10" s="1"/>
  <c r="AF15" i="10"/>
  <c r="AP15" i="10" s="1"/>
  <c r="AO15" i="10" s="1"/>
  <c r="AF14" i="10"/>
  <c r="AP14" i="10" s="1"/>
  <c r="AO14" i="10" s="1"/>
  <c r="AF13" i="10"/>
  <c r="AP13" i="10" s="1"/>
  <c r="AO13" i="10" s="1"/>
  <c r="AP5" i="10"/>
  <c r="AO5" i="10" s="1"/>
  <c r="AF6" i="10"/>
  <c r="AP6" i="10" s="1"/>
  <c r="AO6" i="10" s="1"/>
  <c r="AP9" i="10"/>
  <c r="AO9" i="10" s="1"/>
  <c r="AP17" i="10"/>
  <c r="AO17" i="10" s="1"/>
  <c r="AP29" i="10"/>
  <c r="AO29" i="10" s="1"/>
  <c r="AP35" i="10"/>
  <c r="AO35" i="10" s="1"/>
  <c r="AF36" i="10"/>
  <c r="AP36" i="10" s="1"/>
  <c r="AO36" i="10" s="1"/>
  <c r="AF48" i="5" l="1"/>
  <c r="AP44" i="10"/>
  <c r="AO25" i="10"/>
  <c r="AP21" i="10"/>
  <c r="AO4" i="10"/>
  <c r="AF4" i="5"/>
  <c r="AF22" i="5" s="1"/>
  <c r="H33" i="3"/>
  <c r="H29" i="3"/>
  <c r="H25" i="3"/>
  <c r="H34" i="3"/>
  <c r="H30" i="3"/>
  <c r="H35" i="3"/>
  <c r="H31" i="3"/>
  <c r="H27" i="3"/>
  <c r="H32" i="3"/>
  <c r="H21" i="3"/>
  <c r="H17" i="3"/>
  <c r="H13" i="3"/>
  <c r="H9" i="3"/>
  <c r="H6" i="3"/>
  <c r="H2" i="3"/>
  <c r="H22" i="3"/>
  <c r="H18" i="3"/>
  <c r="H14" i="3"/>
  <c r="H10" i="3"/>
  <c r="H7" i="3"/>
  <c r="H3" i="3"/>
  <c r="H23" i="3"/>
  <c r="H19" i="3"/>
  <c r="H15" i="3"/>
  <c r="H11" i="3"/>
  <c r="H4" i="3"/>
  <c r="H28" i="3"/>
  <c r="H26" i="3"/>
  <c r="H24" i="3"/>
  <c r="H20" i="3"/>
  <c r="H16" i="3"/>
  <c r="H12" i="3"/>
  <c r="H8" i="3"/>
  <c r="H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00000000-0006-0000-0400-000001000000}">
      <text>
        <r>
          <rPr>
            <sz val="10"/>
            <color rgb="FF000000"/>
            <rFont val="Arial"/>
          </rPr>
          <t>Modifiqué este valor porque en el libro viene un alimento "carne de res (promedio)"
	-Rosy De la Fuente</t>
        </r>
      </text>
    </comment>
    <comment ref="O3" authorId="0" shapeId="0" xr:uid="{00000000-0006-0000-0400-000002000000}">
      <text>
        <r>
          <rPr>
            <sz val="10"/>
            <color rgb="FF000000"/>
            <rFont val="Arial"/>
          </rPr>
          <t>La carne de cerdo tiene menos grasa y más proteína que la de res :O OMG!
	-Rosy De la Fuente
:O qckeee?
	-Arii Hernández</t>
        </r>
      </text>
    </comment>
  </commentList>
</comments>
</file>

<file path=xl/sharedStrings.xml><?xml version="1.0" encoding="utf-8"?>
<sst xmlns="http://schemas.openxmlformats.org/spreadsheetml/2006/main" count="1693" uniqueCount="768">
  <si>
    <t>Sujeto</t>
  </si>
  <si>
    <t>ID</t>
  </si>
  <si>
    <t>Nombre</t>
  </si>
  <si>
    <t xml:space="preserve">Min totales de registro </t>
  </si>
  <si>
    <t>Hora de Inicio</t>
  </si>
  <si>
    <t>OA(1)/OC(0)</t>
  </si>
  <si>
    <t>Min OA</t>
  </si>
  <si>
    <t>Minutos para análisis OA</t>
  </si>
  <si>
    <t>Min OC</t>
  </si>
  <si>
    <t>Minutos para análisis OC</t>
  </si>
  <si>
    <t>Min totales de OA</t>
  </si>
  <si>
    <t>Min totales de OC</t>
  </si>
  <si>
    <t xml:space="preserve">Notas del registro </t>
  </si>
  <si>
    <t>S01</t>
  </si>
  <si>
    <t>N055H2M6</t>
  </si>
  <si>
    <t>JOSE LUIS GARCIA ESPINOSA</t>
  </si>
  <si>
    <t>19 min 18 s</t>
  </si>
  <si>
    <t>4:38-12:21</t>
  </si>
  <si>
    <t>14:57-19:18</t>
  </si>
  <si>
    <t>8:08 +4:21</t>
  </si>
  <si>
    <t>7:11-9:00</t>
  </si>
  <si>
    <t>2:38-3:25</t>
  </si>
  <si>
    <t>13:21-14:57</t>
  </si>
  <si>
    <t>01:35+ 01:36</t>
  </si>
  <si>
    <t>S02</t>
  </si>
  <si>
    <t>N79H1F6</t>
  </si>
  <si>
    <t>MARICELA RODRIGUEZ GARCIA</t>
  </si>
  <si>
    <t>15  min 06 s</t>
  </si>
  <si>
    <t>7:09-9:38</t>
  </si>
  <si>
    <t>9:38-11:24</t>
  </si>
  <si>
    <t>9:38-11:38</t>
  </si>
  <si>
    <t>02:11-2:34</t>
  </si>
  <si>
    <t>2:34-7:09</t>
  </si>
  <si>
    <t>2:11-3:50</t>
  </si>
  <si>
    <t>S03</t>
  </si>
  <si>
    <t>N060H1F8</t>
  </si>
  <si>
    <t>ANA DELIA RUIZ RAMIREZ</t>
  </si>
  <si>
    <t>13 min 31 s</t>
  </si>
  <si>
    <t>2:50-7:34</t>
  </si>
  <si>
    <t>2:53-4:53</t>
  </si>
  <si>
    <t>0-2:50</t>
  </si>
  <si>
    <t>7:34-8:06</t>
  </si>
  <si>
    <t>2:50+ 0:32</t>
  </si>
  <si>
    <t>0-2:00</t>
  </si>
  <si>
    <t>S04</t>
  </si>
  <si>
    <t>N078H1F10</t>
  </si>
  <si>
    <t>MIRNA SANTIAGO ZAMORA</t>
  </si>
  <si>
    <t xml:space="preserve">16 min 42 s </t>
  </si>
  <si>
    <t>8:38-9:22</t>
  </si>
  <si>
    <t xml:space="preserve"> 10:21-16:03</t>
  </si>
  <si>
    <t>0:44+ 5:42</t>
  </si>
  <si>
    <t>10:57-13:00</t>
  </si>
  <si>
    <t>2:36-8:35</t>
  </si>
  <si>
    <t>9:23-10:21</t>
  </si>
  <si>
    <t>5:59+ 0:58</t>
  </si>
  <si>
    <t>2:38-4:29</t>
  </si>
  <si>
    <t xml:space="preserve">El registro se ve feo </t>
  </si>
  <si>
    <t>S05</t>
  </si>
  <si>
    <t>N073H1F9</t>
  </si>
  <si>
    <t>LEONOR SANTIAGO ESPINOZA</t>
  </si>
  <si>
    <t>20 min 39 s</t>
  </si>
  <si>
    <t>10:21-20:29</t>
  </si>
  <si>
    <t>11:00-13:00</t>
  </si>
  <si>
    <t>2:55-10:21</t>
  </si>
  <si>
    <t>2:52-4:56</t>
  </si>
  <si>
    <t>S06</t>
  </si>
  <si>
    <t>N050H1F7</t>
  </si>
  <si>
    <t>EUGENIA BOLAÑOS MATEO</t>
  </si>
  <si>
    <t>14 min 18 s</t>
  </si>
  <si>
    <t>8:18-14:09</t>
  </si>
  <si>
    <t>9:00-11:00</t>
  </si>
  <si>
    <t>2:55- 8:18</t>
  </si>
  <si>
    <t>3:10-5:10</t>
  </si>
  <si>
    <t>S07</t>
  </si>
  <si>
    <t>G030H2M8</t>
  </si>
  <si>
    <t>MIGUEL ANGEL CARRANZA SANTIAGO</t>
  </si>
  <si>
    <t>17 min 47 s</t>
  </si>
  <si>
    <t>10:41-14:39</t>
  </si>
  <si>
    <t>14:39-16:35</t>
  </si>
  <si>
    <t>11:20-13:20</t>
  </si>
  <si>
    <t>4:02-10:43</t>
  </si>
  <si>
    <t>6:37/</t>
  </si>
  <si>
    <t>7:30-9:30</t>
  </si>
  <si>
    <t>S08</t>
  </si>
  <si>
    <t>G103H1M9</t>
  </si>
  <si>
    <t>JESUS MARCELO GATICA</t>
  </si>
  <si>
    <t>16 min 08 s</t>
  </si>
  <si>
    <t>9:25-15:45</t>
  </si>
  <si>
    <t>10:10-12:10</t>
  </si>
  <si>
    <t>4:06- 9:24</t>
  </si>
  <si>
    <t>5:18/</t>
  </si>
  <si>
    <t>6:04-8:24</t>
  </si>
  <si>
    <t>Burro rebuzno (20:13:41)/ en ojos abiertos se mete una señal de lado izquierdo que hace un patrón constante en todos los minutos</t>
  </si>
  <si>
    <t>F. C.</t>
  </si>
  <si>
    <t>S09</t>
  </si>
  <si>
    <t>G045H1M10</t>
  </si>
  <si>
    <t>TEODOSIO GATICA ALBERTO</t>
  </si>
  <si>
    <t>17 min 04 s</t>
  </si>
  <si>
    <t>10:47- 15:43</t>
  </si>
  <si>
    <t>10:57-13:01</t>
  </si>
  <si>
    <t>4:11-8:48</t>
  </si>
  <si>
    <t>4:18-6:18</t>
  </si>
  <si>
    <t>S10</t>
  </si>
  <si>
    <t>G042H4F7</t>
  </si>
  <si>
    <t>ADELITA NORMA NAVA</t>
  </si>
  <si>
    <t>16 min 39 s</t>
  </si>
  <si>
    <t>09:23-10:31</t>
  </si>
  <si>
    <t>10:31-15:29</t>
  </si>
  <si>
    <t>6:06/</t>
  </si>
  <si>
    <t>9:31-11:36</t>
  </si>
  <si>
    <t>03:18-04:44</t>
  </si>
  <si>
    <t>04:44-09:23</t>
  </si>
  <si>
    <t>6:05/</t>
  </si>
  <si>
    <t>5:13-7:20</t>
  </si>
  <si>
    <t>S11</t>
  </si>
  <si>
    <t>G046H1M11</t>
  </si>
  <si>
    <t>MATUSALEN SILVERIO MORALES</t>
  </si>
  <si>
    <t>14 min 11s</t>
  </si>
  <si>
    <t>9:00-13:43</t>
  </si>
  <si>
    <t>4:43/</t>
  </si>
  <si>
    <t>10:00-12:00</t>
  </si>
  <si>
    <t>1:57-8:56</t>
  </si>
  <si>
    <t>3:38-5:38</t>
  </si>
  <si>
    <t>S12</t>
  </si>
  <si>
    <t>G025H3F6</t>
  </si>
  <si>
    <t>ELIDIA NERI SATURNINO</t>
  </si>
  <si>
    <t>26 m</t>
  </si>
  <si>
    <t>7:26-9:12</t>
  </si>
  <si>
    <t>18:02-22:07</t>
  </si>
  <si>
    <t>1:46+4:05=5:51</t>
  </si>
  <si>
    <t>18:28-19:50</t>
  </si>
  <si>
    <t>5:56-7:06</t>
  </si>
  <si>
    <t>9:13-12:12</t>
  </si>
  <si>
    <t>12:12-18:01</t>
  </si>
  <si>
    <t>01:10+ 8:48=9:58</t>
  </si>
  <si>
    <t>10:34-12:12</t>
  </si>
  <si>
    <t>S13</t>
  </si>
  <si>
    <t>G013H2M10</t>
  </si>
  <si>
    <t>SALVADOR CAYETANO ESPINOZA</t>
  </si>
  <si>
    <t>16 m</t>
  </si>
  <si>
    <t>9:57-12:04</t>
  </si>
  <si>
    <t>12:04-14:37</t>
  </si>
  <si>
    <t>12:52-14:37</t>
  </si>
  <si>
    <t>4:11-7:45</t>
  </si>
  <si>
    <t>7:45-9:57</t>
  </si>
  <si>
    <t>5:31-7:31</t>
  </si>
  <si>
    <t>S14</t>
  </si>
  <si>
    <t>N075H3M7</t>
  </si>
  <si>
    <t>LEONEL RUIZ SATURNINO</t>
  </si>
  <si>
    <t>35 m</t>
  </si>
  <si>
    <t>7:05-9:25</t>
  </si>
  <si>
    <t>26:12-27:02</t>
  </si>
  <si>
    <t>30:57-36:10/ 40:12-44:47</t>
  </si>
  <si>
    <t>2:20+0:50+5:13+4:35</t>
  </si>
  <si>
    <t>30:01-32:01</t>
  </si>
  <si>
    <t>3:35-5:26/9:25-10:58</t>
  </si>
  <si>
    <t>27:09-30:57</t>
  </si>
  <si>
    <t xml:space="preserve">36:10-40:12 </t>
  </si>
  <si>
    <t>44:47-46:20</t>
  </si>
  <si>
    <t>1:51+1:33+3:48+4:02+ 1:33</t>
  </si>
  <si>
    <t>28:17-30:17</t>
  </si>
  <si>
    <t>S15</t>
  </si>
  <si>
    <t>G006H2F6</t>
  </si>
  <si>
    <t>HERENDIRA CARRAZA AURELIO</t>
  </si>
  <si>
    <t>11 min 20 s</t>
  </si>
  <si>
    <t>0-5:21</t>
  </si>
  <si>
    <t>0:40-2:40</t>
  </si>
  <si>
    <t>5:21-10:47</t>
  </si>
  <si>
    <t>7:23-9:22</t>
  </si>
  <si>
    <t>S33</t>
  </si>
  <si>
    <t>G068H1F6</t>
  </si>
  <si>
    <t xml:space="preserve">ILIANA EMILIANO DIRCIO </t>
  </si>
  <si>
    <t xml:space="preserve">13 min 16 s </t>
  </si>
  <si>
    <t>8:22-10:22</t>
  </si>
  <si>
    <t>2:48-4:48</t>
  </si>
  <si>
    <t>S29</t>
  </si>
  <si>
    <t>G013H4M6</t>
  </si>
  <si>
    <t>FRANCISCO CAYETANO ESPINOZA</t>
  </si>
  <si>
    <t>18 m 02 s</t>
  </si>
  <si>
    <t>5:30-6:28</t>
  </si>
  <si>
    <t>8:40-12:08</t>
  </si>
  <si>
    <t>14:43-15:56</t>
  </si>
  <si>
    <t>0:58+3:28+1:13</t>
  </si>
  <si>
    <t>6:28-8:40</t>
  </si>
  <si>
    <t>12:31-14:23</t>
  </si>
  <si>
    <t>15:56-17:00</t>
  </si>
  <si>
    <t>2:12+ 1:52</t>
  </si>
  <si>
    <t>12:23-14:23</t>
  </si>
  <si>
    <t>S37</t>
  </si>
  <si>
    <t>N073H3M6</t>
  </si>
  <si>
    <t>FAUSTO SANTIAGO ESPINOZA</t>
  </si>
  <si>
    <t>8:05/11:23-13:48</t>
  </si>
  <si>
    <t>18:24-21:21</t>
  </si>
  <si>
    <t>MENOS 22 SEG</t>
  </si>
  <si>
    <t>19:52-21:21</t>
  </si>
  <si>
    <t>4:43-7:56</t>
  </si>
  <si>
    <t>13:49-18:24</t>
  </si>
  <si>
    <t>15:23-18:10</t>
  </si>
  <si>
    <t>S38</t>
  </si>
  <si>
    <t>G029H1</t>
  </si>
  <si>
    <t>GILBERTO ORTEGA NAVA</t>
  </si>
  <si>
    <t>8:14-16:45</t>
  </si>
  <si>
    <t>10:35-12:38</t>
  </si>
  <si>
    <t>1:48-8:05</t>
  </si>
  <si>
    <t>3:50-5:50</t>
  </si>
  <si>
    <t>S16</t>
  </si>
  <si>
    <t>N056H2F7</t>
  </si>
  <si>
    <t>REYNALDA SANTIAGO GARCIA</t>
  </si>
  <si>
    <t>18 min 17 s</t>
  </si>
  <si>
    <t>5:39-10:08</t>
  </si>
  <si>
    <t>15:03-16:15</t>
  </si>
  <si>
    <t>04:29 + 01:12</t>
  </si>
  <si>
    <t>6:30-8:30</t>
  </si>
  <si>
    <t>4:41-5:24</t>
  </si>
  <si>
    <t>10:08-15:03</t>
  </si>
  <si>
    <t>16:15-18:24</t>
  </si>
  <si>
    <t>0:43+ 4:55+2:09</t>
  </si>
  <si>
    <t>10:40-12:40</t>
  </si>
  <si>
    <t>S17</t>
  </si>
  <si>
    <t>N056H1F10</t>
  </si>
  <si>
    <t>RESENCIANA SANTIAGO GARCIA</t>
  </si>
  <si>
    <t>20 min 09 s</t>
  </si>
  <si>
    <t>2:46-8:19</t>
  </si>
  <si>
    <t>12:19-18:09</t>
  </si>
  <si>
    <t>5:33 + 5:22</t>
  </si>
  <si>
    <t>5:45-7:53</t>
  </si>
  <si>
    <t xml:space="preserve"> 8:19-10:36</t>
  </si>
  <si>
    <t>10:59-12:46</t>
  </si>
  <si>
    <t>18:09-20:09</t>
  </si>
  <si>
    <t>4:27+ 2:00</t>
  </si>
  <si>
    <t>8:48-10:40</t>
  </si>
  <si>
    <t>No registró T3, T3, T4 y T6</t>
  </si>
  <si>
    <t>S18</t>
  </si>
  <si>
    <t>N075H1M9</t>
  </si>
  <si>
    <t>GIOVANI RUIZ SATURNINO</t>
  </si>
  <si>
    <t>14 min 27 s</t>
  </si>
  <si>
    <t>4:10-7:15</t>
  </si>
  <si>
    <t>10:43-11:56</t>
  </si>
  <si>
    <t>03:05 + 01:13</t>
  </si>
  <si>
    <t>4:26-6:26</t>
  </si>
  <si>
    <t>7:15-8:06</t>
  </si>
  <si>
    <t>8:15-10:43</t>
  </si>
  <si>
    <t>11:56-12:47</t>
  </si>
  <si>
    <t>13:01-14:27</t>
  </si>
  <si>
    <t>03:28+2:31</t>
  </si>
  <si>
    <t>8:34-10:35</t>
  </si>
  <si>
    <t>S19</t>
  </si>
  <si>
    <t>N075H2M7</t>
  </si>
  <si>
    <t>DENY RUIZ SATURNINO</t>
  </si>
  <si>
    <t>13 min 29 s</t>
  </si>
  <si>
    <t>2:37-7:58</t>
  </si>
  <si>
    <t>3:09-5:20</t>
  </si>
  <si>
    <t>7:58-12:52</t>
  </si>
  <si>
    <t>8:05-10:05</t>
  </si>
  <si>
    <t xml:space="preserve">El electrodo del ojo se puso del lado izquierdo </t>
  </si>
  <si>
    <t>S20</t>
  </si>
  <si>
    <t>N056H3F6</t>
  </si>
  <si>
    <t>JOSEFINA SANTIAGO GARCIA</t>
  </si>
  <si>
    <t>20 min 40 s</t>
  </si>
  <si>
    <t>4:40-12:02</t>
  </si>
  <si>
    <t>6:47-8:45</t>
  </si>
  <si>
    <t>12:02-20:36</t>
  </si>
  <si>
    <t>18:47-20:32</t>
  </si>
  <si>
    <t>0:49+ 8:34</t>
  </si>
  <si>
    <t>13:01-15:01</t>
  </si>
  <si>
    <t>Se desconectó amplificador</t>
  </si>
  <si>
    <t>S21</t>
  </si>
  <si>
    <t>G030H1M9</t>
  </si>
  <si>
    <t>CARLOS DANIEL CARRANZA SANTIAGO</t>
  </si>
  <si>
    <t>19 min 35 s</t>
  </si>
  <si>
    <t>12:14-13:26</t>
  </si>
  <si>
    <t>13:26-20:35</t>
  </si>
  <si>
    <t>12:07-14:04</t>
  </si>
  <si>
    <t>24:52-26:39</t>
  </si>
  <si>
    <t>23:23-25:08</t>
  </si>
  <si>
    <t>Analizar en caso extraordinario (muy artefactado el registro)</t>
  </si>
  <si>
    <t>S22</t>
  </si>
  <si>
    <t>G030H3F6</t>
  </si>
  <si>
    <t>AMAIRANI CARRANZA SANTIAGO</t>
  </si>
  <si>
    <t>14 min 29 s</t>
  </si>
  <si>
    <t>1:17-3:20</t>
  </si>
  <si>
    <t>7:24-10:53</t>
  </si>
  <si>
    <t>02:03 + 03:29</t>
  </si>
  <si>
    <t>1:17-3:34</t>
  </si>
  <si>
    <t>3:20- 7:24</t>
  </si>
  <si>
    <t>10:53-14:03</t>
  </si>
  <si>
    <t>04:04+ 03:10</t>
  </si>
  <si>
    <t>4:40-6:40</t>
  </si>
  <si>
    <t>S23</t>
  </si>
  <si>
    <t>G105H1M10</t>
  </si>
  <si>
    <t>HUGO CARRANZA SILVERIO</t>
  </si>
  <si>
    <t>10 min 29</t>
  </si>
  <si>
    <t>2:23-3:23</t>
  </si>
  <si>
    <t>3:23-5:32</t>
  </si>
  <si>
    <t>6:35-8:24</t>
  </si>
  <si>
    <t>3:09 + 1:49</t>
  </si>
  <si>
    <t>2:20-4:23</t>
  </si>
  <si>
    <t>5:32-6:47</t>
  </si>
  <si>
    <t>8:24-9:55</t>
  </si>
  <si>
    <t>1:15+1:31</t>
  </si>
  <si>
    <t>8:27-10:00</t>
  </si>
  <si>
    <t>S24</t>
  </si>
  <si>
    <t>G105H2F8</t>
  </si>
  <si>
    <t>EDITH CARRANZA SILVERIO</t>
  </si>
  <si>
    <t>26 min</t>
  </si>
  <si>
    <t>10:22-13:46</t>
  </si>
  <si>
    <t>22:08-24:41</t>
  </si>
  <si>
    <t>28:45-30:48</t>
  </si>
  <si>
    <t>3:24+2:33+ 2:03</t>
  </si>
  <si>
    <t>28:26-30:33</t>
  </si>
  <si>
    <t>24:41-26:09</t>
  </si>
  <si>
    <t>30:48-35:37</t>
  </si>
  <si>
    <t>1:28+ 4:49</t>
  </si>
  <si>
    <t>31:40-33:40</t>
  </si>
  <si>
    <t>Macarena  electro muy artefactado</t>
  </si>
  <si>
    <t>S25</t>
  </si>
  <si>
    <t>G045H2M8</t>
  </si>
  <si>
    <t>FEDERICO GATICA ALBERTO</t>
  </si>
  <si>
    <t>1 hr 45 min</t>
  </si>
  <si>
    <t>4:38-7:19</t>
  </si>
  <si>
    <t>13:33-15:05</t>
  </si>
  <si>
    <t>15:05-19:21</t>
  </si>
  <si>
    <t>2:41 +5:48</t>
  </si>
  <si>
    <t>8:22-9:18</t>
  </si>
  <si>
    <t>9:18-13:33</t>
  </si>
  <si>
    <t>5:11/</t>
  </si>
  <si>
    <t>8:25-10:40</t>
  </si>
  <si>
    <t xml:space="preserve">Muy sucio </t>
  </si>
  <si>
    <t>S26</t>
  </si>
  <si>
    <t>G042H2F11</t>
  </si>
  <si>
    <t>HONORIA MORA NAVA</t>
  </si>
  <si>
    <t xml:space="preserve">23 min 32 s </t>
  </si>
  <si>
    <t>3:16-8:39</t>
  </si>
  <si>
    <t>4:25-6:34</t>
  </si>
  <si>
    <t>8:41-12:09</t>
  </si>
  <si>
    <t>12:40-17:03</t>
  </si>
  <si>
    <t>12:52-14:57</t>
  </si>
  <si>
    <t>S27</t>
  </si>
  <si>
    <t>G042H3F9</t>
  </si>
  <si>
    <t>MARTINA NORMA NAVA</t>
  </si>
  <si>
    <t>19 min 21 s</t>
  </si>
  <si>
    <t xml:space="preserve">4:30-07:45/ </t>
  </si>
  <si>
    <t>4:40-6:25</t>
  </si>
  <si>
    <t>11:22-16:43</t>
  </si>
  <si>
    <t>5:21/</t>
  </si>
  <si>
    <t>12:34-14:34</t>
  </si>
  <si>
    <t>S28</t>
  </si>
  <si>
    <t>G020H3F11</t>
  </si>
  <si>
    <t>SOLEDAD CARRANZA CASTRO</t>
  </si>
  <si>
    <t>14 m 53 s</t>
  </si>
  <si>
    <t>1:43-4:10</t>
  </si>
  <si>
    <t>4:10-5:34</t>
  </si>
  <si>
    <t>8:41-11:13</t>
  </si>
  <si>
    <t>3:51+ 2:32</t>
  </si>
  <si>
    <t>2:00-4:10</t>
  </si>
  <si>
    <t>5:34-8:41</t>
  </si>
  <si>
    <t>11:13-13:16</t>
  </si>
  <si>
    <t>03:07+ 02:03</t>
  </si>
  <si>
    <t>7:15-8:05</t>
  </si>
  <si>
    <t>Estaba mareada y comió un dulce</t>
  </si>
  <si>
    <t>S30</t>
  </si>
  <si>
    <t>G020H4F9</t>
  </si>
  <si>
    <t>BERENICE CARRANZA CASTRO</t>
  </si>
  <si>
    <t>15 m 49 s</t>
  </si>
  <si>
    <t>4:42-6:44</t>
  </si>
  <si>
    <t>8:42-10:50</t>
  </si>
  <si>
    <t>13:21-15:44</t>
  </si>
  <si>
    <t>2:02 +02:08+2:23</t>
  </si>
  <si>
    <t>4:42-6:42</t>
  </si>
  <si>
    <t>6:04-08:42</t>
  </si>
  <si>
    <t>10:50-13:21</t>
  </si>
  <si>
    <t>2:38 + 2:31</t>
  </si>
  <si>
    <t>6:45-8:42-</t>
  </si>
  <si>
    <t>S31</t>
  </si>
  <si>
    <t>G006H1F8</t>
  </si>
  <si>
    <t>GALILEA CARRANZA AURELIO</t>
  </si>
  <si>
    <t>11 min 10 s</t>
  </si>
  <si>
    <t xml:space="preserve">00:32-02:47/  </t>
  </si>
  <si>
    <t>7:00-10:14</t>
  </si>
  <si>
    <t>02:15 + 3:14</t>
  </si>
  <si>
    <t>0:32-2:32</t>
  </si>
  <si>
    <t>2:28-04:50</t>
  </si>
  <si>
    <t>07:46-11:16/ 0:03:30</t>
  </si>
  <si>
    <t>2:22+3:30</t>
  </si>
  <si>
    <t>4:54-6:53</t>
  </si>
  <si>
    <t>CHECAR CONDIX</t>
  </si>
  <si>
    <t>S32</t>
  </si>
  <si>
    <t>N066H1M8</t>
  </si>
  <si>
    <t>CÁNDIDO VÁQUEZ SANTIAGO</t>
  </si>
  <si>
    <t>21 min 26 s</t>
  </si>
  <si>
    <t>7:35-11:23</t>
  </si>
  <si>
    <t>14:45-17:48</t>
  </si>
  <si>
    <t>7:56-9:38</t>
  </si>
  <si>
    <t>11:27-14:45</t>
  </si>
  <si>
    <t>12:40-14:40</t>
  </si>
  <si>
    <t>S34</t>
  </si>
  <si>
    <t>G029H3M7</t>
  </si>
  <si>
    <t>Horacio Ortega Nava</t>
  </si>
  <si>
    <t>13 min 17 s</t>
  </si>
  <si>
    <t>3:20-5:20</t>
  </si>
  <si>
    <t>11:27-13:21</t>
  </si>
  <si>
    <t xml:space="preserve">El espectro de oa y oca es muy parecido </t>
  </si>
  <si>
    <t>S35</t>
  </si>
  <si>
    <t>G102H1</t>
  </si>
  <si>
    <t>JAZMYN ARACELI DIRCIO SANTIAGO</t>
  </si>
  <si>
    <t>18:10-20:16</t>
  </si>
  <si>
    <t>14:30-16:33</t>
  </si>
  <si>
    <t>S36</t>
  </si>
  <si>
    <t>N055H1</t>
  </si>
  <si>
    <t>ANGELINA GARCIA ESPINOSA</t>
  </si>
  <si>
    <t>21 ,im 45seg</t>
  </si>
  <si>
    <t>9:18-11:18</t>
  </si>
  <si>
    <t>12:12-14:16</t>
  </si>
  <si>
    <t>Ojos abiertos</t>
  </si>
  <si>
    <t>Mejor entre los peores</t>
  </si>
  <si>
    <t xml:space="preserve">Dormidos </t>
  </si>
  <si>
    <t>Segmentos limpios</t>
  </si>
  <si>
    <t>No incluídos</t>
  </si>
  <si>
    <t xml:space="preserve">No estan registros en Proffusion </t>
  </si>
  <si>
    <t>G033H1F5</t>
  </si>
  <si>
    <t>AZALEA BERENICE NAVA GARCIA</t>
  </si>
  <si>
    <t>24 min 45 s</t>
  </si>
  <si>
    <t>1:20-2:45</t>
  </si>
  <si>
    <t>5:43-6:21</t>
  </si>
  <si>
    <t>15:54-23:00</t>
  </si>
  <si>
    <t>6:22-7:42</t>
  </si>
  <si>
    <t>7:42-15:54</t>
  </si>
  <si>
    <t>02:00/</t>
  </si>
  <si>
    <t>La noche anterior tomó el medicamento para parásito, tiene 5 años, mucho movimiento</t>
  </si>
  <si>
    <t>Naranjo</t>
  </si>
  <si>
    <t>Código</t>
  </si>
  <si>
    <t>Edad</t>
  </si>
  <si>
    <t>g NETO</t>
  </si>
  <si>
    <t>N047H2</t>
  </si>
  <si>
    <t>YOLANDA GARCIA ZAMORA</t>
  </si>
  <si>
    <t>N050H1</t>
  </si>
  <si>
    <t>N055H2</t>
  </si>
  <si>
    <t>N056H1</t>
  </si>
  <si>
    <t xml:space="preserve">RESENCIANA SANTIAGO GARCIA </t>
  </si>
  <si>
    <t>N056H2</t>
  </si>
  <si>
    <t>N056H3</t>
  </si>
  <si>
    <t>N060H1</t>
  </si>
  <si>
    <t>N066H1</t>
  </si>
  <si>
    <t xml:space="preserve">Cándido Vázquez Santiago </t>
  </si>
  <si>
    <t>N073H1</t>
  </si>
  <si>
    <t>N075H1</t>
  </si>
  <si>
    <t>N075H2</t>
  </si>
  <si>
    <t>N075H3</t>
  </si>
  <si>
    <t>N078H1</t>
  </si>
  <si>
    <t>N079H1</t>
  </si>
  <si>
    <t>G006H1</t>
  </si>
  <si>
    <t>G006H2</t>
  </si>
  <si>
    <t xml:space="preserve">HERENDIRA CARRAZA AURELIO </t>
  </si>
  <si>
    <t>Plan de gatica</t>
  </si>
  <si>
    <t>G013H4</t>
  </si>
  <si>
    <t>G020H3</t>
  </si>
  <si>
    <t>G020H4</t>
  </si>
  <si>
    <t>G025H3</t>
  </si>
  <si>
    <t xml:space="preserve">ELIDIA NERI SATURNINO </t>
  </si>
  <si>
    <t>G030H1</t>
  </si>
  <si>
    <t>G030H2</t>
  </si>
  <si>
    <t>G030H3</t>
  </si>
  <si>
    <t>G042H2</t>
  </si>
  <si>
    <t>G042H3</t>
  </si>
  <si>
    <t>G042H4</t>
  </si>
  <si>
    <t>G045H1</t>
  </si>
  <si>
    <t>G045H2</t>
  </si>
  <si>
    <t>G046H1</t>
  </si>
  <si>
    <t>G105H1</t>
  </si>
  <si>
    <t>G105H2</t>
  </si>
  <si>
    <t>N050H3</t>
  </si>
  <si>
    <t>LAZARO BOLAÑOS MATEO</t>
  </si>
  <si>
    <t>G033H1</t>
  </si>
  <si>
    <t>Leche</t>
  </si>
  <si>
    <t>Yogurth</t>
  </si>
  <si>
    <t>Carne de puerco</t>
  </si>
  <si>
    <t>Carne de res</t>
  </si>
  <si>
    <t>Pollo</t>
  </si>
  <si>
    <t>Huevo</t>
  </si>
  <si>
    <t>Pescado</t>
  </si>
  <si>
    <t xml:space="preserve">Frijoles </t>
  </si>
  <si>
    <t xml:space="preserve">Lentejas, garbanzo, habas, alubias </t>
  </si>
  <si>
    <t>1 bistec chico (55g)</t>
  </si>
  <si>
    <t>1 pieza (90g)</t>
  </si>
  <si>
    <t>1 pieza entera (62g)</t>
  </si>
  <si>
    <t>½ filete mediano (45g)</t>
  </si>
  <si>
    <t>1 taza (100 gr)</t>
  </si>
  <si>
    <t>Días de la semana</t>
  </si>
  <si>
    <t>Veces al día</t>
  </si>
  <si>
    <t>Veces al mes</t>
  </si>
  <si>
    <t>g. proteínas</t>
  </si>
  <si>
    <t>Mes</t>
  </si>
  <si>
    <t>2 al año</t>
  </si>
  <si>
    <t>3 al año</t>
  </si>
  <si>
    <t>4 al año</t>
  </si>
  <si>
    <t>1 al año</t>
  </si>
  <si>
    <t>1 cada dos meses</t>
  </si>
  <si>
    <t>1 cada 2 meses</t>
  </si>
  <si>
    <t>5 al año</t>
  </si>
  <si>
    <t>2 cada 2 meses</t>
  </si>
  <si>
    <t>6 al año</t>
  </si>
  <si>
    <t>3 cada 2 meses</t>
  </si>
  <si>
    <t>1 al mes</t>
  </si>
  <si>
    <t>N073H2M6</t>
  </si>
  <si>
    <t>CANDIDO VÁZQUEZ SANTIAGO</t>
  </si>
  <si>
    <t>1 al  mes por familia</t>
  </si>
  <si>
    <t xml:space="preserve">1 cada 3 semanas </t>
  </si>
  <si>
    <t>PROMEDIO</t>
  </si>
  <si>
    <t>PLAN DE GATICA</t>
  </si>
  <si>
    <t>1 vaso(240ml)</t>
  </si>
  <si>
    <t>1 envase (250 ml)</t>
  </si>
  <si>
    <t>g. lípidos</t>
  </si>
  <si>
    <t xml:space="preserve">1 cada 2 meses </t>
  </si>
  <si>
    <t>1 cada dos semanas</t>
  </si>
  <si>
    <t xml:space="preserve">1 cada dos semanas </t>
  </si>
  <si>
    <t>cada dos meses</t>
  </si>
  <si>
    <t>2 al mes</t>
  </si>
  <si>
    <t>2 veces al mes</t>
  </si>
  <si>
    <t>cada 2 semanas</t>
  </si>
  <si>
    <t xml:space="preserve">Faltan cuestionarios </t>
  </si>
  <si>
    <t>G068H1</t>
  </si>
  <si>
    <t>ILIANA EMILIANO DIRCIO</t>
  </si>
  <si>
    <t>G103H1</t>
  </si>
  <si>
    <t>G029H3</t>
  </si>
  <si>
    <t>HORACIO ORTEGA NAVA</t>
  </si>
  <si>
    <t>Gatica</t>
  </si>
  <si>
    <t>Peso</t>
  </si>
  <si>
    <t>Puntaje z muestra</t>
  </si>
  <si>
    <t>Puntaje Z esperado</t>
  </si>
  <si>
    <t>Pendientes</t>
  </si>
  <si>
    <t>U009H2</t>
  </si>
  <si>
    <t>Luz Noelia Arizmendi Ramírez</t>
  </si>
  <si>
    <t>U010H1</t>
  </si>
  <si>
    <t>Carlos David Pérez García</t>
  </si>
  <si>
    <t>U034H2F10</t>
  </si>
  <si>
    <t>Marlene Ruiz Chavero</t>
  </si>
  <si>
    <t>U034H3M7</t>
  </si>
  <si>
    <t>Josué Uriel Ruiz Chavero</t>
  </si>
  <si>
    <t>U019H1F10</t>
  </si>
  <si>
    <t xml:space="preserve">Natalia García Castillo </t>
  </si>
  <si>
    <t>U019H2F6</t>
  </si>
  <si>
    <t>Monserrat García Castilla</t>
  </si>
  <si>
    <t>U020H1M10</t>
  </si>
  <si>
    <t>Uriel Fernando Ortega Ugalde</t>
  </si>
  <si>
    <t>U021H2M8</t>
  </si>
  <si>
    <t xml:space="preserve">Saúl Ugalde Castillo </t>
  </si>
  <si>
    <t>VARIANZA</t>
  </si>
  <si>
    <t>DESV. EST.</t>
  </si>
  <si>
    <t xml:space="preserve">falta cuestionario de nutrición </t>
  </si>
  <si>
    <t>NARANJO</t>
  </si>
  <si>
    <t>Registro</t>
  </si>
  <si>
    <t>Sexo</t>
  </si>
  <si>
    <t>RAE prot al día</t>
  </si>
  <si>
    <t>RAE prot al mes</t>
  </si>
  <si>
    <t>RAE lip al día</t>
  </si>
  <si>
    <t>RAE lip al mes</t>
  </si>
  <si>
    <t>Estatura</t>
  </si>
  <si>
    <t>Perímetro Cefálico</t>
  </si>
  <si>
    <t>Braquial</t>
  </si>
  <si>
    <t>IMC</t>
  </si>
  <si>
    <t>M</t>
  </si>
  <si>
    <t>H</t>
  </si>
  <si>
    <t>1.31</t>
  </si>
  <si>
    <t>1.25</t>
  </si>
  <si>
    <t>53.8</t>
  </si>
  <si>
    <t>1.21</t>
  </si>
  <si>
    <t>49.6</t>
  </si>
  <si>
    <t>1.16</t>
  </si>
  <si>
    <t>49.5</t>
  </si>
  <si>
    <t>Desviación</t>
  </si>
  <si>
    <t>RAE al día</t>
  </si>
  <si>
    <t>RAE al mes</t>
  </si>
  <si>
    <t>Edad en meses</t>
  </si>
  <si>
    <t>Puntaje Z de la muestra de altura</t>
  </si>
  <si>
    <t>Perómetro cefálico ref</t>
  </si>
  <si>
    <t>Cefálico</t>
  </si>
  <si>
    <t xml:space="preserve">Braquial </t>
  </si>
  <si>
    <t>N075H3?</t>
  </si>
  <si>
    <t>1.29</t>
  </si>
  <si>
    <t>51.2</t>
  </si>
  <si>
    <t>N054H1</t>
  </si>
  <si>
    <t>FAUSTO ESPINOZA SANTIAGO</t>
  </si>
  <si>
    <t>50.3</t>
  </si>
  <si>
    <t>Varianza</t>
  </si>
  <si>
    <t>CODIGO 2016</t>
  </si>
  <si>
    <t>PESO</t>
  </si>
  <si>
    <t>ALTURA</t>
  </si>
  <si>
    <t>G013H2</t>
  </si>
  <si>
    <t>FRANSCISCO CAYETANO ESPINOZA</t>
  </si>
  <si>
    <t>Media</t>
  </si>
  <si>
    <t>U002H3</t>
  </si>
  <si>
    <t>Omara Yareid Sánchez Vázquez</t>
  </si>
  <si>
    <t>51.6</t>
  </si>
  <si>
    <t>U003H1</t>
  </si>
  <si>
    <t>Brenda Alondra Martínez Pacheco</t>
  </si>
  <si>
    <t>51.5</t>
  </si>
  <si>
    <t>U004H1</t>
  </si>
  <si>
    <t>Andrea Isabela Sánchez Santos</t>
  </si>
  <si>
    <t>51.06</t>
  </si>
  <si>
    <t>U005H3</t>
  </si>
  <si>
    <t>José Ángel Salgado Núñez</t>
  </si>
  <si>
    <t>U006H1</t>
  </si>
  <si>
    <t>Jessica Ramírez Hernández</t>
  </si>
  <si>
    <t>42.6</t>
  </si>
  <si>
    <t>52.3</t>
  </si>
  <si>
    <t>U007H1</t>
  </si>
  <si>
    <t>Monserrat Miranda Valdez</t>
  </si>
  <si>
    <t>1.34</t>
  </si>
  <si>
    <t>U011H2</t>
  </si>
  <si>
    <t>Víctor Alexandro Feria Cuevas</t>
  </si>
  <si>
    <t>52.5</t>
  </si>
  <si>
    <t>U012H1</t>
  </si>
  <si>
    <t>María Fernanda Bobadilla García</t>
  </si>
  <si>
    <t>1.46</t>
  </si>
  <si>
    <t>U012H2</t>
  </si>
  <si>
    <t>Alejandro Bobadilla García</t>
  </si>
  <si>
    <t>1.26</t>
  </si>
  <si>
    <t>52.25</t>
  </si>
  <si>
    <t>U013H</t>
  </si>
  <si>
    <t>Stephanie María Contreras Ávila</t>
  </si>
  <si>
    <t>1.39</t>
  </si>
  <si>
    <t>54.1</t>
  </si>
  <si>
    <t>U014H1</t>
  </si>
  <si>
    <t>Lucía López Velázquez</t>
  </si>
  <si>
    <t>1.14</t>
  </si>
  <si>
    <t>U015H</t>
  </si>
  <si>
    <t>Yael Santiago Ferias</t>
  </si>
  <si>
    <t>1.19</t>
  </si>
  <si>
    <t>U016H1</t>
  </si>
  <si>
    <t>Gael Galicia Martínez</t>
  </si>
  <si>
    <t>Alejandro Galicia Martínez</t>
  </si>
  <si>
    <t>1.43</t>
  </si>
  <si>
    <t>51.7</t>
  </si>
  <si>
    <t>U017H1</t>
  </si>
  <si>
    <t>Regina Segura Lara</t>
  </si>
  <si>
    <t>U016H2</t>
  </si>
  <si>
    <t>50.4</t>
  </si>
  <si>
    <t>U018H1</t>
  </si>
  <si>
    <t>35.5</t>
  </si>
  <si>
    <t>U018H2</t>
  </si>
  <si>
    <t>1.18</t>
  </si>
  <si>
    <t>1.44</t>
  </si>
  <si>
    <t>Pamela Nuñez Viveros</t>
  </si>
  <si>
    <t>51.45</t>
  </si>
  <si>
    <t>20.35</t>
  </si>
  <si>
    <t>1.33</t>
  </si>
  <si>
    <t>36.9</t>
  </si>
  <si>
    <t>32.3</t>
  </si>
  <si>
    <t>Leonardo Carbajal Nuñez</t>
  </si>
  <si>
    <t>U022H1M7</t>
  </si>
  <si>
    <t>Aldo Emiliano Aguilar Pérez</t>
  </si>
  <si>
    <t>U023H1M6</t>
  </si>
  <si>
    <t>Miguel Khalid Tapia Aldama</t>
  </si>
  <si>
    <t>U024H2M9</t>
  </si>
  <si>
    <t>Christopher Thomas Yamil Correa Roan</t>
  </si>
  <si>
    <t>U025H1F7</t>
  </si>
  <si>
    <t>Alondra Gisela Sosa Veláquez</t>
  </si>
  <si>
    <t>U025H2F7</t>
  </si>
  <si>
    <t>Yuridia Pamela Sosa Velázquez</t>
  </si>
  <si>
    <t>U026H1F8</t>
  </si>
  <si>
    <t>Lia Fernanda Sandoval Saucedo</t>
  </si>
  <si>
    <t>U027H1M9</t>
  </si>
  <si>
    <t>Ángel Javier García Mandujano</t>
  </si>
  <si>
    <t>U028H1F10</t>
  </si>
  <si>
    <t>Miranda Rodríguez Campos</t>
  </si>
  <si>
    <t>U028H2F8</t>
  </si>
  <si>
    <t>Alanis Rodríguez Campo</t>
  </si>
  <si>
    <t>U029H3F7</t>
  </si>
  <si>
    <t>Renata Guadarrama Cervantes</t>
  </si>
  <si>
    <t>U031H1F8</t>
  </si>
  <si>
    <t>U032H3M8</t>
  </si>
  <si>
    <t xml:space="preserve">Arturo Hernández Beltran </t>
  </si>
  <si>
    <t xml:space="preserve">Sophia Islas Suaste </t>
  </si>
  <si>
    <t>U033H2M8</t>
  </si>
  <si>
    <t>Miguel Ángel León Fonseca</t>
  </si>
  <si>
    <t>U035H1M10</t>
  </si>
  <si>
    <t xml:space="preserve">Axel Salvador Campo del Razo </t>
  </si>
  <si>
    <t>U035H2F6</t>
  </si>
  <si>
    <t>Dulce Alexia Campo del Razo</t>
  </si>
  <si>
    <t>U036H1M9</t>
  </si>
  <si>
    <t>Emiliano Salgado Macías</t>
  </si>
  <si>
    <t>U037H1F6</t>
  </si>
  <si>
    <t>Alexa Escobedo Ruiz</t>
  </si>
  <si>
    <t>U038H2F7</t>
  </si>
  <si>
    <t>Abigail Cortés Peña</t>
  </si>
  <si>
    <t>U040H1M8</t>
  </si>
  <si>
    <t>Carlos Alejandro Mejía Ayala</t>
  </si>
  <si>
    <t>54.3</t>
  </si>
  <si>
    <t>53.5</t>
  </si>
  <si>
    <t>Telefonos</t>
  </si>
  <si>
    <t>Hijxs</t>
  </si>
  <si>
    <t>Gerogina Ugalde</t>
  </si>
  <si>
    <t>Uriel</t>
  </si>
  <si>
    <t>Sonia Castillo García</t>
  </si>
  <si>
    <t>Natalia y Monse</t>
  </si>
  <si>
    <t>Verónica Castillo García</t>
  </si>
  <si>
    <t xml:space="preserve">Saúl </t>
  </si>
  <si>
    <t>María Cristina Pérex Agüero</t>
  </si>
  <si>
    <t xml:space="preserve">Aldo </t>
  </si>
  <si>
    <t>Miguel Tapia</t>
  </si>
  <si>
    <t xml:space="preserve">Khalid </t>
  </si>
  <si>
    <t>Susana Correa</t>
  </si>
  <si>
    <t>Christopher Thomas Yamil</t>
  </si>
  <si>
    <t>Janet Cervantes</t>
  </si>
  <si>
    <t>Renata Guadarrama</t>
  </si>
  <si>
    <t xml:space="preserve">Nayeli Ávila </t>
  </si>
  <si>
    <t>Omar y Sofía Hernández</t>
  </si>
  <si>
    <t>Sra Guadalupe</t>
  </si>
  <si>
    <t>Arturo Hernández</t>
  </si>
  <si>
    <t>Ana Suaste</t>
  </si>
  <si>
    <t>Ana Sophia</t>
  </si>
  <si>
    <t>Carmen Fonseca</t>
  </si>
  <si>
    <t>Miguel Ángel León</t>
  </si>
  <si>
    <t>Paula del Razo</t>
  </si>
  <si>
    <t xml:space="preserve">Axel y Alexia </t>
  </si>
  <si>
    <t>Ana Karen Macías</t>
  </si>
  <si>
    <t>Emiliano Salgado</t>
  </si>
  <si>
    <t>Alejandra Ruiz</t>
  </si>
  <si>
    <t>Alexa</t>
  </si>
  <si>
    <t>Nadia Peña</t>
  </si>
  <si>
    <t>Abigail</t>
  </si>
  <si>
    <t xml:space="preserve">Carmen </t>
  </si>
  <si>
    <t>Soraima Campos</t>
  </si>
  <si>
    <t>Miranda y Alanis</t>
  </si>
  <si>
    <t>Alejandra Chavero</t>
  </si>
  <si>
    <t>Marlene y Josué</t>
  </si>
  <si>
    <t>Al día</t>
  </si>
  <si>
    <t>IA al día</t>
  </si>
  <si>
    <t>Puntaje Z muestra</t>
  </si>
  <si>
    <t>Aguacate de pellejo</t>
  </si>
  <si>
    <t xml:space="preserve">temporada </t>
  </si>
  <si>
    <t xml:space="preserve">Manteca </t>
  </si>
  <si>
    <t xml:space="preserve">1 cda. </t>
  </si>
  <si>
    <t>1 cda (10 g)</t>
  </si>
  <si>
    <t>gr.lipidos</t>
  </si>
  <si>
    <t>gr. al día</t>
  </si>
  <si>
    <t>N073H3</t>
  </si>
  <si>
    <t xml:space="preserve">2 al año </t>
  </si>
  <si>
    <t>1 al mes por familia</t>
  </si>
  <si>
    <t>diario en temporada</t>
  </si>
  <si>
    <t>temporada(2 meses al año)</t>
  </si>
  <si>
    <t>4 semana</t>
  </si>
  <si>
    <t>5 semana</t>
  </si>
  <si>
    <t xml:space="preserve">1 al mes </t>
  </si>
  <si>
    <t>3 al mes</t>
  </si>
  <si>
    <t>1 semana</t>
  </si>
  <si>
    <t>temporada (2 meses)</t>
  </si>
  <si>
    <t>1 mes</t>
  </si>
  <si>
    <t>2 semana</t>
  </si>
  <si>
    <t xml:space="preserve">Naranjo </t>
  </si>
  <si>
    <t>Suma de minutos en condición OA</t>
  </si>
  <si>
    <t xml:space="preserve">Conteo de g de proteína animal al mes </t>
  </si>
  <si>
    <t>RDA al mes</t>
  </si>
  <si>
    <t>Carlitos NO ESTA EN LA BASE PORQUE TIENE 5 AÑOS</t>
  </si>
  <si>
    <t>Consumo aproximado de Proteínas Al día</t>
  </si>
  <si>
    <t>RDA (Peso*0.92 (6 a 8 )o 0.9 (9 A 11 años ))</t>
  </si>
  <si>
    <t>TOTAL</t>
  </si>
  <si>
    <t>Valor de referencia peso percentil 50 del CDC (puntaje Z)</t>
  </si>
  <si>
    <t>Puntaje Z de peso de la muestra</t>
  </si>
  <si>
    <t>Puntaje Z peso CDC</t>
  </si>
  <si>
    <t>Valor de referencia altura percentil 50 del CDC</t>
  </si>
  <si>
    <t>Puntaje Z con referencia de altura CDC</t>
  </si>
  <si>
    <t xml:space="preserve">Niños con edades fuera de rango para estudio </t>
  </si>
  <si>
    <t>Institute of Medicine. (2000). Dietary Reference Intakes (DRIs): Estimated Average Requirements</t>
  </si>
  <si>
    <t>(Segmentos con menos artefactos para poder ser analizados)</t>
  </si>
  <si>
    <t>(segmentos con artefactos, pero se eligieron porque no habia mas)</t>
  </si>
  <si>
    <t>(Segmentos y/o registros completos que no fueron considerados para el analisis)</t>
  </si>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</sst>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23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1"/>
      <name val="Calibri"/>
    </font>
    <font>
      <sz val="11"/>
      <color rgb="FF000000"/>
      <name val="Inconsolata"/>
    </font>
    <font>
      <sz val="10"/>
      <name val="Arial"/>
    </font>
    <font>
      <sz val="10"/>
      <color rgb="FF000000"/>
      <name val="Arial"/>
    </font>
    <font>
      <sz val="11"/>
      <name val="Inconsolata"/>
    </font>
    <font>
      <sz val="11"/>
      <color rgb="FF000000"/>
      <name val="Calibri"/>
    </font>
    <font>
      <sz val="11"/>
      <color rgb="FF006100"/>
      <name val="Calibri"/>
    </font>
    <font>
      <sz val="8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Calibri"/>
    </font>
    <font>
      <sz val="11"/>
      <name val="Arial"/>
    </font>
    <font>
      <b/>
      <sz val="11"/>
      <name val="Calibri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Calibri"/>
      <family val="2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34FFB4"/>
        <bgColor rgb="FF34FFB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  <fill>
      <patternFill patternType="solid">
        <fgColor rgb="FFEAD1DC"/>
        <bgColor rgb="FFEAD1DC"/>
      </patternFill>
    </fill>
    <fill>
      <patternFill patternType="solid">
        <fgColor rgb="FFD9E2F3"/>
        <bgColor rgb="FFD9E2F3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9BC2E6"/>
        <bgColor rgb="FF9BC2E6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2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3" fillId="0" borderId="0" xfId="0" applyFont="1" applyAlignment="1">
      <alignment horizontal="left"/>
    </xf>
    <xf numFmtId="20" fontId="1" fillId="0" borderId="0" xfId="0" applyNumberFormat="1" applyFont="1" applyAlignment="1"/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1" fillId="3" borderId="0" xfId="0" applyFont="1" applyFill="1" applyAlignment="1"/>
    <xf numFmtId="21" fontId="1" fillId="0" borderId="0" xfId="0" applyNumberFormat="1" applyFont="1" applyAlignment="1"/>
    <xf numFmtId="0" fontId="5" fillId="7" borderId="1" xfId="0" applyFont="1" applyFill="1" applyBorder="1" applyAlignment="1">
      <alignment horizontal="right"/>
    </xf>
    <xf numFmtId="0" fontId="6" fillId="8" borderId="0" xfId="0" applyFont="1" applyFill="1" applyAlignment="1"/>
    <xf numFmtId="0" fontId="1" fillId="0" borderId="0" xfId="0" applyFont="1" applyAlignment="1"/>
    <xf numFmtId="0" fontId="5" fillId="0" borderId="0" xfId="0" applyFont="1" applyAlignment="1">
      <alignment horizontal="right"/>
    </xf>
    <xf numFmtId="20" fontId="4" fillId="6" borderId="0" xfId="0" applyNumberFormat="1" applyFont="1" applyFill="1" applyAlignment="1">
      <alignment horizontal="left"/>
    </xf>
    <xf numFmtId="0" fontId="4" fillId="9" borderId="0" xfId="0" applyFont="1" applyFill="1" applyAlignment="1">
      <alignment horizontal="left"/>
    </xf>
    <xf numFmtId="20" fontId="7" fillId="6" borderId="0" xfId="0" applyNumberFormat="1" applyFont="1" applyFill="1" applyAlignment="1">
      <alignment horizontal="left"/>
    </xf>
    <xf numFmtId="0" fontId="5" fillId="7" borderId="0" xfId="0" applyFont="1" applyFill="1" applyAlignment="1">
      <alignment horizontal="right"/>
    </xf>
    <xf numFmtId="0" fontId="7" fillId="6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11" borderId="0" xfId="0" applyFont="1" applyFill="1" applyAlignment="1">
      <alignment horizontal="left"/>
    </xf>
    <xf numFmtId="0" fontId="1" fillId="12" borderId="0" xfId="0" applyFont="1" applyFill="1" applyAlignment="1"/>
    <xf numFmtId="0" fontId="4" fillId="12" borderId="0" xfId="0" applyFont="1" applyFill="1" applyAlignment="1">
      <alignment horizontal="left"/>
    </xf>
    <xf numFmtId="0" fontId="1" fillId="12" borderId="0" xfId="0" applyFont="1" applyFill="1"/>
    <xf numFmtId="0" fontId="7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11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6" fillId="0" borderId="2" xfId="0" applyFont="1" applyBorder="1" applyAlignment="1"/>
    <xf numFmtId="0" fontId="1" fillId="3" borderId="0" xfId="0" applyFont="1" applyFill="1"/>
    <xf numFmtId="21" fontId="4" fillId="5" borderId="0" xfId="0" applyNumberFormat="1" applyFont="1" applyFill="1" applyAlignment="1">
      <alignment horizontal="left"/>
    </xf>
    <xf numFmtId="21" fontId="4" fillId="0" borderId="0" xfId="0" applyNumberFormat="1" applyFont="1" applyAlignment="1">
      <alignment horizontal="left"/>
    </xf>
    <xf numFmtId="0" fontId="5" fillId="16" borderId="0" xfId="0" applyFont="1" applyFill="1" applyAlignment="1">
      <alignment horizontal="right"/>
    </xf>
    <xf numFmtId="0" fontId="3" fillId="0" borderId="0" xfId="0" applyFont="1" applyAlignment="1"/>
    <xf numFmtId="21" fontId="7" fillId="0" borderId="0" xfId="0" applyNumberFormat="1" applyFont="1" applyAlignment="1">
      <alignment horizontal="left"/>
    </xf>
    <xf numFmtId="0" fontId="1" fillId="17" borderId="0" xfId="0" applyFont="1" applyFill="1" applyAlignment="1"/>
    <xf numFmtId="0" fontId="3" fillId="17" borderId="0" xfId="0" applyFont="1" applyFill="1" applyAlignment="1">
      <alignment horizontal="left"/>
    </xf>
    <xf numFmtId="20" fontId="1" fillId="17" borderId="0" xfId="0" applyNumberFormat="1" applyFont="1" applyFill="1" applyAlignment="1"/>
    <xf numFmtId="0" fontId="4" fillId="17" borderId="0" xfId="0" applyFont="1" applyFill="1" applyAlignment="1">
      <alignment horizontal="left"/>
    </xf>
    <xf numFmtId="20" fontId="4" fillId="17" borderId="0" xfId="0" applyNumberFormat="1" applyFont="1" applyFill="1" applyAlignment="1">
      <alignment horizontal="left"/>
    </xf>
    <xf numFmtId="20" fontId="7" fillId="17" borderId="0" xfId="0" applyNumberFormat="1" applyFont="1" applyFill="1" applyAlignment="1">
      <alignment horizontal="left"/>
    </xf>
    <xf numFmtId="21" fontId="1" fillId="17" borderId="0" xfId="0" applyNumberFormat="1" applyFont="1" applyFill="1" applyAlignment="1"/>
    <xf numFmtId="0" fontId="5" fillId="17" borderId="1" xfId="0" applyFont="1" applyFill="1" applyBorder="1" applyAlignment="1">
      <alignment horizontal="right"/>
    </xf>
    <xf numFmtId="0" fontId="6" fillId="17" borderId="0" xfId="0" applyFont="1" applyFill="1" applyAlignment="1"/>
    <xf numFmtId="0" fontId="1" fillId="17" borderId="0" xfId="0" applyFont="1" applyFill="1"/>
    <xf numFmtId="0" fontId="5" fillId="17" borderId="0" xfId="0" applyFont="1" applyFill="1" applyAlignment="1">
      <alignment horizontal="right"/>
    </xf>
    <xf numFmtId="20" fontId="4" fillId="4" borderId="0" xfId="0" applyNumberFormat="1" applyFont="1" applyFill="1" applyAlignment="1">
      <alignment horizontal="left"/>
    </xf>
    <xf numFmtId="0" fontId="1" fillId="18" borderId="0" xfId="0" applyFont="1" applyFill="1" applyAlignment="1"/>
    <xf numFmtId="0" fontId="5" fillId="17" borderId="0" xfId="0" applyFont="1" applyFill="1" applyAlignment="1"/>
    <xf numFmtId="0" fontId="4" fillId="17" borderId="0" xfId="0" applyFont="1" applyFill="1" applyAlignment="1"/>
    <xf numFmtId="0" fontId="9" fillId="12" borderId="0" xfId="0" applyFont="1" applyFill="1" applyAlignment="1"/>
    <xf numFmtId="0" fontId="3" fillId="12" borderId="0" xfId="0" applyFont="1" applyFill="1" applyAlignment="1"/>
    <xf numFmtId="0" fontId="8" fillId="0" borderId="0" xfId="0" applyFont="1" applyAlignment="1"/>
    <xf numFmtId="0" fontId="1" fillId="11" borderId="0" xfId="0" applyFont="1" applyFill="1"/>
    <xf numFmtId="0" fontId="1" fillId="14" borderId="0" xfId="0" applyFont="1" applyFill="1"/>
    <xf numFmtId="0" fontId="1" fillId="4" borderId="0" xfId="0" applyFont="1" applyFill="1"/>
    <xf numFmtId="0" fontId="1" fillId="15" borderId="0" xfId="0" applyFont="1" applyFill="1"/>
    <xf numFmtId="0" fontId="8" fillId="0" borderId="3" xfId="0" applyFont="1" applyBorder="1" applyAlignment="1"/>
    <xf numFmtId="0" fontId="1" fillId="0" borderId="3" xfId="0" applyFont="1" applyBorder="1" applyAlignment="1"/>
    <xf numFmtId="0" fontId="1" fillId="0" borderId="3" xfId="0" applyFont="1" applyBorder="1"/>
    <xf numFmtId="0" fontId="2" fillId="0" borderId="3" xfId="0" applyFont="1" applyBorder="1" applyAlignment="1"/>
    <xf numFmtId="0" fontId="8" fillId="8" borderId="4" xfId="0" applyFont="1" applyFill="1" applyBorder="1" applyAlignment="1"/>
    <xf numFmtId="0" fontId="8" fillId="8" borderId="5" xfId="0" applyFont="1" applyFill="1" applyBorder="1" applyAlignment="1"/>
    <xf numFmtId="0" fontId="1" fillId="8" borderId="6" xfId="0" applyFont="1" applyFill="1" applyBorder="1" applyAlignment="1"/>
    <xf numFmtId="0" fontId="9" fillId="8" borderId="7" xfId="0" applyFont="1" applyFill="1" applyBorder="1" applyAlignment="1"/>
    <xf numFmtId="0" fontId="9" fillId="8" borderId="3" xfId="0" applyFont="1" applyFill="1" applyBorder="1" applyAlignment="1"/>
    <xf numFmtId="0" fontId="9" fillId="8" borderId="9" xfId="0" applyFont="1" applyFill="1" applyBorder="1" applyAlignment="1">
      <alignment horizontal="right"/>
    </xf>
    <xf numFmtId="0" fontId="9" fillId="19" borderId="7" xfId="0" applyFont="1" applyFill="1" applyBorder="1" applyAlignment="1"/>
    <xf numFmtId="0" fontId="9" fillId="19" borderId="3" xfId="0" applyFont="1" applyFill="1" applyBorder="1" applyAlignment="1"/>
    <xf numFmtId="0" fontId="9" fillId="19" borderId="9" xfId="0" applyFont="1" applyFill="1" applyBorder="1" applyAlignment="1">
      <alignment horizontal="right"/>
    </xf>
    <xf numFmtId="0" fontId="9" fillId="8" borderId="9" xfId="0" applyFont="1" applyFill="1" applyBorder="1" applyAlignment="1"/>
    <xf numFmtId="0" fontId="3" fillId="20" borderId="10" xfId="0" applyFont="1" applyFill="1" applyBorder="1" applyAlignment="1"/>
    <xf numFmtId="0" fontId="8" fillId="20" borderId="3" xfId="0" applyFont="1" applyFill="1" applyBorder="1" applyAlignment="1"/>
    <xf numFmtId="0" fontId="1" fillId="20" borderId="8" xfId="0" applyFont="1" applyFill="1" applyBorder="1" applyAlignment="1"/>
    <xf numFmtId="0" fontId="8" fillId="8" borderId="10" xfId="0" applyFont="1" applyFill="1" applyBorder="1" applyAlignment="1"/>
    <xf numFmtId="0" fontId="8" fillId="8" borderId="3" xfId="0" applyFont="1" applyFill="1" applyBorder="1" applyAlignment="1"/>
    <xf numFmtId="0" fontId="8" fillId="8" borderId="8" xfId="0" applyFont="1" applyFill="1" applyBorder="1" applyAlignment="1">
      <alignment horizontal="right"/>
    </xf>
    <xf numFmtId="0" fontId="8" fillId="19" borderId="10" xfId="0" applyFont="1" applyFill="1" applyBorder="1" applyAlignment="1"/>
    <xf numFmtId="0" fontId="8" fillId="19" borderId="3" xfId="0" applyFont="1" applyFill="1" applyBorder="1" applyAlignment="1"/>
    <xf numFmtId="0" fontId="8" fillId="19" borderId="8" xfId="0" applyFont="1" applyFill="1" applyBorder="1" applyAlignment="1">
      <alignment horizontal="right"/>
    </xf>
    <xf numFmtId="0" fontId="8" fillId="19" borderId="10" xfId="0" applyFont="1" applyFill="1" applyBorder="1" applyAlignment="1"/>
    <xf numFmtId="0" fontId="8" fillId="8" borderId="10" xfId="0" applyFont="1" applyFill="1" applyBorder="1" applyAlignment="1"/>
    <xf numFmtId="0" fontId="8" fillId="8" borderId="3" xfId="0" applyFont="1" applyFill="1" applyBorder="1" applyAlignment="1"/>
    <xf numFmtId="0" fontId="8" fillId="8" borderId="8" xfId="0" applyFont="1" applyFill="1" applyBorder="1" applyAlignment="1">
      <alignment horizontal="right"/>
    </xf>
    <xf numFmtId="0" fontId="5" fillId="0" borderId="0" xfId="0" applyFont="1" applyAlignment="1"/>
    <xf numFmtId="0" fontId="8" fillId="0" borderId="10" xfId="0" applyFont="1" applyBorder="1" applyAlignment="1"/>
    <xf numFmtId="0" fontId="8" fillId="0" borderId="8" xfId="0" applyFont="1" applyBorder="1" applyAlignment="1"/>
    <xf numFmtId="0" fontId="1" fillId="0" borderId="10" xfId="0" applyFont="1" applyBorder="1" applyAlignment="1"/>
    <xf numFmtId="0" fontId="1" fillId="0" borderId="8" xfId="0" applyFont="1" applyBorder="1"/>
    <xf numFmtId="0" fontId="1" fillId="0" borderId="8" xfId="0" applyFont="1" applyBorder="1" applyAlignment="1"/>
    <xf numFmtId="0" fontId="9" fillId="19" borderId="9" xfId="0" applyFont="1" applyFill="1" applyBorder="1" applyAlignment="1"/>
    <xf numFmtId="0" fontId="8" fillId="16" borderId="7" xfId="0" applyFont="1" applyFill="1" applyBorder="1" applyAlignment="1"/>
    <xf numFmtId="0" fontId="8" fillId="16" borderId="3" xfId="0" applyFont="1" applyFill="1" applyBorder="1" applyAlignment="1"/>
    <xf numFmtId="0" fontId="8" fillId="16" borderId="9" xfId="0" applyFont="1" applyFill="1" applyBorder="1" applyAlignment="1">
      <alignment horizontal="right"/>
    </xf>
    <xf numFmtId="0" fontId="9" fillId="19" borderId="11" xfId="0" applyFont="1" applyFill="1" applyBorder="1" applyAlignment="1"/>
    <xf numFmtId="0" fontId="9" fillId="19" borderId="12" xfId="0" applyFont="1" applyFill="1" applyBorder="1" applyAlignment="1"/>
    <xf numFmtId="0" fontId="9" fillId="19" borderId="13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16" borderId="10" xfId="0" applyFont="1" applyFill="1" applyBorder="1" applyAlignment="1"/>
    <xf numFmtId="0" fontId="8" fillId="16" borderId="8" xfId="0" applyFont="1" applyFill="1" applyBorder="1" applyAlignment="1"/>
    <xf numFmtId="0" fontId="1" fillId="2" borderId="0" xfId="0" applyFont="1" applyFill="1"/>
    <xf numFmtId="0" fontId="1" fillId="21" borderId="0" xfId="0" applyFont="1" applyFill="1"/>
    <xf numFmtId="0" fontId="10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24" borderId="3" xfId="0" applyFont="1" applyFill="1" applyBorder="1" applyAlignment="1">
      <alignment wrapText="1"/>
    </xf>
    <xf numFmtId="0" fontId="8" fillId="24" borderId="3" xfId="0" applyFont="1" applyFill="1" applyBorder="1" applyAlignment="1"/>
    <xf numFmtId="0" fontId="1" fillId="24" borderId="3" xfId="0" applyFont="1" applyFill="1" applyBorder="1"/>
    <xf numFmtId="0" fontId="10" fillId="3" borderId="3" xfId="0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0" fontId="5" fillId="0" borderId="10" xfId="0" applyFont="1" applyBorder="1" applyAlignment="1"/>
    <xf numFmtId="0" fontId="5" fillId="24" borderId="10" xfId="0" applyFont="1" applyFill="1" applyBorder="1" applyAlignment="1"/>
    <xf numFmtId="4" fontId="5" fillId="24" borderId="10" xfId="0" applyNumberFormat="1" applyFont="1" applyFill="1" applyBorder="1" applyAlignment="1"/>
    <xf numFmtId="0" fontId="10" fillId="24" borderId="3" xfId="0" applyFont="1" applyFill="1" applyBorder="1" applyAlignment="1">
      <alignment wrapText="1"/>
    </xf>
    <xf numFmtId="0" fontId="8" fillId="24" borderId="3" xfId="0" applyFont="1" applyFill="1" applyBorder="1" applyAlignment="1"/>
    <xf numFmtId="0" fontId="3" fillId="24" borderId="3" xfId="0" applyFont="1" applyFill="1" applyBorder="1" applyAlignment="1"/>
    <xf numFmtId="0" fontId="1" fillId="24" borderId="3" xfId="0" applyFont="1" applyFill="1" applyBorder="1" applyAlignment="1"/>
    <xf numFmtId="0" fontId="10" fillId="3" borderId="5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5" fillId="0" borderId="2" xfId="0" applyFont="1" applyBorder="1" applyAlignment="1"/>
    <xf numFmtId="0" fontId="5" fillId="24" borderId="2" xfId="0" applyFont="1" applyFill="1" applyBorder="1" applyAlignment="1"/>
    <xf numFmtId="0" fontId="5" fillId="24" borderId="2" xfId="0" applyFont="1" applyFill="1" applyBorder="1" applyAlignment="1">
      <alignment horizontal="right"/>
    </xf>
    <xf numFmtId="4" fontId="5" fillId="24" borderId="2" xfId="0" applyNumberFormat="1" applyFont="1" applyFill="1" applyBorder="1" applyAlignment="1">
      <alignment horizontal="right"/>
    </xf>
    <xf numFmtId="0" fontId="10" fillId="23" borderId="3" xfId="0" applyFont="1" applyFill="1" applyBorder="1" applyAlignment="1">
      <alignment wrapText="1"/>
    </xf>
    <xf numFmtId="0" fontId="10" fillId="25" borderId="3" xfId="0" applyFont="1" applyFill="1" applyBorder="1" applyAlignment="1">
      <alignment wrapText="1"/>
    </xf>
    <xf numFmtId="0" fontId="10" fillId="24" borderId="3" xfId="0" applyFont="1" applyFill="1" applyBorder="1" applyAlignment="1"/>
    <xf numFmtId="0" fontId="10" fillId="24" borderId="3" xfId="0" applyFont="1" applyFill="1" applyBorder="1" applyAlignment="1">
      <alignment horizontal="left"/>
    </xf>
    <xf numFmtId="0" fontId="10" fillId="23" borderId="5" xfId="0" applyFont="1" applyFill="1" applyBorder="1" applyAlignment="1">
      <alignment wrapText="1"/>
    </xf>
    <xf numFmtId="0" fontId="10" fillId="25" borderId="2" xfId="0" applyFont="1" applyFill="1" applyBorder="1" applyAlignment="1">
      <alignment wrapText="1"/>
    </xf>
    <xf numFmtId="0" fontId="10" fillId="24" borderId="2" xfId="0" applyFont="1" applyFill="1" applyBorder="1" applyAlignment="1"/>
    <xf numFmtId="4" fontId="10" fillId="24" borderId="2" xfId="0" applyNumberFormat="1" applyFont="1" applyFill="1" applyBorder="1" applyAlignment="1"/>
    <xf numFmtId="0" fontId="1" fillId="24" borderId="0" xfId="0" applyFont="1" applyFill="1"/>
    <xf numFmtId="0" fontId="1" fillId="24" borderId="0" xfId="0" applyFont="1" applyFill="1" applyAlignment="1"/>
    <xf numFmtId="0" fontId="11" fillId="24" borderId="0" xfId="0" applyFont="1" applyFill="1" applyAlignment="1"/>
    <xf numFmtId="4" fontId="1" fillId="0" borderId="0" xfId="0" applyNumberFormat="1" applyFont="1" applyAlignment="1"/>
    <xf numFmtId="0" fontId="1" fillId="20" borderId="0" xfId="0" applyFont="1" applyFill="1" applyAlignment="1"/>
    <xf numFmtId="0" fontId="1" fillId="20" borderId="0" xfId="0" applyFont="1" applyFill="1"/>
    <xf numFmtId="0" fontId="11" fillId="20" borderId="0" xfId="0" applyFont="1" applyFill="1" applyAlignment="1"/>
    <xf numFmtId="0" fontId="1" fillId="0" borderId="0" xfId="0" applyFont="1" applyAlignment="1"/>
    <xf numFmtId="0" fontId="1" fillId="0" borderId="0" xfId="0" applyFont="1"/>
    <xf numFmtId="0" fontId="1" fillId="24" borderId="0" xfId="0" applyFont="1" applyFill="1" applyAlignment="1"/>
    <xf numFmtId="0" fontId="1" fillId="24" borderId="0" xfId="0" applyFont="1" applyFill="1"/>
    <xf numFmtId="0" fontId="11" fillId="24" borderId="0" xfId="0" applyFont="1" applyFill="1" applyAlignment="1"/>
    <xf numFmtId="0" fontId="8" fillId="0" borderId="0" xfId="0" applyFont="1" applyAlignment="1"/>
    <xf numFmtId="0" fontId="3" fillId="0" borderId="0" xfId="0" applyFont="1" applyAlignment="1"/>
    <xf numFmtId="0" fontId="1" fillId="0" borderId="10" xfId="0" applyFont="1" applyBorder="1"/>
    <xf numFmtId="0" fontId="11" fillId="24" borderId="0" xfId="0" applyFont="1" applyFill="1"/>
    <xf numFmtId="4" fontId="1" fillId="0" borderId="0" xfId="0" applyNumberFormat="1" applyFont="1"/>
    <xf numFmtId="0" fontId="1" fillId="26" borderId="3" xfId="0" applyFont="1" applyFill="1" applyBorder="1" applyAlignment="1"/>
    <xf numFmtId="0" fontId="1" fillId="26" borderId="3" xfId="0" applyFont="1" applyFill="1" applyBorder="1"/>
    <xf numFmtId="4" fontId="1" fillId="7" borderId="0" xfId="0" applyNumberFormat="1" applyFont="1" applyFill="1"/>
    <xf numFmtId="0" fontId="8" fillId="3" borderId="0" xfId="0" applyFont="1" applyFill="1" applyAlignment="1"/>
    <xf numFmtId="0" fontId="8" fillId="3" borderId="10" xfId="0" applyFont="1" applyFill="1" applyBorder="1" applyAlignment="1"/>
    <xf numFmtId="0" fontId="8" fillId="3" borderId="3" xfId="0" applyFont="1" applyFill="1" applyBorder="1" applyAlignment="1"/>
    <xf numFmtId="0" fontId="1" fillId="27" borderId="0" xfId="0" applyFont="1" applyFill="1" applyAlignment="1"/>
    <xf numFmtId="0" fontId="10" fillId="0" borderId="0" xfId="0" applyFont="1" applyAlignment="1">
      <alignment wrapText="1"/>
    </xf>
    <xf numFmtId="0" fontId="10" fillId="24" borderId="0" xfId="0" applyFont="1" applyFill="1" applyAlignment="1">
      <alignment wrapText="1"/>
    </xf>
    <xf numFmtId="0" fontId="1" fillId="27" borderId="0" xfId="0" applyFont="1" applyFill="1"/>
    <xf numFmtId="0" fontId="2" fillId="0" borderId="0" xfId="0" applyFont="1" applyAlignment="1"/>
    <xf numFmtId="0" fontId="8" fillId="8" borderId="16" xfId="0" applyFont="1" applyFill="1" applyBorder="1" applyAlignment="1"/>
    <xf numFmtId="0" fontId="8" fillId="8" borderId="17" xfId="0" applyFont="1" applyFill="1" applyBorder="1" applyAlignment="1"/>
    <xf numFmtId="0" fontId="1" fillId="8" borderId="0" xfId="0" applyFont="1" applyFill="1" applyAlignment="1"/>
    <xf numFmtId="0" fontId="9" fillId="8" borderId="14" xfId="0" applyFont="1" applyFill="1" applyBorder="1" applyAlignment="1"/>
    <xf numFmtId="0" fontId="9" fillId="8" borderId="15" xfId="0" applyFont="1" applyFill="1" applyBorder="1" applyAlignment="1"/>
    <xf numFmtId="0" fontId="9" fillId="8" borderId="15" xfId="0" applyFont="1" applyFill="1" applyBorder="1" applyAlignment="1">
      <alignment horizontal="right"/>
    </xf>
    <xf numFmtId="0" fontId="3" fillId="8" borderId="0" xfId="0" applyFont="1" applyFill="1" applyAlignment="1"/>
    <xf numFmtId="0" fontId="8" fillId="8" borderId="0" xfId="0" applyFont="1" applyFill="1" applyAlignment="1"/>
    <xf numFmtId="0" fontId="8" fillId="24" borderId="0" xfId="0" applyFont="1" applyFill="1" applyAlignment="1"/>
    <xf numFmtId="0" fontId="8" fillId="0" borderId="0" xfId="0" applyFont="1" applyAlignment="1">
      <alignment horizontal="right"/>
    </xf>
    <xf numFmtId="0" fontId="9" fillId="8" borderId="15" xfId="0" applyFont="1" applyFill="1" applyBorder="1" applyAlignment="1">
      <alignment horizontal="right"/>
    </xf>
    <xf numFmtId="0" fontId="8" fillId="0" borderId="0" xfId="0" applyFont="1" applyAlignment="1"/>
    <xf numFmtId="0" fontId="9" fillId="19" borderId="16" xfId="0" applyFont="1" applyFill="1" applyBorder="1" applyAlignment="1"/>
    <xf numFmtId="0" fontId="9" fillId="19" borderId="17" xfId="0" applyFont="1" applyFill="1" applyBorder="1" applyAlignment="1"/>
    <xf numFmtId="0" fontId="9" fillId="19" borderId="17" xfId="0" applyFont="1" applyFill="1" applyBorder="1" applyAlignment="1">
      <alignment horizontal="right"/>
    </xf>
    <xf numFmtId="0" fontId="9" fillId="0" borderId="0" xfId="0" applyFont="1" applyAlignment="1"/>
    <xf numFmtId="0" fontId="6" fillId="0" borderId="0" xfId="0" applyFont="1" applyAlignment="1">
      <alignment horizontal="right"/>
    </xf>
    <xf numFmtId="0" fontId="9" fillId="8" borderId="16" xfId="0" applyFont="1" applyFill="1" applyBorder="1" applyAlignment="1"/>
    <xf numFmtId="0" fontId="9" fillId="8" borderId="17" xfId="0" applyFont="1" applyFill="1" applyBorder="1" applyAlignment="1"/>
    <xf numFmtId="0" fontId="9" fillId="8" borderId="17" xfId="0" applyFont="1" applyFill="1" applyBorder="1" applyAlignment="1"/>
    <xf numFmtId="0" fontId="6" fillId="0" borderId="0" xfId="0" applyFont="1" applyAlignment="1">
      <alignment horizontal="right"/>
    </xf>
    <xf numFmtId="0" fontId="9" fillId="8" borderId="17" xfId="0" applyFont="1" applyFill="1" applyBorder="1" applyAlignment="1">
      <alignment horizontal="right"/>
    </xf>
    <xf numFmtId="0" fontId="11" fillId="0" borderId="0" xfId="0" applyFont="1" applyAlignment="1"/>
    <xf numFmtId="0" fontId="11" fillId="0" borderId="0" xfId="0" applyFont="1" applyAlignment="1">
      <alignment horizontal="right"/>
    </xf>
    <xf numFmtId="0" fontId="3" fillId="19" borderId="18" xfId="0" applyFont="1" applyFill="1" applyBorder="1" applyAlignment="1"/>
    <xf numFmtId="0" fontId="8" fillId="19" borderId="18" xfId="0" applyFont="1" applyFill="1" applyBorder="1" applyAlignment="1"/>
    <xf numFmtId="0" fontId="1" fillId="19" borderId="0" xfId="0" applyFont="1" applyFill="1" applyAlignment="1"/>
    <xf numFmtId="0" fontId="8" fillId="8" borderId="0" xfId="0" applyFont="1" applyFill="1" applyAlignment="1">
      <alignment horizontal="right"/>
    </xf>
    <xf numFmtId="0" fontId="8" fillId="19" borderId="0" xfId="0" applyFont="1" applyFill="1" applyAlignment="1"/>
    <xf numFmtId="0" fontId="8" fillId="19" borderId="0" xfId="0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19" borderId="0" xfId="0" applyFont="1" applyFill="1" applyAlignment="1"/>
    <xf numFmtId="0" fontId="8" fillId="24" borderId="0" xfId="0" applyFont="1" applyFill="1" applyAlignment="1">
      <alignment horizontal="right"/>
    </xf>
    <xf numFmtId="0" fontId="11" fillId="0" borderId="0" xfId="0" applyFont="1"/>
    <xf numFmtId="0" fontId="12" fillId="0" borderId="0" xfId="0" applyFont="1" applyAlignment="1"/>
    <xf numFmtId="0" fontId="6" fillId="0" borderId="0" xfId="0" applyFont="1" applyAlignment="1"/>
    <xf numFmtId="0" fontId="9" fillId="8" borderId="15" xfId="0" applyFont="1" applyFill="1" applyBorder="1" applyAlignment="1"/>
    <xf numFmtId="0" fontId="9" fillId="19" borderId="14" xfId="0" applyFont="1" applyFill="1" applyBorder="1" applyAlignment="1"/>
    <xf numFmtId="0" fontId="9" fillId="19" borderId="15" xfId="0" applyFont="1" applyFill="1" applyBorder="1" applyAlignment="1"/>
    <xf numFmtId="0" fontId="9" fillId="19" borderId="15" xfId="0" applyFont="1" applyFill="1" applyBorder="1" applyAlignment="1"/>
    <xf numFmtId="0" fontId="9" fillId="19" borderId="17" xfId="0" applyFont="1" applyFill="1" applyBorder="1" applyAlignment="1"/>
    <xf numFmtId="0" fontId="8" fillId="16" borderId="14" xfId="0" applyFont="1" applyFill="1" applyBorder="1" applyAlignment="1"/>
    <xf numFmtId="0" fontId="8" fillId="16" borderId="15" xfId="0" applyFont="1" applyFill="1" applyBorder="1" applyAlignment="1"/>
    <xf numFmtId="0" fontId="8" fillId="16" borderId="15" xfId="0" applyFont="1" applyFill="1" applyBorder="1" applyAlignment="1">
      <alignment horizontal="right"/>
    </xf>
    <xf numFmtId="0" fontId="9" fillId="19" borderId="15" xfId="0" applyFont="1" applyFill="1" applyBorder="1" applyAlignment="1">
      <alignment horizontal="right"/>
    </xf>
    <xf numFmtId="0" fontId="9" fillId="19" borderId="15" xfId="0" applyFont="1" applyFill="1" applyBorder="1" applyAlignment="1">
      <alignment horizontal="right"/>
    </xf>
    <xf numFmtId="0" fontId="9" fillId="19" borderId="16" xfId="0" applyFont="1" applyFill="1" applyBorder="1" applyAlignment="1">
      <alignment horizontal="right"/>
    </xf>
    <xf numFmtId="0" fontId="9" fillId="8" borderId="16" xfId="0" applyFont="1" applyFill="1" applyBorder="1" applyAlignment="1">
      <alignment horizontal="right"/>
    </xf>
    <xf numFmtId="0" fontId="9" fillId="0" borderId="16" xfId="0" applyFont="1" applyBorder="1" applyAlignment="1">
      <alignment horizontal="right"/>
    </xf>
    <xf numFmtId="164" fontId="9" fillId="0" borderId="16" xfId="0" applyNumberFormat="1" applyFont="1" applyBorder="1" applyAlignment="1">
      <alignment horizontal="right"/>
    </xf>
    <xf numFmtId="0" fontId="9" fillId="0" borderId="17" xfId="0" applyFont="1" applyBorder="1" applyAlignment="1">
      <alignment horizontal="right"/>
    </xf>
    <xf numFmtId="0" fontId="8" fillId="5" borderId="0" xfId="0" applyFont="1" applyFill="1" applyAlignment="1"/>
    <xf numFmtId="0" fontId="8" fillId="0" borderId="0" xfId="0" applyFont="1" applyAlignment="1"/>
    <xf numFmtId="0" fontId="8" fillId="3" borderId="0" xfId="0" applyFont="1" applyFill="1" applyAlignment="1">
      <alignment horizontal="left"/>
    </xf>
    <xf numFmtId="0" fontId="1" fillId="28" borderId="0" xfId="0" applyFont="1" applyFill="1" applyAlignment="1"/>
    <xf numFmtId="0" fontId="1" fillId="28" borderId="0" xfId="0" applyFont="1" applyFill="1"/>
    <xf numFmtId="0" fontId="2" fillId="0" borderId="0" xfId="0" applyFont="1"/>
    <xf numFmtId="0" fontId="13" fillId="0" borderId="0" xfId="0" applyFont="1" applyAlignment="1"/>
    <xf numFmtId="15" fontId="9" fillId="8" borderId="0" xfId="0" applyNumberFormat="1" applyFont="1" applyFill="1" applyAlignment="1"/>
    <xf numFmtId="0" fontId="3" fillId="8" borderId="0" xfId="0" applyFont="1" applyFill="1" applyAlignment="1">
      <alignment horizontal="right"/>
    </xf>
    <xf numFmtId="15" fontId="9" fillId="8" borderId="14" xfId="0" applyNumberFormat="1" applyFont="1" applyFill="1" applyBorder="1" applyAlignment="1">
      <alignment horizontal="right"/>
    </xf>
    <xf numFmtId="0" fontId="9" fillId="8" borderId="14" xfId="0" applyFont="1" applyFill="1" applyBorder="1" applyAlignment="1">
      <alignment horizontal="right"/>
    </xf>
    <xf numFmtId="0" fontId="9" fillId="8" borderId="0" xfId="0" applyFont="1" applyFill="1" applyAlignment="1">
      <alignment horizontal="right"/>
    </xf>
    <xf numFmtId="15" fontId="8" fillId="16" borderId="15" xfId="0" applyNumberFormat="1" applyFont="1" applyFill="1" applyBorder="1" applyAlignment="1">
      <alignment horizontal="right"/>
    </xf>
    <xf numFmtId="0" fontId="11" fillId="16" borderId="0" xfId="0" applyFont="1" applyFill="1" applyAlignment="1"/>
    <xf numFmtId="0" fontId="8" fillId="16" borderId="14" xfId="0" applyFont="1" applyFill="1" applyBorder="1" applyAlignment="1">
      <alignment horizontal="right"/>
    </xf>
    <xf numFmtId="0" fontId="8" fillId="16" borderId="0" xfId="0" applyFont="1" applyFill="1" applyAlignment="1">
      <alignment horizontal="right"/>
    </xf>
    <xf numFmtId="0" fontId="11" fillId="16" borderId="0" xfId="0" applyFont="1" applyFill="1"/>
    <xf numFmtId="15" fontId="9" fillId="8" borderId="15" xfId="0" applyNumberFormat="1" applyFont="1" applyFill="1" applyBorder="1" applyAlignment="1">
      <alignment horizontal="right"/>
    </xf>
    <xf numFmtId="0" fontId="9" fillId="8" borderId="14" xfId="0" applyFont="1" applyFill="1" applyBorder="1" applyAlignment="1">
      <alignment horizontal="right"/>
    </xf>
    <xf numFmtId="0" fontId="9" fillId="8" borderId="0" xfId="0" applyFont="1" applyFill="1" applyAlignment="1">
      <alignment horizontal="right"/>
    </xf>
    <xf numFmtId="15" fontId="9" fillId="19" borderId="17" xfId="0" applyNumberFormat="1" applyFont="1" applyFill="1" applyBorder="1" applyAlignment="1">
      <alignment horizontal="right"/>
    </xf>
    <xf numFmtId="0" fontId="9" fillId="19" borderId="16" xfId="0" applyFont="1" applyFill="1" applyBorder="1" applyAlignment="1">
      <alignment horizontal="right"/>
    </xf>
    <xf numFmtId="0" fontId="9" fillId="19" borderId="0" xfId="0" applyFont="1" applyFill="1" applyAlignment="1">
      <alignment horizontal="right"/>
    </xf>
    <xf numFmtId="0" fontId="9" fillId="19" borderId="17" xfId="0" applyFont="1" applyFill="1" applyBorder="1" applyAlignment="1">
      <alignment horizontal="right"/>
    </xf>
    <xf numFmtId="0" fontId="5" fillId="8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5" fontId="9" fillId="8" borderId="17" xfId="0" applyNumberFormat="1" applyFont="1" applyFill="1" applyBorder="1" applyAlignment="1">
      <alignment horizontal="right"/>
    </xf>
    <xf numFmtId="0" fontId="5" fillId="8" borderId="0" xfId="0" applyFont="1" applyFill="1" applyAlignment="1">
      <alignment horizontal="right"/>
    </xf>
    <xf numFmtId="15" fontId="9" fillId="19" borderId="0" xfId="0" applyNumberFormat="1" applyFont="1" applyFill="1" applyAlignment="1">
      <alignment horizontal="right"/>
    </xf>
    <xf numFmtId="0" fontId="1" fillId="19" borderId="0" xfId="0" applyFont="1" applyFill="1" applyAlignment="1">
      <alignment horizontal="right"/>
    </xf>
    <xf numFmtId="15" fontId="9" fillId="8" borderId="0" xfId="0" applyNumberFormat="1" applyFont="1" applyFill="1" applyAlignment="1">
      <alignment horizontal="right"/>
    </xf>
    <xf numFmtId="164" fontId="3" fillId="8" borderId="0" xfId="0" applyNumberFormat="1" applyFont="1" applyFill="1" applyAlignment="1">
      <alignment horizontal="right"/>
    </xf>
    <xf numFmtId="15" fontId="9" fillId="19" borderId="0" xfId="0" applyNumberFormat="1" applyFont="1" applyFill="1" applyAlignment="1">
      <alignment horizontal="right"/>
    </xf>
    <xf numFmtId="164" fontId="3" fillId="2" borderId="19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19" xfId="0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0" fontId="9" fillId="19" borderId="14" xfId="0" applyFont="1" applyFill="1" applyBorder="1" applyAlignment="1">
      <alignment horizontal="right"/>
    </xf>
    <xf numFmtId="0" fontId="3" fillId="19" borderId="15" xfId="0" applyFont="1" applyFill="1" applyBorder="1" applyAlignment="1"/>
    <xf numFmtId="164" fontId="3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/>
    <xf numFmtId="15" fontId="9" fillId="5" borderId="0" xfId="0" applyNumberFormat="1" applyFont="1" applyFill="1" applyAlignment="1">
      <alignment horizontal="right"/>
    </xf>
    <xf numFmtId="0" fontId="1" fillId="26" borderId="0" xfId="0" applyFont="1" applyFill="1" applyAlignment="1"/>
    <xf numFmtId="0" fontId="1" fillId="26" borderId="0" xfId="0" applyFont="1" applyFill="1"/>
    <xf numFmtId="0" fontId="1" fillId="22" borderId="0" xfId="0" applyFont="1" applyFill="1" applyAlignment="1"/>
    <xf numFmtId="0" fontId="8" fillId="24" borderId="0" xfId="0" applyFont="1" applyFill="1" applyAlignment="1">
      <alignment horizontal="right"/>
    </xf>
    <xf numFmtId="3" fontId="5" fillId="27" borderId="0" xfId="0" applyNumberFormat="1" applyFont="1" applyFill="1" applyAlignment="1">
      <alignment horizontal="right"/>
    </xf>
    <xf numFmtId="0" fontId="5" fillId="27" borderId="0" xfId="0" applyFont="1" applyFill="1" applyAlignment="1">
      <alignment horizontal="right"/>
    </xf>
    <xf numFmtId="0" fontId="9" fillId="19" borderId="0" xfId="0" applyFont="1" applyFill="1" applyAlignment="1">
      <alignment horizontal="right"/>
    </xf>
    <xf numFmtId="4" fontId="8" fillId="24" borderId="0" xfId="0" applyNumberFormat="1" applyFont="1" applyFill="1" applyAlignment="1">
      <alignment horizontal="right"/>
    </xf>
    <xf numFmtId="15" fontId="9" fillId="19" borderId="15" xfId="0" applyNumberFormat="1" applyFont="1" applyFill="1" applyBorder="1" applyAlignment="1">
      <alignment horizontal="right"/>
    </xf>
    <xf numFmtId="4" fontId="11" fillId="24" borderId="0" xfId="0" applyNumberFormat="1" applyFont="1" applyFill="1" applyAlignment="1"/>
    <xf numFmtId="0" fontId="8" fillId="16" borderId="0" xfId="0" applyFont="1" applyFill="1" applyAlignment="1"/>
    <xf numFmtId="4" fontId="11" fillId="0" borderId="0" xfId="0" applyNumberFormat="1" applyFont="1" applyAlignment="1"/>
    <xf numFmtId="0" fontId="8" fillId="16" borderId="0" xfId="0" applyFont="1" applyFill="1" applyAlignment="1"/>
    <xf numFmtId="0" fontId="8" fillId="24" borderId="0" xfId="0" applyFont="1" applyFill="1" applyAlignment="1"/>
    <xf numFmtId="15" fontId="8" fillId="16" borderId="0" xfId="0" applyNumberFormat="1" applyFont="1" applyFill="1" applyAlignment="1">
      <alignment horizontal="right"/>
    </xf>
    <xf numFmtId="0" fontId="8" fillId="16" borderId="0" xfId="0" applyFont="1" applyFill="1" applyAlignment="1">
      <alignment horizontal="right"/>
    </xf>
    <xf numFmtId="0" fontId="6" fillId="24" borderId="0" xfId="0" applyFont="1" applyFill="1" applyAlignment="1">
      <alignment horizontal="right"/>
    </xf>
    <xf numFmtId="4" fontId="11" fillId="24" borderId="0" xfId="0" applyNumberFormat="1" applyFont="1" applyFill="1" applyAlignment="1">
      <alignment horizontal="right"/>
    </xf>
    <xf numFmtId="0" fontId="11" fillId="24" borderId="0" xfId="0" applyFont="1" applyFill="1" applyAlignment="1">
      <alignment horizontal="right"/>
    </xf>
    <xf numFmtId="4" fontId="11" fillId="24" borderId="0" xfId="0" applyNumberFormat="1" applyFont="1" applyFill="1" applyAlignment="1">
      <alignment horizontal="right"/>
    </xf>
    <xf numFmtId="0" fontId="11" fillId="24" borderId="0" xfId="0" applyFont="1" applyFill="1" applyAlignment="1">
      <alignment horizontal="right"/>
    </xf>
    <xf numFmtId="0" fontId="15" fillId="0" borderId="0" xfId="0" applyFont="1" applyAlignment="1">
      <alignment horizontal="right"/>
    </xf>
    <xf numFmtId="4" fontId="8" fillId="24" borderId="0" xfId="0" applyNumberFormat="1" applyFont="1" applyFill="1" applyAlignment="1">
      <alignment horizontal="right"/>
    </xf>
    <xf numFmtId="0" fontId="15" fillId="0" borderId="0" xfId="0" applyFont="1" applyAlignment="1"/>
    <xf numFmtId="4" fontId="11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8" fillId="11" borderId="0" xfId="0" applyFont="1" applyFill="1" applyAlignment="1">
      <alignment horizontal="right"/>
    </xf>
    <xf numFmtId="0" fontId="3" fillId="11" borderId="0" xfId="0" applyFont="1" applyFill="1" applyAlignment="1"/>
    <xf numFmtId="0" fontId="3" fillId="11" borderId="0" xfId="0" applyFont="1" applyFill="1" applyAlignment="1">
      <alignment horizontal="right"/>
    </xf>
    <xf numFmtId="4" fontId="11" fillId="24" borderId="0" xfId="0" applyNumberFormat="1" applyFont="1" applyFill="1"/>
    <xf numFmtId="4" fontId="8" fillId="24" borderId="0" xfId="0" applyNumberFormat="1" applyFont="1" applyFill="1" applyAlignment="1"/>
    <xf numFmtId="164" fontId="8" fillId="24" borderId="0" xfId="0" applyNumberFormat="1" applyFont="1" applyFill="1" applyAlignment="1">
      <alignment horizontal="right"/>
    </xf>
    <xf numFmtId="0" fontId="9" fillId="8" borderId="16" xfId="0" applyFont="1" applyFill="1" applyBorder="1" applyAlignment="1">
      <alignment horizontal="right"/>
    </xf>
    <xf numFmtId="0" fontId="3" fillId="0" borderId="0" xfId="0" applyFont="1" applyAlignment="1"/>
    <xf numFmtId="3" fontId="1" fillId="0" borderId="0" xfId="0" applyNumberFormat="1" applyFont="1"/>
    <xf numFmtId="0" fontId="10" fillId="23" borderId="0" xfId="0" applyFont="1" applyFill="1" applyAlignment="1">
      <alignment wrapText="1"/>
    </xf>
    <xf numFmtId="0" fontId="8" fillId="0" borderId="0" xfId="0" applyFont="1" applyAlignment="1">
      <alignment horizontal="right"/>
    </xf>
    <xf numFmtId="164" fontId="1" fillId="0" borderId="0" xfId="0" applyNumberFormat="1" applyFont="1" applyAlignment="1"/>
    <xf numFmtId="0" fontId="1" fillId="22" borderId="0" xfId="0" applyFont="1" applyFill="1"/>
    <xf numFmtId="164" fontId="8" fillId="8" borderId="0" xfId="0" applyNumberFormat="1" applyFont="1" applyFill="1" applyAlignment="1">
      <alignment horizontal="right"/>
    </xf>
    <xf numFmtId="0" fontId="8" fillId="29" borderId="0" xfId="0" applyFont="1" applyFill="1" applyAlignment="1">
      <alignment horizontal="right"/>
    </xf>
    <xf numFmtId="0" fontId="8" fillId="29" borderId="0" xfId="0" applyFont="1" applyFill="1" applyAlignment="1"/>
    <xf numFmtId="164" fontId="8" fillId="29" borderId="0" xfId="0" applyNumberFormat="1" applyFont="1" applyFill="1" applyAlignment="1">
      <alignment horizontal="right"/>
    </xf>
    <xf numFmtId="0" fontId="1" fillId="30" borderId="0" xfId="0" applyFont="1" applyFill="1" applyAlignment="1"/>
    <xf numFmtId="0" fontId="1" fillId="30" borderId="0" xfId="0" applyFont="1" applyFill="1"/>
    <xf numFmtId="0" fontId="6" fillId="0" borderId="0" xfId="0" applyFont="1" applyAlignment="1">
      <alignment horizontal="right"/>
    </xf>
    <xf numFmtId="0" fontId="8" fillId="0" borderId="3" xfId="0" applyFont="1" applyBorder="1" applyAlignment="1"/>
    <xf numFmtId="0" fontId="5" fillId="0" borderId="20" xfId="0" applyFont="1" applyBorder="1" applyAlignment="1">
      <alignment horizontal="right"/>
    </xf>
    <xf numFmtId="0" fontId="10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24" borderId="2" xfId="0" applyFont="1" applyFill="1" applyBorder="1" applyAlignment="1"/>
    <xf numFmtId="0" fontId="10" fillId="24" borderId="2" xfId="0" applyFont="1" applyFill="1" applyBorder="1" applyAlignment="1">
      <alignment wrapText="1"/>
    </xf>
    <xf numFmtId="0" fontId="8" fillId="24" borderId="2" xfId="0" applyFont="1" applyFill="1" applyBorder="1" applyAlignment="1"/>
    <xf numFmtId="0" fontId="10" fillId="0" borderId="2" xfId="0" applyFont="1" applyBorder="1" applyAlignment="1">
      <alignment wrapText="1"/>
    </xf>
    <xf numFmtId="0" fontId="3" fillId="24" borderId="0" xfId="0" applyFont="1" applyFill="1" applyAlignment="1"/>
    <xf numFmtId="0" fontId="5" fillId="0" borderId="20" xfId="0" applyFont="1" applyBorder="1" applyAlignment="1">
      <alignment horizontal="right"/>
    </xf>
    <xf numFmtId="0" fontId="1" fillId="4" borderId="3" xfId="0" applyFont="1" applyFill="1" applyBorder="1" applyAlignment="1"/>
    <xf numFmtId="0" fontId="1" fillId="4" borderId="0" xfId="0" applyFont="1" applyFill="1" applyAlignment="1"/>
    <xf numFmtId="0" fontId="5" fillId="0" borderId="0" xfId="0" applyFont="1" applyAlignment="1">
      <alignment horizontal="right"/>
    </xf>
    <xf numFmtId="0" fontId="1" fillId="4" borderId="3" xfId="0" applyFont="1" applyFill="1" applyBorder="1"/>
    <xf numFmtId="0" fontId="16" fillId="0" borderId="0" xfId="0" applyFont="1" applyAlignment="1"/>
    <xf numFmtId="0" fontId="0" fillId="0" borderId="19" xfId="0" applyBorder="1"/>
    <xf numFmtId="0" fontId="0" fillId="0" borderId="21" xfId="0" applyBorder="1"/>
    <xf numFmtId="0" fontId="1" fillId="0" borderId="21" xfId="0" applyFont="1" applyBorder="1" applyAlignment="1"/>
    <xf numFmtId="0" fontId="3" fillId="0" borderId="21" xfId="0" applyFont="1" applyBorder="1" applyAlignment="1">
      <alignment horizontal="left"/>
    </xf>
    <xf numFmtId="20" fontId="1" fillId="0" borderId="21" xfId="0" applyNumberFormat="1" applyFont="1" applyBorder="1" applyAlignment="1"/>
    <xf numFmtId="0" fontId="4" fillId="4" borderId="21" xfId="0" applyFont="1" applyFill="1" applyBorder="1" applyAlignment="1">
      <alignment horizontal="left"/>
    </xf>
    <xf numFmtId="0" fontId="4" fillId="5" borderId="21" xfId="0" applyFont="1" applyFill="1" applyBorder="1" applyAlignment="1">
      <alignment horizontal="left"/>
    </xf>
    <xf numFmtId="0" fontId="4" fillId="6" borderId="21" xfId="0" applyFont="1" applyFill="1" applyBorder="1" applyAlignment="1">
      <alignment horizontal="left"/>
    </xf>
    <xf numFmtId="0" fontId="4" fillId="3" borderId="21" xfId="0" applyFont="1" applyFill="1" applyBorder="1" applyAlignment="1">
      <alignment horizontal="left"/>
    </xf>
    <xf numFmtId="0" fontId="0" fillId="0" borderId="21" xfId="0" applyFont="1" applyBorder="1" applyAlignment="1"/>
    <xf numFmtId="0" fontId="1" fillId="3" borderId="21" xfId="0" applyFont="1" applyFill="1" applyBorder="1" applyAlignment="1"/>
    <xf numFmtId="21" fontId="1" fillId="0" borderId="21" xfId="0" applyNumberFormat="1" applyFont="1" applyBorder="1" applyAlignment="1"/>
    <xf numFmtId="0" fontId="5" fillId="7" borderId="21" xfId="0" applyFont="1" applyFill="1" applyBorder="1" applyAlignment="1">
      <alignment horizontal="right"/>
    </xf>
    <xf numFmtId="0" fontId="6" fillId="8" borderId="21" xfId="0" applyFont="1" applyFill="1" applyBorder="1" applyAlignment="1"/>
    <xf numFmtId="0" fontId="5" fillId="0" borderId="21" xfId="0" applyFont="1" applyBorder="1" applyAlignment="1">
      <alignment horizontal="right"/>
    </xf>
    <xf numFmtId="0" fontId="7" fillId="9" borderId="21" xfId="0" applyFont="1" applyFill="1" applyBorder="1" applyAlignment="1">
      <alignment horizontal="left"/>
    </xf>
    <xf numFmtId="20" fontId="4" fillId="6" borderId="21" xfId="0" applyNumberFormat="1" applyFont="1" applyFill="1" applyBorder="1" applyAlignment="1">
      <alignment horizontal="left"/>
    </xf>
    <xf numFmtId="0" fontId="4" fillId="9" borderId="21" xfId="0" applyFont="1" applyFill="1" applyBorder="1" applyAlignment="1">
      <alignment horizontal="left"/>
    </xf>
    <xf numFmtId="20" fontId="7" fillId="6" borderId="21" xfId="0" applyNumberFormat="1" applyFont="1" applyFill="1" applyBorder="1" applyAlignment="1">
      <alignment horizontal="left"/>
    </xf>
    <xf numFmtId="0" fontId="1" fillId="0" borderId="21" xfId="0" applyFont="1" applyFill="1" applyBorder="1" applyAlignment="1"/>
    <xf numFmtId="0" fontId="7" fillId="0" borderId="21" xfId="0" applyFont="1" applyFill="1" applyBorder="1" applyAlignment="1">
      <alignment horizontal="left"/>
    </xf>
    <xf numFmtId="0" fontId="4" fillId="0" borderId="21" xfId="0" applyFont="1" applyFill="1" applyBorder="1" applyAlignment="1">
      <alignment horizontal="left"/>
    </xf>
    <xf numFmtId="0" fontId="7" fillId="6" borderId="21" xfId="0" applyFont="1" applyFill="1" applyBorder="1" applyAlignment="1">
      <alignment horizontal="left"/>
    </xf>
    <xf numFmtId="0" fontId="1" fillId="10" borderId="21" xfId="0" applyFont="1" applyFill="1" applyBorder="1"/>
    <xf numFmtId="0" fontId="4" fillId="0" borderId="21" xfId="0" applyFont="1" applyBorder="1" applyAlignment="1">
      <alignment horizontal="left"/>
    </xf>
    <xf numFmtId="0" fontId="6" fillId="0" borderId="21" xfId="0" applyFont="1" applyBorder="1" applyAlignment="1"/>
    <xf numFmtId="0" fontId="4" fillId="11" borderId="21" xfId="0" applyFont="1" applyFill="1" applyBorder="1" applyAlignment="1">
      <alignment horizontal="left"/>
    </xf>
    <xf numFmtId="0" fontId="1" fillId="12" borderId="21" xfId="0" applyFont="1" applyFill="1" applyBorder="1" applyAlignment="1"/>
    <xf numFmtId="0" fontId="3" fillId="12" borderId="21" xfId="0" applyFont="1" applyFill="1" applyBorder="1" applyAlignment="1">
      <alignment horizontal="left"/>
    </xf>
    <xf numFmtId="20" fontId="1" fillId="12" borderId="21" xfId="0" applyNumberFormat="1" applyFont="1" applyFill="1" applyBorder="1" applyAlignment="1"/>
    <xf numFmtId="0" fontId="4" fillId="12" borderId="21" xfId="0" applyFont="1" applyFill="1" applyBorder="1" applyAlignment="1">
      <alignment horizontal="left"/>
    </xf>
    <xf numFmtId="20" fontId="7" fillId="12" borderId="21" xfId="0" applyNumberFormat="1" applyFont="1" applyFill="1" applyBorder="1" applyAlignment="1">
      <alignment horizontal="left"/>
    </xf>
    <xf numFmtId="21" fontId="1" fillId="12" borderId="21" xfId="0" applyNumberFormat="1" applyFont="1" applyFill="1" applyBorder="1" applyAlignment="1"/>
    <xf numFmtId="0" fontId="5" fillId="12" borderId="21" xfId="0" applyFont="1" applyFill="1" applyBorder="1" applyAlignment="1"/>
    <xf numFmtId="0" fontId="1" fillId="12" borderId="21" xfId="0" applyFont="1" applyFill="1" applyBorder="1"/>
    <xf numFmtId="0" fontId="7" fillId="4" borderId="21" xfId="0" applyFont="1" applyFill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11" borderId="21" xfId="0" applyFont="1" applyFill="1" applyBorder="1" applyAlignment="1">
      <alignment horizontal="left"/>
    </xf>
    <xf numFmtId="0" fontId="4" fillId="13" borderId="21" xfId="0" applyFont="1" applyFill="1" applyBorder="1" applyAlignment="1">
      <alignment horizontal="left"/>
    </xf>
    <xf numFmtId="0" fontId="7" fillId="3" borderId="21" xfId="0" applyFont="1" applyFill="1" applyBorder="1" applyAlignment="1">
      <alignment horizontal="left"/>
    </xf>
    <xf numFmtId="0" fontId="4" fillId="14" borderId="21" xfId="0" applyFont="1" applyFill="1" applyBorder="1" applyAlignment="1">
      <alignment horizontal="left"/>
    </xf>
    <xf numFmtId="0" fontId="5" fillId="0" borderId="21" xfId="0" applyFont="1" applyBorder="1" applyAlignment="1">
      <alignment horizontal="left"/>
    </xf>
    <xf numFmtId="20" fontId="1" fillId="6" borderId="21" xfId="0" applyNumberFormat="1" applyFont="1" applyFill="1" applyBorder="1" applyAlignment="1">
      <alignment horizontal="left"/>
    </xf>
    <xf numFmtId="0" fontId="4" fillId="15" borderId="21" xfId="0" applyFont="1" applyFill="1" applyBorder="1" applyAlignment="1">
      <alignment horizontal="left"/>
    </xf>
    <xf numFmtId="0" fontId="4" fillId="7" borderId="21" xfId="0" applyFont="1" applyFill="1" applyBorder="1" applyAlignment="1">
      <alignment horizontal="left"/>
    </xf>
    <xf numFmtId="0" fontId="1" fillId="7" borderId="21" xfId="0" applyFont="1" applyFill="1" applyBorder="1" applyAlignment="1"/>
    <xf numFmtId="0" fontId="1" fillId="7" borderId="21" xfId="0" applyFont="1" applyFill="1" applyBorder="1"/>
    <xf numFmtId="0" fontId="4" fillId="7" borderId="21" xfId="0" applyFont="1" applyFill="1" applyBorder="1" applyAlignment="1"/>
    <xf numFmtId="0" fontId="1" fillId="9" borderId="21" xfId="0" applyFont="1" applyFill="1" applyBorder="1" applyAlignment="1"/>
    <xf numFmtId="0" fontId="8" fillId="9" borderId="21" xfId="0" applyFont="1" applyFill="1" applyBorder="1" applyAlignment="1"/>
    <xf numFmtId="0" fontId="3" fillId="9" borderId="21" xfId="0" applyFont="1" applyFill="1" applyBorder="1" applyAlignment="1"/>
    <xf numFmtId="0" fontId="1" fillId="9" borderId="21" xfId="0" applyFont="1" applyFill="1" applyBorder="1"/>
    <xf numFmtId="0" fontId="17" fillId="0" borderId="21" xfId="0" applyFont="1" applyBorder="1"/>
    <xf numFmtId="0" fontId="17" fillId="0" borderId="21" xfId="0" applyFont="1" applyBorder="1" applyAlignment="1"/>
    <xf numFmtId="21" fontId="1" fillId="0" borderId="21" xfId="0" applyNumberFormat="1" applyFont="1" applyFill="1" applyBorder="1" applyAlignment="1"/>
    <xf numFmtId="0" fontId="18" fillId="3" borderId="5" xfId="0" applyFont="1" applyFill="1" applyBorder="1" applyAlignment="1">
      <alignment wrapText="1"/>
    </xf>
    <xf numFmtId="0" fontId="17" fillId="0" borderId="0" xfId="0" applyFont="1" applyAlignment="1"/>
    <xf numFmtId="0" fontId="0" fillId="31" borderId="0" xfId="0" applyFont="1" applyFill="1" applyAlignment="1"/>
    <xf numFmtId="0" fontId="0" fillId="0" borderId="19" xfId="0" applyNumberFormat="1" applyBorder="1"/>
    <xf numFmtId="0" fontId="19" fillId="0" borderId="0" xfId="0" applyFont="1" applyAlignment="1"/>
    <xf numFmtId="0" fontId="8" fillId="0" borderId="0" xfId="0" applyNumberFormat="1" applyFont="1" applyAlignment="1">
      <alignment horizontal="right"/>
    </xf>
    <xf numFmtId="0" fontId="1" fillId="0" borderId="0" xfId="0" applyFont="1" applyFill="1" applyAlignment="1"/>
    <xf numFmtId="0" fontId="8" fillId="0" borderId="16" xfId="0" applyFont="1" applyFill="1" applyBorder="1" applyAlignment="1"/>
    <xf numFmtId="0" fontId="8" fillId="0" borderId="17" xfId="0" applyFont="1" applyFill="1" applyBorder="1" applyAlignment="1"/>
    <xf numFmtId="0" fontId="16" fillId="0" borderId="0" xfId="0" applyFont="1" applyFill="1" applyAlignment="1"/>
    <xf numFmtId="0" fontId="21" fillId="0" borderId="14" xfId="0" applyFont="1" applyFill="1" applyBorder="1" applyAlignment="1"/>
    <xf numFmtId="0" fontId="21" fillId="0" borderId="15" xfId="0" applyFont="1" applyFill="1" applyBorder="1" applyAlignment="1"/>
    <xf numFmtId="0" fontId="21" fillId="0" borderId="15" xfId="0" applyFont="1" applyFill="1" applyBorder="1" applyAlignment="1">
      <alignment horizontal="right"/>
    </xf>
    <xf numFmtId="0" fontId="21" fillId="0" borderId="0" xfId="0" applyFont="1" applyFill="1" applyAlignment="1"/>
    <xf numFmtId="0" fontId="20" fillId="0" borderId="0" xfId="0" applyFont="1" applyFill="1" applyAlignment="1"/>
    <xf numFmtId="0" fontId="21" fillId="0" borderId="0" xfId="0" applyFont="1" applyAlignment="1"/>
    <xf numFmtId="0" fontId="21" fillId="0" borderId="0" xfId="0" applyFont="1" applyAlignment="1">
      <alignment horizontal="right"/>
    </xf>
    <xf numFmtId="0" fontId="20" fillId="0" borderId="0" xfId="0" applyFont="1" applyFill="1"/>
    <xf numFmtId="0" fontId="21" fillId="0" borderId="16" xfId="0" applyFont="1" applyFill="1" applyBorder="1" applyAlignment="1"/>
    <xf numFmtId="0" fontId="21" fillId="0" borderId="17" xfId="0" applyFont="1" applyFill="1" applyBorder="1" applyAlignment="1"/>
    <xf numFmtId="0" fontId="21" fillId="0" borderId="17" xfId="0" applyFont="1" applyFill="1" applyBorder="1" applyAlignment="1">
      <alignment horizontal="right"/>
    </xf>
    <xf numFmtId="0" fontId="20" fillId="0" borderId="0" xfId="0" applyFont="1" applyAlignment="1"/>
    <xf numFmtId="0" fontId="21" fillId="0" borderId="18" xfId="0" applyFont="1" applyFill="1" applyBorder="1" applyAlignment="1"/>
    <xf numFmtId="0" fontId="21" fillId="0" borderId="0" xfId="0" applyFont="1" applyFill="1" applyAlignment="1">
      <alignment horizontal="right"/>
    </xf>
    <xf numFmtId="0" fontId="20" fillId="0" borderId="0" xfId="0" applyFont="1"/>
    <xf numFmtId="0" fontId="22" fillId="0" borderId="0" xfId="0" applyFont="1" applyAlignment="1"/>
    <xf numFmtId="0" fontId="20" fillId="0" borderId="19" xfId="0" applyFont="1" applyBorder="1"/>
    <xf numFmtId="0" fontId="21" fillId="0" borderId="16" xfId="0" applyFont="1" applyFill="1" applyBorder="1" applyAlignment="1">
      <alignment horizontal="right"/>
    </xf>
    <xf numFmtId="0" fontId="21" fillId="5" borderId="0" xfId="0" applyFont="1" applyFill="1" applyAlignment="1"/>
    <xf numFmtId="0" fontId="20" fillId="2" borderId="0" xfId="0" applyFont="1" applyFill="1" applyAlignment="1"/>
    <xf numFmtId="0" fontId="21" fillId="3" borderId="0" xfId="0" applyFont="1" applyFill="1" applyAlignment="1">
      <alignment horizontal="left"/>
    </xf>
    <xf numFmtId="0" fontId="16" fillId="28" borderId="0" xfId="0" applyFont="1" applyFill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Tabla EEG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Puntaje Z (proteína)-style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Puntaje Z (proteína)-style 2" pivot="0" count="3" xr9:uid="{00000000-0011-0000-FFFF-FFFF02000000}">
      <tableStyleElement type="headerRow" dxfId="9"/>
      <tableStyleElement type="firstRowStripe" dxfId="8"/>
      <tableStyleElement type="secondRowStripe" dxfId="7"/>
    </tableStyle>
    <tableStyle name="Proteína-style" pivot="0" count="3" xr9:uid="{00000000-0011-0000-FFFF-FFFF03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4:F31" headerRowCount="0" headerRowDxfId="3" dataDxfId="2" totalsRowDxfId="1">
  <tableColumns count="1">
    <tableColumn id="1" xr3:uid="{00000000-0010-0000-0100-000001000000}" name="Column1" dataDxfId="0"/>
  </tableColumns>
  <tableStyleInfo name="Puntaje Z (proteína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9:AN19" headerRowCount="0">
  <tableColumns count="4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</tableColumns>
  <tableStyleInfo name="Proteín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03"/>
  <sheetViews>
    <sheetView workbookViewId="0">
      <selection activeCell="B41" sqref="B41"/>
    </sheetView>
  </sheetViews>
  <sheetFormatPr baseColWidth="10" defaultColWidth="14.5" defaultRowHeight="15.75" customHeight="1"/>
  <cols>
    <col min="2" max="2" width="24.83203125" customWidth="1"/>
    <col min="7" max="7" width="29.5" customWidth="1"/>
    <col min="8" max="8" width="42.6640625" customWidth="1"/>
    <col min="9" max="10" width="27.83203125" customWidth="1"/>
    <col min="11" max="12" width="21.33203125" customWidth="1"/>
    <col min="13" max="13" width="31.83203125" customWidth="1"/>
    <col min="14" max="14" width="28" customWidth="1"/>
    <col min="15" max="15" width="23.6640625" customWidth="1"/>
    <col min="16" max="16" width="31" customWidth="1"/>
    <col min="17" max="17" width="25.1640625" customWidth="1"/>
    <col min="20" max="20" width="35.83203125" customWidth="1"/>
  </cols>
  <sheetData>
    <row r="1" spans="1:40" s="320" customFormat="1" ht="44" customHeight="1">
      <c r="A1" s="320" t="s">
        <v>0</v>
      </c>
      <c r="B1" s="320" t="s">
        <v>1</v>
      </c>
      <c r="C1" s="320" t="s">
        <v>2</v>
      </c>
      <c r="D1" s="320" t="s">
        <v>3</v>
      </c>
      <c r="E1" s="320" t="s">
        <v>4</v>
      </c>
      <c r="F1" s="320" t="s">
        <v>5</v>
      </c>
      <c r="G1" s="406" t="s">
        <v>6</v>
      </c>
      <c r="H1" s="407"/>
      <c r="I1" s="408"/>
      <c r="J1" s="371" t="s">
        <v>750</v>
      </c>
      <c r="K1" s="320" t="s">
        <v>7</v>
      </c>
      <c r="L1" s="409" t="s">
        <v>8</v>
      </c>
      <c r="M1" s="410"/>
      <c r="N1" s="410"/>
      <c r="O1" s="411"/>
      <c r="P1" s="372" t="s">
        <v>750</v>
      </c>
      <c r="Q1" s="320" t="s">
        <v>9</v>
      </c>
      <c r="R1" s="320" t="s">
        <v>10</v>
      </c>
      <c r="S1" s="320" t="s">
        <v>11</v>
      </c>
      <c r="T1" s="320" t="s">
        <v>12</v>
      </c>
      <c r="U1" s="371" t="s">
        <v>751</v>
      </c>
      <c r="V1" s="371" t="s">
        <v>752</v>
      </c>
      <c r="W1" s="371"/>
      <c r="X1" s="371"/>
    </row>
    <row r="2" spans="1:40" s="328" customFormat="1" ht="15">
      <c r="A2" s="321" t="s">
        <v>13</v>
      </c>
      <c r="B2" s="321" t="s">
        <v>14</v>
      </c>
      <c r="C2" s="322" t="s">
        <v>15</v>
      </c>
      <c r="D2" s="320" t="s">
        <v>16</v>
      </c>
      <c r="E2" s="323">
        <v>0.48333333333333334</v>
      </c>
      <c r="F2" s="321">
        <v>0</v>
      </c>
      <c r="G2" s="324" t="s">
        <v>17</v>
      </c>
      <c r="H2" s="325" t="s">
        <v>18</v>
      </c>
      <c r="I2" s="325"/>
      <c r="J2" s="326" t="s">
        <v>19</v>
      </c>
      <c r="K2" s="327" t="s">
        <v>20</v>
      </c>
      <c r="L2" s="324" t="s">
        <v>21</v>
      </c>
      <c r="M2" s="324" t="s">
        <v>22</v>
      </c>
      <c r="O2" s="325"/>
      <c r="P2" s="326" t="s">
        <v>23</v>
      </c>
      <c r="Q2" s="329" t="s">
        <v>21</v>
      </c>
      <c r="R2" s="330">
        <v>8.6689814814814806E-3</v>
      </c>
      <c r="S2" s="330">
        <v>2.2106481481481482E-3</v>
      </c>
      <c r="U2" s="331">
        <v>376.12</v>
      </c>
      <c r="V2" s="332">
        <v>371.64</v>
      </c>
      <c r="W2" s="321"/>
      <c r="Y2" s="333"/>
    </row>
    <row r="3" spans="1:40" s="328" customFormat="1" ht="15">
      <c r="A3" s="321" t="s">
        <v>24</v>
      </c>
      <c r="B3" s="321" t="s">
        <v>25</v>
      </c>
      <c r="C3" s="322" t="s">
        <v>26</v>
      </c>
      <c r="D3" s="320" t="s">
        <v>27</v>
      </c>
      <c r="E3" s="323">
        <v>0.69444444444444442</v>
      </c>
      <c r="F3" s="321">
        <v>0</v>
      </c>
      <c r="G3" s="334" t="s">
        <v>28</v>
      </c>
      <c r="H3" s="324" t="s">
        <v>29</v>
      </c>
      <c r="I3" s="325"/>
      <c r="J3" s="335">
        <v>0.13541666666666666</v>
      </c>
      <c r="K3" s="327" t="s">
        <v>30</v>
      </c>
      <c r="L3" s="324" t="s">
        <v>31</v>
      </c>
      <c r="M3" s="336" t="s">
        <v>32</v>
      </c>
      <c r="N3" s="325"/>
      <c r="O3" s="325"/>
      <c r="P3" s="337">
        <v>0.20694444444444443</v>
      </c>
      <c r="Q3" s="329" t="s">
        <v>33</v>
      </c>
      <c r="R3" s="330">
        <v>2.2569444444444442E-3</v>
      </c>
      <c r="S3" s="330">
        <v>3.449074074074074E-3</v>
      </c>
      <c r="U3" s="331">
        <v>239.2</v>
      </c>
      <c r="V3" s="332">
        <v>435.48</v>
      </c>
      <c r="W3" s="321"/>
      <c r="Y3" s="333"/>
    </row>
    <row r="4" spans="1:40" s="328" customFormat="1" ht="15">
      <c r="A4" s="321" t="s">
        <v>34</v>
      </c>
      <c r="B4" s="321" t="s">
        <v>35</v>
      </c>
      <c r="C4" s="322" t="s">
        <v>36</v>
      </c>
      <c r="D4" s="320" t="s">
        <v>37</v>
      </c>
      <c r="E4" s="323">
        <v>0.47708333333333336</v>
      </c>
      <c r="F4" s="321">
        <v>0</v>
      </c>
      <c r="G4" s="324" t="s">
        <v>38</v>
      </c>
      <c r="H4" s="325"/>
      <c r="I4" s="325"/>
      <c r="J4" s="335">
        <v>0.19722222222222222</v>
      </c>
      <c r="K4" s="327" t="s">
        <v>39</v>
      </c>
      <c r="L4" s="324" t="s">
        <v>40</v>
      </c>
      <c r="M4" s="336" t="s">
        <v>41</v>
      </c>
      <c r="N4" s="325"/>
      <c r="O4" s="325"/>
      <c r="P4" s="326" t="s">
        <v>42</v>
      </c>
      <c r="Q4" s="329" t="s">
        <v>43</v>
      </c>
      <c r="R4" s="330">
        <v>3.2870370370370371E-3</v>
      </c>
      <c r="S4" s="330">
        <v>2.3379629629629631E-3</v>
      </c>
      <c r="U4" s="331">
        <v>274.15865000000002</v>
      </c>
      <c r="V4" s="332">
        <v>526.67999999999995</v>
      </c>
      <c r="W4" s="321"/>
      <c r="Y4" s="333"/>
    </row>
    <row r="5" spans="1:40" s="328" customFormat="1" ht="15">
      <c r="A5" s="321" t="s">
        <v>44</v>
      </c>
      <c r="B5" s="320" t="s">
        <v>45</v>
      </c>
      <c r="C5" s="322" t="s">
        <v>46</v>
      </c>
      <c r="D5" s="320" t="s">
        <v>47</v>
      </c>
      <c r="E5" s="323">
        <v>0.53680555555555554</v>
      </c>
      <c r="F5" s="338">
        <v>0</v>
      </c>
      <c r="G5" s="339" t="s">
        <v>48</v>
      </c>
      <c r="H5" s="340" t="s">
        <v>49</v>
      </c>
      <c r="I5" s="340"/>
      <c r="J5" s="326" t="s">
        <v>50</v>
      </c>
      <c r="K5" s="327" t="s">
        <v>51</v>
      </c>
      <c r="L5" s="340" t="s">
        <v>52</v>
      </c>
      <c r="M5" s="340" t="s">
        <v>53</v>
      </c>
      <c r="N5" s="340"/>
      <c r="O5" s="340"/>
      <c r="P5" s="341" t="s">
        <v>54</v>
      </c>
      <c r="Q5" s="329" t="s">
        <v>55</v>
      </c>
      <c r="R5" s="373">
        <v>4.4675925925925924E-3</v>
      </c>
      <c r="S5" s="373">
        <v>4.8263888888888887E-3</v>
      </c>
      <c r="T5" s="338" t="s">
        <v>56</v>
      </c>
      <c r="U5" s="331">
        <v>507.09768999999994</v>
      </c>
      <c r="V5" s="332">
        <v>574.55999999999995</v>
      </c>
      <c r="W5" s="321"/>
      <c r="Y5" s="333"/>
      <c r="Z5" s="342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  <c r="AM5" s="342"/>
      <c r="AN5" s="342"/>
    </row>
    <row r="6" spans="1:40" s="328" customFormat="1" ht="15">
      <c r="A6" s="321" t="s">
        <v>57</v>
      </c>
      <c r="B6" s="321" t="s">
        <v>58</v>
      </c>
      <c r="C6" s="322" t="s">
        <v>59</v>
      </c>
      <c r="D6" s="320" t="s">
        <v>60</v>
      </c>
      <c r="E6" s="323">
        <v>0.59444444444444444</v>
      </c>
      <c r="F6" s="321">
        <v>0</v>
      </c>
      <c r="G6" s="324" t="s">
        <v>61</v>
      </c>
      <c r="H6" s="343"/>
      <c r="I6" s="343"/>
      <c r="J6" s="335">
        <v>0.42222222222222222</v>
      </c>
      <c r="K6" s="327" t="s">
        <v>62</v>
      </c>
      <c r="L6" s="343" t="s">
        <v>63</v>
      </c>
      <c r="M6" s="343"/>
      <c r="O6" s="343"/>
      <c r="P6" s="337">
        <v>0.3125</v>
      </c>
      <c r="Q6" s="329" t="s">
        <v>64</v>
      </c>
      <c r="R6" s="330">
        <v>7.037037037037037E-3</v>
      </c>
      <c r="S6" s="330">
        <v>5.208333333333333E-3</v>
      </c>
      <c r="U6" s="331">
        <v>333.9</v>
      </c>
      <c r="V6" s="332">
        <v>670.32</v>
      </c>
      <c r="W6" s="321"/>
      <c r="Y6" s="333"/>
    </row>
    <row r="7" spans="1:40" s="328" customFormat="1" ht="15">
      <c r="A7" s="321" t="s">
        <v>65</v>
      </c>
      <c r="B7" s="321" t="s">
        <v>66</v>
      </c>
      <c r="C7" s="322" t="s">
        <v>67</v>
      </c>
      <c r="D7" s="320" t="s">
        <v>68</v>
      </c>
      <c r="E7" s="323">
        <v>0.69722222222222219</v>
      </c>
      <c r="F7" s="321">
        <v>0</v>
      </c>
      <c r="G7" s="324" t="s">
        <v>69</v>
      </c>
      <c r="H7" s="325"/>
      <c r="I7" s="325"/>
      <c r="J7" s="335">
        <v>0.24374999999999999</v>
      </c>
      <c r="K7" s="327" t="s">
        <v>70</v>
      </c>
      <c r="L7" s="324" t="s">
        <v>71</v>
      </c>
      <c r="M7" s="325"/>
      <c r="N7" s="325"/>
      <c r="O7" s="325"/>
      <c r="P7" s="335">
        <v>0.22430555555555556</v>
      </c>
      <c r="Q7" s="329" t="s">
        <v>72</v>
      </c>
      <c r="R7" s="330">
        <v>4.0625000000000001E-3</v>
      </c>
      <c r="S7" s="330">
        <v>3.7384259259259259E-3</v>
      </c>
      <c r="U7" s="331">
        <v>258.31229999999994</v>
      </c>
      <c r="V7" s="332">
        <v>410.4</v>
      </c>
      <c r="W7" s="344"/>
      <c r="Y7" s="333"/>
    </row>
    <row r="8" spans="1:40" s="328" customFormat="1" ht="15">
      <c r="A8" s="321" t="s">
        <v>73</v>
      </c>
      <c r="B8" s="321" t="s">
        <v>74</v>
      </c>
      <c r="C8" s="322" t="s">
        <v>75</v>
      </c>
      <c r="D8" s="320" t="s">
        <v>76</v>
      </c>
      <c r="E8" s="323">
        <v>0.73124999999999996</v>
      </c>
      <c r="F8" s="321">
        <v>0</v>
      </c>
      <c r="G8" s="336" t="s">
        <v>77</v>
      </c>
      <c r="H8" s="345" t="s">
        <v>78</v>
      </c>
      <c r="I8" s="325"/>
      <c r="J8" s="335">
        <v>0.24583333333333332</v>
      </c>
      <c r="K8" s="327" t="s">
        <v>79</v>
      </c>
      <c r="L8" s="345" t="s">
        <v>80</v>
      </c>
      <c r="M8" s="325"/>
      <c r="N8" s="325"/>
      <c r="O8" s="325"/>
      <c r="P8" s="341" t="s">
        <v>81</v>
      </c>
      <c r="Q8" s="329" t="s">
        <v>82</v>
      </c>
      <c r="R8" s="330">
        <v>4.0972222222222226E-3</v>
      </c>
      <c r="S8" s="330">
        <v>4.5949074074074078E-3</v>
      </c>
      <c r="U8" s="331">
        <v>263.53000000000003</v>
      </c>
      <c r="V8" s="332">
        <v>405.84</v>
      </c>
      <c r="W8" s="321"/>
      <c r="Y8" s="333"/>
    </row>
    <row r="9" spans="1:40" s="328" customFormat="1" ht="15">
      <c r="A9" s="346" t="s">
        <v>83</v>
      </c>
      <c r="B9" s="346" t="s">
        <v>84</v>
      </c>
      <c r="C9" s="347" t="s">
        <v>85</v>
      </c>
      <c r="D9" s="346" t="s">
        <v>86</v>
      </c>
      <c r="E9" s="348">
        <v>0.83611111111111114</v>
      </c>
      <c r="F9" s="346">
        <v>0</v>
      </c>
      <c r="G9" s="349" t="s">
        <v>87</v>
      </c>
      <c r="H9" s="349"/>
      <c r="I9" s="349"/>
      <c r="J9" s="350">
        <v>0.2638888888888889</v>
      </c>
      <c r="K9" s="349" t="s">
        <v>88</v>
      </c>
      <c r="L9" s="349" t="s">
        <v>89</v>
      </c>
      <c r="M9" s="349"/>
      <c r="N9" s="349"/>
      <c r="O9" s="349"/>
      <c r="P9" s="349" t="s">
        <v>90</v>
      </c>
      <c r="Q9" s="346" t="s">
        <v>91</v>
      </c>
      <c r="R9" s="351">
        <v>4.3981481481481484E-3</v>
      </c>
      <c r="S9" s="351">
        <v>3.6805555555555554E-3</v>
      </c>
      <c r="T9" s="346" t="s">
        <v>92</v>
      </c>
      <c r="U9" s="352" t="s">
        <v>93</v>
      </c>
      <c r="V9" s="353"/>
      <c r="W9" s="353"/>
      <c r="X9" s="353"/>
      <c r="Y9" s="352"/>
      <c r="Z9" s="353"/>
      <c r="AA9" s="353"/>
      <c r="AB9" s="353"/>
      <c r="AC9" s="353"/>
      <c r="AD9" s="353"/>
      <c r="AE9" s="353"/>
      <c r="AF9" s="353"/>
      <c r="AG9" s="353"/>
      <c r="AH9" s="353"/>
      <c r="AI9" s="353"/>
      <c r="AJ9" s="353"/>
      <c r="AK9" s="353"/>
      <c r="AL9" s="353"/>
      <c r="AM9" s="353"/>
      <c r="AN9" s="353"/>
    </row>
    <row r="10" spans="1:40" s="328" customFormat="1" ht="15">
      <c r="A10" s="321" t="s">
        <v>94</v>
      </c>
      <c r="B10" s="321" t="s">
        <v>95</v>
      </c>
      <c r="C10" s="322" t="s">
        <v>96</v>
      </c>
      <c r="D10" s="320" t="s">
        <v>97</v>
      </c>
      <c r="E10" s="323">
        <v>0.86597222222222225</v>
      </c>
      <c r="F10" s="321">
        <v>0</v>
      </c>
      <c r="G10" s="354" t="s">
        <v>98</v>
      </c>
      <c r="H10" s="343"/>
      <c r="I10" s="355"/>
      <c r="J10" s="337">
        <v>0.20555555555555555</v>
      </c>
      <c r="K10" s="327" t="s">
        <v>99</v>
      </c>
      <c r="L10" s="324" t="s">
        <v>100</v>
      </c>
      <c r="M10" s="325"/>
      <c r="N10" s="325"/>
      <c r="O10" s="325"/>
      <c r="P10" s="335">
        <v>0.19236111111111112</v>
      </c>
      <c r="Q10" s="329" t="s">
        <v>101</v>
      </c>
      <c r="R10" s="330">
        <v>3.425925925925926E-3</v>
      </c>
      <c r="S10" s="330">
        <v>3.2060185185185186E-3</v>
      </c>
      <c r="U10" s="331">
        <v>206.89</v>
      </c>
      <c r="V10" s="332">
        <v>663.48</v>
      </c>
      <c r="W10" s="321"/>
      <c r="Y10" s="333"/>
    </row>
    <row r="11" spans="1:40" s="328" customFormat="1" ht="15">
      <c r="A11" s="321" t="s">
        <v>102</v>
      </c>
      <c r="B11" s="321" t="s">
        <v>103</v>
      </c>
      <c r="C11" s="322" t="s">
        <v>104</v>
      </c>
      <c r="D11" s="320" t="s">
        <v>105</v>
      </c>
      <c r="E11" s="323">
        <v>0.5756944444444444</v>
      </c>
      <c r="F11" s="321">
        <v>0</v>
      </c>
      <c r="G11" s="356" t="s">
        <v>106</v>
      </c>
      <c r="H11" s="357" t="s">
        <v>107</v>
      </c>
      <c r="I11" s="325"/>
      <c r="J11" s="326" t="s">
        <v>108</v>
      </c>
      <c r="K11" s="358" t="s">
        <v>109</v>
      </c>
      <c r="L11" s="354" t="s">
        <v>110</v>
      </c>
      <c r="M11" s="345" t="s">
        <v>111</v>
      </c>
      <c r="N11" s="325"/>
      <c r="O11" s="325"/>
      <c r="P11" s="326" t="s">
        <v>112</v>
      </c>
      <c r="Q11" s="329" t="s">
        <v>113</v>
      </c>
      <c r="R11" s="330">
        <v>4.2361111111111115E-3</v>
      </c>
      <c r="S11" s="330">
        <v>4.2245370370370371E-3</v>
      </c>
      <c r="U11" s="331">
        <v>476.00000000000006</v>
      </c>
      <c r="V11" s="332">
        <v>346.56</v>
      </c>
      <c r="Y11" s="333"/>
    </row>
    <row r="12" spans="1:40" s="328" customFormat="1" ht="15">
      <c r="A12" s="321" t="s">
        <v>114</v>
      </c>
      <c r="B12" s="321" t="s">
        <v>115</v>
      </c>
      <c r="C12" s="322" t="s">
        <v>116</v>
      </c>
      <c r="D12" s="320" t="s">
        <v>117</v>
      </c>
      <c r="E12" s="323">
        <v>0.8618055555555556</v>
      </c>
      <c r="F12" s="321">
        <v>0</v>
      </c>
      <c r="G12" s="354" t="s">
        <v>118</v>
      </c>
      <c r="H12" s="325"/>
      <c r="I12" s="325"/>
      <c r="J12" s="326" t="s">
        <v>119</v>
      </c>
      <c r="K12" s="327" t="s">
        <v>120</v>
      </c>
      <c r="L12" s="324" t="s">
        <v>121</v>
      </c>
      <c r="M12" s="325"/>
      <c r="N12" s="325"/>
      <c r="O12" s="325"/>
      <c r="P12" s="335">
        <v>0.29097222222222224</v>
      </c>
      <c r="Q12" s="329" t="s">
        <v>122</v>
      </c>
      <c r="R12" s="330">
        <v>3.2754629629629631E-3</v>
      </c>
      <c r="S12" s="330">
        <v>4.8495370370370368E-3</v>
      </c>
      <c r="U12" s="331">
        <v>409.4</v>
      </c>
      <c r="V12" s="332">
        <v>549.48</v>
      </c>
      <c r="W12" s="321"/>
      <c r="Y12" s="333"/>
    </row>
    <row r="13" spans="1:40" s="328" customFormat="1" ht="15">
      <c r="A13" s="321" t="s">
        <v>123</v>
      </c>
      <c r="B13" s="321" t="s">
        <v>124</v>
      </c>
      <c r="C13" s="322" t="s">
        <v>125</v>
      </c>
      <c r="D13" s="320" t="s">
        <v>126</v>
      </c>
      <c r="E13" s="323">
        <v>0.47916666666666669</v>
      </c>
      <c r="F13" s="321">
        <v>0</v>
      </c>
      <c r="G13" s="356" t="s">
        <v>127</v>
      </c>
      <c r="H13" s="324" t="s">
        <v>128</v>
      </c>
      <c r="I13" s="325"/>
      <c r="J13" s="326" t="s">
        <v>129</v>
      </c>
      <c r="K13" s="358" t="s">
        <v>130</v>
      </c>
      <c r="L13" s="354" t="s">
        <v>131</v>
      </c>
      <c r="M13" s="345" t="s">
        <v>132</v>
      </c>
      <c r="N13" s="359" t="s">
        <v>133</v>
      </c>
      <c r="O13" s="325"/>
      <c r="P13" s="326" t="s">
        <v>134</v>
      </c>
      <c r="Q13" s="358" t="s">
        <v>135</v>
      </c>
      <c r="R13" s="330">
        <v>4.0625000000000001E-3</v>
      </c>
      <c r="S13" s="330">
        <v>6.9212962962962961E-3</v>
      </c>
      <c r="U13" s="331">
        <v>114.55680000000001</v>
      </c>
      <c r="V13" s="332">
        <v>335.16</v>
      </c>
      <c r="W13" s="321"/>
      <c r="Y13" s="333"/>
    </row>
    <row r="14" spans="1:40" s="328" customFormat="1" ht="15.75" customHeight="1">
      <c r="A14" s="321" t="s">
        <v>136</v>
      </c>
      <c r="B14" s="321" t="s">
        <v>137</v>
      </c>
      <c r="C14" s="360" t="s">
        <v>138</v>
      </c>
      <c r="D14" s="320" t="s">
        <v>139</v>
      </c>
      <c r="E14" s="323">
        <v>0.66805555555555551</v>
      </c>
      <c r="F14" s="321">
        <v>0</v>
      </c>
      <c r="G14" s="334" t="s">
        <v>140</v>
      </c>
      <c r="H14" s="345" t="s">
        <v>141</v>
      </c>
      <c r="I14" s="325"/>
      <c r="J14" s="337">
        <v>0.19444444444444445</v>
      </c>
      <c r="K14" s="327" t="s">
        <v>142</v>
      </c>
      <c r="L14" s="345" t="s">
        <v>143</v>
      </c>
      <c r="M14" s="357" t="s">
        <v>144</v>
      </c>
      <c r="N14" s="325"/>
      <c r="O14" s="325"/>
      <c r="P14" s="337">
        <v>0.24027777777777778</v>
      </c>
      <c r="Q14" s="329" t="s">
        <v>145</v>
      </c>
      <c r="R14" s="330">
        <v>3.2407407407407406E-3</v>
      </c>
      <c r="S14" s="330">
        <v>4.0046296296296297E-3</v>
      </c>
      <c r="U14" s="331">
        <v>264.59000000000003</v>
      </c>
      <c r="V14" s="332">
        <v>560.88</v>
      </c>
      <c r="W14" s="321"/>
      <c r="Y14" s="333"/>
    </row>
    <row r="15" spans="1:40" s="328" customFormat="1" ht="15">
      <c r="A15" s="321" t="s">
        <v>146</v>
      </c>
      <c r="B15" s="321" t="s">
        <v>147</v>
      </c>
      <c r="C15" s="322" t="s">
        <v>148</v>
      </c>
      <c r="D15" s="320" t="s">
        <v>149</v>
      </c>
      <c r="E15" s="323">
        <v>0.63124999999999998</v>
      </c>
      <c r="F15" s="321">
        <v>0</v>
      </c>
      <c r="G15" s="356" t="s">
        <v>150</v>
      </c>
      <c r="H15" s="324" t="s">
        <v>151</v>
      </c>
      <c r="I15" s="354" t="s">
        <v>152</v>
      </c>
      <c r="J15" s="326" t="s">
        <v>153</v>
      </c>
      <c r="K15" s="329" t="s">
        <v>154</v>
      </c>
      <c r="L15" s="336" t="s">
        <v>155</v>
      </c>
      <c r="M15" s="324" t="s">
        <v>156</v>
      </c>
      <c r="N15" s="356" t="s">
        <v>157</v>
      </c>
      <c r="O15" s="345" t="s">
        <v>158</v>
      </c>
      <c r="P15" s="326" t="s">
        <v>159</v>
      </c>
      <c r="Q15" s="329" t="s">
        <v>160</v>
      </c>
      <c r="R15" s="330">
        <v>9.0046296296296298E-3</v>
      </c>
      <c r="S15" s="330">
        <v>8.8773148148148153E-3</v>
      </c>
      <c r="U15" s="331">
        <v>229.96433999999999</v>
      </c>
      <c r="V15" s="332">
        <v>487.92</v>
      </c>
      <c r="W15" s="321"/>
      <c r="Y15" s="333"/>
    </row>
    <row r="16" spans="1:40" s="328" customFormat="1" ht="15">
      <c r="A16" s="321" t="s">
        <v>161</v>
      </c>
      <c r="B16" s="321" t="s">
        <v>162</v>
      </c>
      <c r="C16" s="322" t="s">
        <v>163</v>
      </c>
      <c r="D16" s="320" t="s">
        <v>164</v>
      </c>
      <c r="E16" s="330">
        <v>0.80972222222222223</v>
      </c>
      <c r="F16" s="321">
        <v>0</v>
      </c>
      <c r="G16" s="356" t="s">
        <v>165</v>
      </c>
      <c r="H16" s="343"/>
      <c r="I16" s="343"/>
      <c r="J16" s="361">
        <v>0.22291666666666668</v>
      </c>
      <c r="K16" s="327" t="s">
        <v>166</v>
      </c>
      <c r="L16" s="345" t="s">
        <v>167</v>
      </c>
      <c r="N16" s="325"/>
      <c r="O16" s="325"/>
      <c r="P16" s="337">
        <v>0.22916666666666666</v>
      </c>
      <c r="Q16" s="329" t="s">
        <v>168</v>
      </c>
      <c r="R16" s="330">
        <v>3.7152777777777778E-3</v>
      </c>
      <c r="S16" s="330">
        <v>3.8194444444444443E-3</v>
      </c>
      <c r="T16" s="321"/>
      <c r="U16" s="331">
        <v>97.020340000000004</v>
      </c>
      <c r="V16" s="332">
        <v>412.68</v>
      </c>
      <c r="W16" s="321"/>
      <c r="Y16" s="333"/>
    </row>
    <row r="17" spans="1:40" s="328" customFormat="1" ht="15.75" customHeight="1">
      <c r="A17" s="346" t="s">
        <v>169</v>
      </c>
      <c r="B17" s="346" t="s">
        <v>170</v>
      </c>
      <c r="C17" s="346" t="s">
        <v>171</v>
      </c>
      <c r="D17" s="346" t="s">
        <v>172</v>
      </c>
      <c r="E17" s="348">
        <v>0.48958333333333331</v>
      </c>
      <c r="F17" s="346">
        <v>0</v>
      </c>
      <c r="G17" s="353"/>
      <c r="H17" s="353"/>
      <c r="I17" s="353"/>
      <c r="J17" s="353"/>
      <c r="K17" s="346" t="s">
        <v>173</v>
      </c>
      <c r="L17" s="353"/>
      <c r="M17" s="353"/>
      <c r="N17" s="353"/>
      <c r="O17" s="353"/>
      <c r="P17" s="353"/>
      <c r="Q17" s="346" t="s">
        <v>174</v>
      </c>
      <c r="R17" s="353"/>
      <c r="S17" s="353"/>
      <c r="T17" s="353"/>
      <c r="U17" s="352"/>
      <c r="V17" s="353"/>
      <c r="W17" s="353"/>
      <c r="X17" s="353"/>
      <c r="Y17" s="352"/>
      <c r="Z17" s="353"/>
      <c r="AA17" s="353"/>
      <c r="AB17" s="353"/>
      <c r="AC17" s="353"/>
      <c r="AD17" s="353"/>
      <c r="AE17" s="353"/>
      <c r="AF17" s="353"/>
      <c r="AG17" s="353"/>
      <c r="AH17" s="353"/>
      <c r="AI17" s="353"/>
      <c r="AJ17" s="353"/>
      <c r="AK17" s="353"/>
      <c r="AL17" s="353"/>
      <c r="AM17" s="353"/>
      <c r="AN17" s="353"/>
    </row>
    <row r="18" spans="1:40" s="328" customFormat="1" ht="15.75" customHeight="1">
      <c r="A18" s="321" t="s">
        <v>175</v>
      </c>
      <c r="B18" s="321" t="s">
        <v>176</v>
      </c>
      <c r="C18" s="360" t="s">
        <v>177</v>
      </c>
      <c r="D18" s="320" t="s">
        <v>178</v>
      </c>
      <c r="E18" s="323">
        <v>0.70625000000000004</v>
      </c>
      <c r="F18" s="321">
        <v>0</v>
      </c>
      <c r="G18" s="362" t="s">
        <v>179</v>
      </c>
      <c r="H18" s="356" t="s">
        <v>180</v>
      </c>
      <c r="I18" s="363" t="s">
        <v>181</v>
      </c>
      <c r="J18" s="341" t="s">
        <v>182</v>
      </c>
      <c r="K18" s="358" t="s">
        <v>181</v>
      </c>
      <c r="L18" s="356" t="s">
        <v>183</v>
      </c>
      <c r="M18" s="345" t="s">
        <v>184</v>
      </c>
      <c r="N18" s="355" t="s">
        <v>185</v>
      </c>
      <c r="O18" s="325"/>
      <c r="P18" s="341" t="s">
        <v>186</v>
      </c>
      <c r="Q18" s="329" t="s">
        <v>187</v>
      </c>
      <c r="R18" s="330">
        <v>3.9236111111111112E-3</v>
      </c>
      <c r="S18" s="330">
        <v>2.8240740740740739E-3</v>
      </c>
      <c r="U18" s="331">
        <v>264.59000000000003</v>
      </c>
      <c r="V18" s="332">
        <v>412.68</v>
      </c>
      <c r="W18" s="344"/>
      <c r="Y18" s="333"/>
    </row>
    <row r="19" spans="1:40" s="328" customFormat="1" ht="15.75" customHeight="1">
      <c r="A19" s="321" t="s">
        <v>188</v>
      </c>
      <c r="B19" s="364" t="s">
        <v>189</v>
      </c>
      <c r="C19" s="321" t="s">
        <v>190</v>
      </c>
      <c r="D19" s="365"/>
      <c r="E19" s="365"/>
      <c r="F19" s="365"/>
      <c r="G19" s="364" t="s">
        <v>191</v>
      </c>
      <c r="H19" s="366" t="s">
        <v>192</v>
      </c>
      <c r="I19" s="366" t="s">
        <v>193</v>
      </c>
      <c r="J19" s="366"/>
      <c r="K19" s="366" t="s">
        <v>194</v>
      </c>
      <c r="L19" s="366" t="s">
        <v>195</v>
      </c>
      <c r="M19" s="366" t="s">
        <v>196</v>
      </c>
      <c r="N19" s="366"/>
      <c r="O19" s="366"/>
      <c r="P19" s="366"/>
      <c r="Q19" s="329" t="s">
        <v>197</v>
      </c>
      <c r="R19" s="365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5"/>
      <c r="AE19" s="365"/>
      <c r="AF19" s="365"/>
      <c r="AG19" s="365"/>
      <c r="AH19" s="365"/>
      <c r="AI19" s="365"/>
      <c r="AJ19" s="365"/>
      <c r="AK19" s="365"/>
      <c r="AL19" s="365"/>
      <c r="AM19" s="365"/>
      <c r="AN19" s="365"/>
    </row>
    <row r="20" spans="1:40" s="328" customFormat="1" ht="15">
      <c r="A20" s="367" t="s">
        <v>198</v>
      </c>
      <c r="B20" s="368" t="s">
        <v>199</v>
      </c>
      <c r="C20" s="369" t="s">
        <v>200</v>
      </c>
      <c r="D20" s="370"/>
      <c r="E20" s="365"/>
      <c r="F20" s="365"/>
      <c r="G20" s="364" t="s">
        <v>201</v>
      </c>
      <c r="H20" s="366"/>
      <c r="I20" s="366"/>
      <c r="J20" s="366"/>
      <c r="K20" s="366" t="s">
        <v>202</v>
      </c>
      <c r="L20" s="364" t="s">
        <v>203</v>
      </c>
      <c r="M20" s="366"/>
      <c r="N20" s="366"/>
      <c r="O20" s="366"/>
      <c r="P20" s="366"/>
      <c r="Q20" s="329" t="s">
        <v>204</v>
      </c>
      <c r="R20" s="365"/>
      <c r="S20" s="365"/>
      <c r="T20" s="365"/>
      <c r="U20" s="365"/>
      <c r="V20" s="365"/>
      <c r="W20" s="365"/>
      <c r="X20" s="365"/>
      <c r="Y20" s="365"/>
      <c r="Z20" s="365"/>
      <c r="AA20" s="365"/>
      <c r="AB20" s="365"/>
      <c r="AC20" s="365"/>
      <c r="AD20" s="365"/>
      <c r="AE20" s="365"/>
      <c r="AF20" s="365"/>
      <c r="AG20" s="365"/>
      <c r="AH20" s="365"/>
      <c r="AI20" s="365"/>
      <c r="AJ20" s="365"/>
      <c r="AK20" s="365"/>
      <c r="AL20" s="365"/>
      <c r="AM20" s="365"/>
      <c r="AN20" s="365"/>
    </row>
    <row r="21" spans="1:40" ht="15.75" customHeight="1">
      <c r="Q21" s="32"/>
    </row>
    <row r="22" spans="1:40" ht="15.75" customHeight="1">
      <c r="Q22" s="32"/>
    </row>
    <row r="23" spans="1:40" ht="15">
      <c r="A23" s="2" t="s">
        <v>205</v>
      </c>
      <c r="B23" s="2" t="s">
        <v>206</v>
      </c>
      <c r="C23" s="3" t="s">
        <v>207</v>
      </c>
      <c r="D23" s="319" t="s">
        <v>208</v>
      </c>
      <c r="E23" s="4">
        <v>0.57013888888888886</v>
      </c>
      <c r="F23" s="2">
        <v>1</v>
      </c>
      <c r="G23" s="5" t="s">
        <v>209</v>
      </c>
      <c r="H23" s="5" t="s">
        <v>210</v>
      </c>
      <c r="I23" s="33"/>
      <c r="J23" s="7" t="s">
        <v>211</v>
      </c>
      <c r="K23" s="8" t="s">
        <v>212</v>
      </c>
      <c r="L23" s="5" t="s">
        <v>213</v>
      </c>
      <c r="M23" s="28" t="s">
        <v>214</v>
      </c>
      <c r="N23" s="28" t="s">
        <v>215</v>
      </c>
      <c r="O23" s="6"/>
      <c r="P23" s="7" t="s">
        <v>216</v>
      </c>
      <c r="Q23" s="9" t="s">
        <v>217</v>
      </c>
      <c r="R23" s="10">
        <v>3.9467592592592592E-3</v>
      </c>
      <c r="S23" s="10">
        <v>5.5208333333333333E-3</v>
      </c>
      <c r="U23" s="11">
        <v>159.19999999999999</v>
      </c>
      <c r="V23" s="12">
        <v>456</v>
      </c>
      <c r="W23" s="13"/>
      <c r="Y23" s="14"/>
    </row>
    <row r="24" spans="1:40" ht="15">
      <c r="A24" s="2" t="s">
        <v>218</v>
      </c>
      <c r="B24" s="2" t="s">
        <v>219</v>
      </c>
      <c r="C24" s="3" t="s">
        <v>220</v>
      </c>
      <c r="D24" s="319" t="s">
        <v>221</v>
      </c>
      <c r="E24" s="4">
        <v>0.59722222222222221</v>
      </c>
      <c r="F24" s="2">
        <v>1</v>
      </c>
      <c r="G24" s="5" t="s">
        <v>222</v>
      </c>
      <c r="H24" s="5" t="s">
        <v>223</v>
      </c>
      <c r="I24" s="34"/>
      <c r="J24" s="7" t="s">
        <v>224</v>
      </c>
      <c r="K24" s="8" t="s">
        <v>225</v>
      </c>
      <c r="L24" s="5" t="s">
        <v>226</v>
      </c>
      <c r="M24" s="23" t="s">
        <v>227</v>
      </c>
      <c r="N24" s="28" t="s">
        <v>228</v>
      </c>
      <c r="O24" s="6"/>
      <c r="P24" s="7" t="s">
        <v>229</v>
      </c>
      <c r="Q24" s="9" t="s">
        <v>230</v>
      </c>
      <c r="R24" s="10">
        <v>7.5810185185185182E-3</v>
      </c>
      <c r="S24" s="10">
        <v>4.4791666666666669E-3</v>
      </c>
      <c r="T24" s="2" t="s">
        <v>231</v>
      </c>
      <c r="U24" s="11">
        <v>159.19999999999999</v>
      </c>
      <c r="V24" s="12">
        <v>1219.8</v>
      </c>
      <c r="W24" s="13"/>
      <c r="Y24" s="35"/>
    </row>
    <row r="25" spans="1:40" ht="15">
      <c r="A25" s="2" t="s">
        <v>232</v>
      </c>
      <c r="B25" s="2" t="s">
        <v>233</v>
      </c>
      <c r="C25" s="36" t="s">
        <v>234</v>
      </c>
      <c r="D25" s="319" t="s">
        <v>235</v>
      </c>
      <c r="E25" s="4">
        <v>0.76388888888888884</v>
      </c>
      <c r="F25" s="2">
        <v>1</v>
      </c>
      <c r="G25" s="5" t="s">
        <v>236</v>
      </c>
      <c r="H25" s="5" t="s">
        <v>237</v>
      </c>
      <c r="I25" s="37"/>
      <c r="J25" s="7" t="s">
        <v>238</v>
      </c>
      <c r="K25" s="8" t="s">
        <v>239</v>
      </c>
      <c r="L25" s="23" t="s">
        <v>240</v>
      </c>
      <c r="M25" s="5" t="s">
        <v>241</v>
      </c>
      <c r="N25" s="23" t="s">
        <v>242</v>
      </c>
      <c r="O25" s="23" t="s">
        <v>243</v>
      </c>
      <c r="P25" s="7" t="s">
        <v>244</v>
      </c>
      <c r="Q25" s="9" t="s">
        <v>245</v>
      </c>
      <c r="R25" s="10">
        <v>2.9861111111111113E-3</v>
      </c>
      <c r="S25" s="10">
        <v>4.1550925925925922E-3</v>
      </c>
      <c r="U25" s="18">
        <v>229.96433999999999</v>
      </c>
      <c r="V25" s="12">
        <v>622.44000000000005</v>
      </c>
      <c r="W25" s="13"/>
      <c r="Y25" s="14"/>
    </row>
    <row r="26" spans="1:40" ht="15">
      <c r="A26" s="2" t="s">
        <v>246</v>
      </c>
      <c r="B26" s="2" t="s">
        <v>247</v>
      </c>
      <c r="C26" s="36" t="s">
        <v>248</v>
      </c>
      <c r="D26" s="319" t="s">
        <v>249</v>
      </c>
      <c r="E26" s="4">
        <v>0.80277777777777781</v>
      </c>
      <c r="F26" s="2">
        <v>1</v>
      </c>
      <c r="G26" s="5" t="s">
        <v>250</v>
      </c>
      <c r="H26" s="6"/>
      <c r="I26" s="6"/>
      <c r="J26" s="15">
        <v>0.22291666666666668</v>
      </c>
      <c r="K26" s="8" t="s">
        <v>251</v>
      </c>
      <c r="L26" s="5" t="s">
        <v>252</v>
      </c>
      <c r="M26" s="6"/>
      <c r="N26" s="6"/>
      <c r="O26" s="6"/>
      <c r="P26" s="17">
        <v>0.20416666666666666</v>
      </c>
      <c r="Q26" s="9" t="s">
        <v>253</v>
      </c>
      <c r="R26" s="10">
        <v>3.7152777777777778E-3</v>
      </c>
      <c r="S26" s="10">
        <v>3.4027777777777776E-3</v>
      </c>
      <c r="T26" s="2" t="s">
        <v>254</v>
      </c>
      <c r="U26" s="18">
        <v>229.96433999999999</v>
      </c>
      <c r="V26" s="12">
        <v>604.20000000000005</v>
      </c>
      <c r="W26" s="13"/>
      <c r="Y26" s="14"/>
    </row>
    <row r="27" spans="1:40" ht="15">
      <c r="A27" s="2" t="s">
        <v>255</v>
      </c>
      <c r="B27" s="2" t="s">
        <v>256</v>
      </c>
      <c r="C27" s="3" t="s">
        <v>257</v>
      </c>
      <c r="D27" s="319" t="s">
        <v>258</v>
      </c>
      <c r="E27" s="4">
        <v>0.42430555555555555</v>
      </c>
      <c r="F27" s="2">
        <v>1</v>
      </c>
      <c r="G27" s="5" t="s">
        <v>259</v>
      </c>
      <c r="H27" s="6"/>
      <c r="I27" s="6"/>
      <c r="J27" s="15">
        <v>0.30694444444444446</v>
      </c>
      <c r="K27" s="8" t="s">
        <v>260</v>
      </c>
      <c r="L27" s="5" t="s">
        <v>261</v>
      </c>
      <c r="M27" s="28" t="s">
        <v>262</v>
      </c>
      <c r="N27" s="20"/>
      <c r="P27" s="19" t="s">
        <v>263</v>
      </c>
      <c r="Q27" s="9" t="s">
        <v>264</v>
      </c>
      <c r="R27" s="10">
        <v>5.115740740740741E-3</v>
      </c>
      <c r="S27" s="10">
        <v>6.5162037037037037E-3</v>
      </c>
      <c r="T27" s="2" t="s">
        <v>265</v>
      </c>
      <c r="U27" s="11">
        <v>159.19999999999999</v>
      </c>
      <c r="V27" s="12">
        <v>433.2</v>
      </c>
      <c r="W27" s="31"/>
      <c r="Y27" s="14"/>
    </row>
    <row r="28" spans="1:40" ht="15">
      <c r="A28" s="38" t="s">
        <v>266</v>
      </c>
      <c r="B28" s="38" t="s">
        <v>267</v>
      </c>
      <c r="C28" s="39" t="s">
        <v>268</v>
      </c>
      <c r="D28" s="38" t="s">
        <v>269</v>
      </c>
      <c r="E28" s="40">
        <v>0.68125000000000002</v>
      </c>
      <c r="F28" s="38">
        <v>1</v>
      </c>
      <c r="G28" s="41" t="s">
        <v>270</v>
      </c>
      <c r="H28" s="41" t="s">
        <v>271</v>
      </c>
      <c r="I28" s="41"/>
      <c r="J28" s="42">
        <v>0.34791666666666665</v>
      </c>
      <c r="K28" s="41" t="s">
        <v>272</v>
      </c>
      <c r="L28" s="41" t="s">
        <v>273</v>
      </c>
      <c r="M28" s="41"/>
      <c r="N28" s="41"/>
      <c r="O28" s="41"/>
      <c r="P28" s="43">
        <v>7.4305555555555555E-2</v>
      </c>
      <c r="Q28" s="38" t="s">
        <v>274</v>
      </c>
      <c r="R28" s="44">
        <v>5.7986111111111112E-3</v>
      </c>
      <c r="S28" s="44">
        <v>1.238425925925926E-3</v>
      </c>
      <c r="T28" s="38" t="s">
        <v>275</v>
      </c>
      <c r="U28" s="45">
        <v>159.19999999999999</v>
      </c>
      <c r="V28" s="46">
        <v>490.2</v>
      </c>
      <c r="W28" s="47"/>
      <c r="X28" s="47"/>
      <c r="Y28" s="48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</row>
    <row r="29" spans="1:40" ht="15.75" customHeight="1">
      <c r="A29" s="2" t="s">
        <v>276</v>
      </c>
      <c r="B29" s="2" t="s">
        <v>277</v>
      </c>
      <c r="C29" s="2" t="s">
        <v>278</v>
      </c>
      <c r="D29" s="380" t="s">
        <v>279</v>
      </c>
      <c r="E29" s="4">
        <v>0.78888888888888886</v>
      </c>
      <c r="F29" s="2">
        <v>1</v>
      </c>
      <c r="G29" s="5" t="s">
        <v>280</v>
      </c>
      <c r="H29" s="5" t="s">
        <v>281</v>
      </c>
      <c r="I29" s="6"/>
      <c r="J29" s="7" t="s">
        <v>282</v>
      </c>
      <c r="K29" s="8" t="s">
        <v>283</v>
      </c>
      <c r="L29" s="5" t="s">
        <v>284</v>
      </c>
      <c r="M29" s="5" t="s">
        <v>285</v>
      </c>
      <c r="N29" s="6"/>
      <c r="O29" s="6"/>
      <c r="P29" s="19" t="s">
        <v>286</v>
      </c>
      <c r="Q29" s="9" t="s">
        <v>287</v>
      </c>
      <c r="R29" s="10">
        <v>3.8425925925925928E-3</v>
      </c>
      <c r="S29" s="10">
        <v>5.0231481481481481E-3</v>
      </c>
      <c r="U29" s="11">
        <v>159.19999999999999</v>
      </c>
      <c r="V29" s="12">
        <v>401.28</v>
      </c>
      <c r="Y29" s="14"/>
    </row>
    <row r="30" spans="1:40" ht="15">
      <c r="A30" s="2" t="s">
        <v>288</v>
      </c>
      <c r="B30" s="2" t="s">
        <v>289</v>
      </c>
      <c r="C30" s="36" t="s">
        <v>290</v>
      </c>
      <c r="D30" s="380" t="s">
        <v>291</v>
      </c>
      <c r="E30" s="4">
        <v>0.83472222222222225</v>
      </c>
      <c r="F30" s="2">
        <v>1</v>
      </c>
      <c r="G30" s="5" t="s">
        <v>292</v>
      </c>
      <c r="H30" s="28" t="s">
        <v>293</v>
      </c>
      <c r="I30" s="28" t="s">
        <v>294</v>
      </c>
      <c r="J30" s="19" t="s">
        <v>295</v>
      </c>
      <c r="K30" s="8" t="s">
        <v>296</v>
      </c>
      <c r="L30" s="21" t="s">
        <v>297</v>
      </c>
      <c r="M30" s="28" t="s">
        <v>298</v>
      </c>
      <c r="N30" s="6"/>
      <c r="O30" s="6"/>
      <c r="P30" s="19" t="s">
        <v>299</v>
      </c>
      <c r="Q30" s="9" t="s">
        <v>300</v>
      </c>
      <c r="R30" s="10">
        <v>3.449074074074074E-3</v>
      </c>
      <c r="S30" s="10">
        <v>1.9212962962962964E-3</v>
      </c>
      <c r="U30" s="18">
        <v>337.72</v>
      </c>
      <c r="Y30" s="14"/>
    </row>
    <row r="31" spans="1:40" ht="15">
      <c r="A31" s="2" t="s">
        <v>301</v>
      </c>
      <c r="B31" s="2" t="s">
        <v>302</v>
      </c>
      <c r="C31" s="36" t="s">
        <v>303</v>
      </c>
      <c r="D31" s="380" t="s">
        <v>304</v>
      </c>
      <c r="E31" s="4">
        <v>0.41805555555555557</v>
      </c>
      <c r="F31" s="2">
        <v>1</v>
      </c>
      <c r="G31" s="16" t="s">
        <v>305</v>
      </c>
      <c r="H31" s="21" t="s">
        <v>306</v>
      </c>
      <c r="I31" s="5" t="s">
        <v>307</v>
      </c>
      <c r="J31" s="7" t="s">
        <v>308</v>
      </c>
      <c r="K31" s="8" t="s">
        <v>309</v>
      </c>
      <c r="L31" s="21" t="s">
        <v>310</v>
      </c>
      <c r="M31" s="5" t="s">
        <v>311</v>
      </c>
      <c r="O31" s="6"/>
      <c r="P31" s="7" t="s">
        <v>312</v>
      </c>
      <c r="Q31" s="9" t="s">
        <v>313</v>
      </c>
      <c r="R31" s="10">
        <v>5.5555555555555558E-3</v>
      </c>
      <c r="S31" s="10">
        <v>5.0578703703703706E-3</v>
      </c>
      <c r="T31" s="6" t="s">
        <v>314</v>
      </c>
      <c r="U31" s="18">
        <v>337.72</v>
      </c>
      <c r="Y31" s="14"/>
    </row>
    <row r="32" spans="1:40" ht="15">
      <c r="A32" s="2" t="s">
        <v>315</v>
      </c>
      <c r="B32" s="2" t="s">
        <v>316</v>
      </c>
      <c r="C32" s="3" t="s">
        <v>317</v>
      </c>
      <c r="D32" s="380" t="s">
        <v>318</v>
      </c>
      <c r="E32" s="4">
        <v>0.75694444444444442</v>
      </c>
      <c r="F32" s="2">
        <v>1</v>
      </c>
      <c r="G32" s="5" t="s">
        <v>319</v>
      </c>
      <c r="H32" s="16" t="s">
        <v>320</v>
      </c>
      <c r="I32" s="16" t="s">
        <v>321</v>
      </c>
      <c r="J32" s="19" t="s">
        <v>322</v>
      </c>
      <c r="K32" s="8" t="s">
        <v>287</v>
      </c>
      <c r="L32" s="5" t="s">
        <v>323</v>
      </c>
      <c r="M32" s="16" t="s">
        <v>324</v>
      </c>
      <c r="O32" s="6"/>
      <c r="P32" s="7" t="s">
        <v>325</v>
      </c>
      <c r="Q32" s="9" t="s">
        <v>326</v>
      </c>
      <c r="R32" s="10">
        <v>5.8912037037037041E-3</v>
      </c>
      <c r="S32" s="10">
        <v>3.5995370370370369E-3</v>
      </c>
      <c r="T32" s="6" t="s">
        <v>327</v>
      </c>
      <c r="U32" s="11">
        <v>206.89</v>
      </c>
      <c r="V32" s="12">
        <v>449.16</v>
      </c>
      <c r="Y32" s="14"/>
    </row>
    <row r="33" spans="1:40" ht="15">
      <c r="A33" s="2" t="s">
        <v>328</v>
      </c>
      <c r="B33" s="2" t="s">
        <v>329</v>
      </c>
      <c r="C33" s="36" t="s">
        <v>330</v>
      </c>
      <c r="D33" s="380" t="s">
        <v>331</v>
      </c>
      <c r="E33" s="4">
        <v>0.51458333333333328</v>
      </c>
      <c r="F33" s="2">
        <v>1</v>
      </c>
      <c r="G33" s="21" t="s">
        <v>332</v>
      </c>
      <c r="H33" s="6"/>
      <c r="I33" s="6"/>
      <c r="J33" s="17">
        <v>0.22430555555555556</v>
      </c>
      <c r="K33" s="29" t="s">
        <v>333</v>
      </c>
      <c r="L33" s="27" t="s">
        <v>334</v>
      </c>
      <c r="M33" s="5" t="s">
        <v>335</v>
      </c>
      <c r="N33" s="6"/>
      <c r="O33" s="6"/>
      <c r="P33" s="15">
        <v>0.34861111111111109</v>
      </c>
      <c r="Q33" s="9" t="s">
        <v>336</v>
      </c>
      <c r="R33" s="10">
        <v>3.7384259259259259E-3</v>
      </c>
      <c r="S33" s="10">
        <v>5.8101851851851856E-3</v>
      </c>
      <c r="U33" s="11">
        <v>476.00000000000006</v>
      </c>
      <c r="V33" s="12">
        <v>574.55999999999995</v>
      </c>
      <c r="W33" s="13"/>
      <c r="Y33" s="14"/>
    </row>
    <row r="34" spans="1:40" ht="15">
      <c r="A34" s="2" t="s">
        <v>337</v>
      </c>
      <c r="B34" s="2" t="s">
        <v>338</v>
      </c>
      <c r="C34" s="36" t="s">
        <v>339</v>
      </c>
      <c r="D34" s="380" t="s">
        <v>340</v>
      </c>
      <c r="E34" s="4">
        <v>0.46875</v>
      </c>
      <c r="F34" s="2">
        <v>1</v>
      </c>
      <c r="G34" s="25" t="s">
        <v>341</v>
      </c>
      <c r="H34" s="49">
        <v>0.46111111111111114</v>
      </c>
      <c r="I34" s="6"/>
      <c r="J34" s="15">
        <v>0.27361111111111114</v>
      </c>
      <c r="K34" s="8" t="s">
        <v>342</v>
      </c>
      <c r="L34" s="5" t="s">
        <v>343</v>
      </c>
      <c r="M34" s="6"/>
      <c r="N34" s="6"/>
      <c r="O34" s="6"/>
      <c r="P34" s="7" t="s">
        <v>344</v>
      </c>
      <c r="Q34" s="9" t="s">
        <v>345</v>
      </c>
      <c r="R34" s="10">
        <v>4.5601851851851853E-3</v>
      </c>
      <c r="S34" s="10">
        <v>3.7152777777777778E-3</v>
      </c>
      <c r="U34" s="11">
        <v>476.00000000000006</v>
      </c>
      <c r="V34" s="12">
        <v>483.36</v>
      </c>
      <c r="Y34" s="14"/>
    </row>
    <row r="35" spans="1:40" ht="15">
      <c r="A35" s="2" t="s">
        <v>346</v>
      </c>
      <c r="B35" s="2" t="s">
        <v>347</v>
      </c>
      <c r="C35" s="3" t="s">
        <v>348</v>
      </c>
      <c r="D35" s="380" t="s">
        <v>349</v>
      </c>
      <c r="E35" s="4">
        <v>0.62013888888888891</v>
      </c>
      <c r="F35" s="2">
        <v>1</v>
      </c>
      <c r="G35" s="25" t="s">
        <v>350</v>
      </c>
      <c r="H35" s="21" t="s">
        <v>351</v>
      </c>
      <c r="I35" s="5" t="s">
        <v>352</v>
      </c>
      <c r="J35" s="7" t="s">
        <v>353</v>
      </c>
      <c r="K35" s="8" t="s">
        <v>354</v>
      </c>
      <c r="L35" s="5" t="s">
        <v>355</v>
      </c>
      <c r="M35" s="5" t="s">
        <v>356</v>
      </c>
      <c r="N35" s="6"/>
      <c r="O35" s="6"/>
      <c r="P35" s="7" t="s">
        <v>357</v>
      </c>
      <c r="Q35" s="9" t="s">
        <v>358</v>
      </c>
      <c r="R35" s="10">
        <v>4.43287037037037E-3</v>
      </c>
      <c r="S35" s="10">
        <v>3.5879629629629629E-3</v>
      </c>
      <c r="T35" s="2" t="s">
        <v>359</v>
      </c>
      <c r="U35" s="18">
        <v>255.57999999999998</v>
      </c>
      <c r="V35" s="12">
        <v>560.88</v>
      </c>
      <c r="W35" s="13"/>
      <c r="Y35" s="14"/>
    </row>
    <row r="36" spans="1:40" ht="15">
      <c r="A36" s="2" t="s">
        <v>360</v>
      </c>
      <c r="B36" s="2" t="s">
        <v>361</v>
      </c>
      <c r="C36" s="3" t="s">
        <v>362</v>
      </c>
      <c r="D36" s="380" t="s">
        <v>363</v>
      </c>
      <c r="E36" s="4">
        <v>0.74861111111111112</v>
      </c>
      <c r="F36" s="2">
        <v>1</v>
      </c>
      <c r="G36" s="25" t="s">
        <v>364</v>
      </c>
      <c r="H36" s="5" t="s">
        <v>365</v>
      </c>
      <c r="I36" s="20" t="s">
        <v>366</v>
      </c>
      <c r="J36" s="7" t="s">
        <v>367</v>
      </c>
      <c r="K36" s="8" t="s">
        <v>368</v>
      </c>
      <c r="L36" s="5" t="s">
        <v>369</v>
      </c>
      <c r="M36" s="6" t="s">
        <v>370</v>
      </c>
      <c r="N36" s="6"/>
      <c r="O36" s="6"/>
      <c r="P36" s="7" t="s">
        <v>371</v>
      </c>
      <c r="Q36" s="9" t="s">
        <v>372</v>
      </c>
      <c r="R36" s="10">
        <v>4.5486111111111109E-3</v>
      </c>
      <c r="S36" s="10">
        <v>3.5763888888888889E-3</v>
      </c>
      <c r="U36" s="18">
        <v>255.57999999999998</v>
      </c>
      <c r="V36" s="12">
        <v>513</v>
      </c>
      <c r="Y36" s="14"/>
    </row>
    <row r="37" spans="1:40" ht="15">
      <c r="A37" s="2" t="s">
        <v>373</v>
      </c>
      <c r="B37" s="2" t="s">
        <v>374</v>
      </c>
      <c r="C37" s="3" t="s">
        <v>375</v>
      </c>
      <c r="D37" s="2" t="s">
        <v>376</v>
      </c>
      <c r="E37" s="4">
        <v>0.75277777777777777</v>
      </c>
      <c r="F37" s="2">
        <v>1</v>
      </c>
      <c r="G37" s="25" t="s">
        <v>377</v>
      </c>
      <c r="H37" s="50" t="s">
        <v>378</v>
      </c>
      <c r="I37" s="20"/>
      <c r="J37" s="20" t="s">
        <v>379</v>
      </c>
      <c r="K37" s="8" t="s">
        <v>380</v>
      </c>
      <c r="L37" s="20" t="s">
        <v>381</v>
      </c>
      <c r="M37" s="20" t="s">
        <v>382</v>
      </c>
      <c r="O37" s="20"/>
      <c r="P37" s="20" t="s">
        <v>383</v>
      </c>
      <c r="Q37" s="9" t="s">
        <v>384</v>
      </c>
      <c r="R37" s="10">
        <v>3.2870370370370371E-3</v>
      </c>
      <c r="S37" s="10">
        <v>2.4305555555555556E-3</v>
      </c>
      <c r="V37" s="12">
        <v>540.36</v>
      </c>
      <c r="W37" s="13"/>
      <c r="Y37" s="2" t="s">
        <v>385</v>
      </c>
    </row>
    <row r="38" spans="1:40" ht="13">
      <c r="A38" s="38" t="s">
        <v>386</v>
      </c>
      <c r="B38" s="38" t="s">
        <v>387</v>
      </c>
      <c r="C38" s="38" t="s">
        <v>388</v>
      </c>
      <c r="D38" s="38" t="s">
        <v>389</v>
      </c>
      <c r="E38" s="40">
        <v>0.71250000000000002</v>
      </c>
      <c r="F38" s="38">
        <v>1</v>
      </c>
      <c r="G38" s="38" t="s">
        <v>390</v>
      </c>
      <c r="H38" s="38" t="s">
        <v>391</v>
      </c>
      <c r="I38" s="47"/>
      <c r="J38" s="47"/>
      <c r="K38" s="38" t="s">
        <v>392</v>
      </c>
      <c r="L38" s="38" t="s">
        <v>393</v>
      </c>
      <c r="M38" s="47"/>
      <c r="N38" s="47"/>
      <c r="O38" s="47"/>
      <c r="P38" s="47"/>
      <c r="Q38" s="38" t="s">
        <v>394</v>
      </c>
      <c r="R38" s="47"/>
      <c r="S38" s="47"/>
      <c r="T38" s="47"/>
      <c r="U38" s="51"/>
      <c r="V38" s="47"/>
      <c r="W38" s="47"/>
      <c r="X38" s="47"/>
      <c r="Y38" s="51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</row>
    <row r="39" spans="1:40" ht="15">
      <c r="A39" s="38" t="s">
        <v>395</v>
      </c>
      <c r="B39" s="38" t="s">
        <v>396</v>
      </c>
      <c r="C39" s="38" t="s">
        <v>397</v>
      </c>
      <c r="D39" s="38" t="s">
        <v>398</v>
      </c>
      <c r="E39" s="40">
        <v>0.54583333333333328</v>
      </c>
      <c r="F39" s="47">
        <f>SUM(F23:F36)</f>
        <v>14</v>
      </c>
      <c r="G39" s="47"/>
      <c r="H39" s="52"/>
      <c r="I39" s="52"/>
      <c r="J39" s="52"/>
      <c r="K39" s="52" t="s">
        <v>399</v>
      </c>
      <c r="L39" s="52"/>
      <c r="M39" s="52"/>
      <c r="N39" s="52"/>
      <c r="O39" s="52"/>
      <c r="P39" s="52"/>
      <c r="Q39" s="38" t="s">
        <v>400</v>
      </c>
      <c r="R39" s="47"/>
      <c r="S39" s="47"/>
      <c r="T39" s="38" t="s">
        <v>401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</row>
    <row r="40" spans="1:40" ht="15">
      <c r="A40" s="22" t="s">
        <v>402</v>
      </c>
      <c r="B40" s="53" t="s">
        <v>403</v>
      </c>
      <c r="C40" s="54" t="s">
        <v>404</v>
      </c>
      <c r="D40" s="24"/>
      <c r="E40" s="24"/>
      <c r="F40" s="24"/>
      <c r="G40" s="24"/>
      <c r="H40" s="24"/>
      <c r="I40" s="24"/>
      <c r="J40" s="24"/>
      <c r="K40" s="22" t="s">
        <v>405</v>
      </c>
      <c r="L40" s="24"/>
      <c r="M40" s="24"/>
      <c r="N40" s="24"/>
      <c r="O40" s="24"/>
      <c r="P40" s="24"/>
      <c r="Q40" s="22" t="s">
        <v>406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15">
      <c r="A41" s="2" t="s">
        <v>407</v>
      </c>
      <c r="B41" s="55" t="s">
        <v>408</v>
      </c>
      <c r="C41" s="36" t="s">
        <v>409</v>
      </c>
      <c r="D41" s="2" t="s">
        <v>410</v>
      </c>
      <c r="E41" s="4">
        <v>0.52916666666666667</v>
      </c>
      <c r="K41" s="2" t="s">
        <v>411</v>
      </c>
      <c r="Q41" s="9" t="s">
        <v>412</v>
      </c>
    </row>
    <row r="42" spans="1:40" ht="13">
      <c r="Q42" s="32"/>
    </row>
    <row r="43" spans="1:40" ht="13">
      <c r="A43" s="56"/>
      <c r="B43" s="56"/>
      <c r="C43" s="2" t="s">
        <v>413</v>
      </c>
      <c r="D43" s="2" t="s">
        <v>414</v>
      </c>
      <c r="F43" t="s">
        <v>765</v>
      </c>
      <c r="G43" s="2"/>
      <c r="H43" s="2"/>
      <c r="K43" s="32"/>
      <c r="Q43" s="32"/>
    </row>
    <row r="44" spans="1:40" ht="13">
      <c r="A44" s="57"/>
      <c r="B44" s="57"/>
      <c r="C44" s="2"/>
      <c r="D44" s="2" t="s">
        <v>415</v>
      </c>
      <c r="F44" s="2"/>
      <c r="G44" s="2"/>
      <c r="H44" s="2"/>
      <c r="K44" s="32"/>
      <c r="Q44" s="32"/>
    </row>
    <row r="45" spans="1:40" ht="13">
      <c r="A45" s="58"/>
      <c r="B45" s="58"/>
      <c r="C45" s="2"/>
      <c r="D45" s="2" t="s">
        <v>416</v>
      </c>
      <c r="F45" s="2" t="s">
        <v>764</v>
      </c>
      <c r="G45" s="2"/>
      <c r="H45" s="2"/>
      <c r="K45" s="32"/>
      <c r="Q45" s="32"/>
    </row>
    <row r="46" spans="1:40" ht="13">
      <c r="A46" s="47"/>
      <c r="B46" s="47"/>
      <c r="C46" s="2"/>
      <c r="D46" s="2" t="s">
        <v>417</v>
      </c>
      <c r="F46" s="2" t="s">
        <v>766</v>
      </c>
      <c r="G46" s="2"/>
      <c r="H46" s="2"/>
      <c r="K46" s="32"/>
      <c r="Q46" s="32"/>
    </row>
    <row r="47" spans="1:40" ht="13">
      <c r="F47" s="2"/>
      <c r="K47" s="32"/>
      <c r="Q47" s="32"/>
    </row>
    <row r="48" spans="1:40" ht="13">
      <c r="A48" s="59"/>
      <c r="B48" s="59"/>
      <c r="C48" s="2"/>
      <c r="D48" s="2" t="s">
        <v>418</v>
      </c>
      <c r="F48" s="2"/>
      <c r="G48" s="2"/>
      <c r="H48" s="2"/>
      <c r="K48" s="32"/>
      <c r="Q48" s="32"/>
    </row>
    <row r="49" spans="1:20" ht="13">
      <c r="K49" s="32"/>
      <c r="Q49" s="32"/>
    </row>
    <row r="50" spans="1:20" ht="13">
      <c r="K50" s="32"/>
      <c r="Q50" s="32"/>
    </row>
    <row r="51" spans="1:20" ht="13">
      <c r="K51" s="32"/>
      <c r="Q51" s="32"/>
    </row>
    <row r="52" spans="1:20" ht="15">
      <c r="A52" s="2" t="s">
        <v>419</v>
      </c>
      <c r="B52" s="60" t="s">
        <v>420</v>
      </c>
      <c r="C52" s="1"/>
      <c r="D52" s="1" t="s">
        <v>421</v>
      </c>
      <c r="E52" s="4">
        <v>0.43125000000000002</v>
      </c>
      <c r="F52" s="2">
        <v>1</v>
      </c>
      <c r="G52" s="27" t="s">
        <v>422</v>
      </c>
      <c r="H52" s="21" t="s">
        <v>423</v>
      </c>
      <c r="I52" s="6" t="s">
        <v>424</v>
      </c>
      <c r="J52" s="26"/>
      <c r="K52" s="8"/>
      <c r="L52" s="21" t="s">
        <v>425</v>
      </c>
      <c r="M52" s="5" t="s">
        <v>426</v>
      </c>
      <c r="N52" s="6"/>
      <c r="O52" s="6"/>
      <c r="P52" s="30" t="s">
        <v>427</v>
      </c>
      <c r="Q52" s="32"/>
      <c r="S52" s="10">
        <v>1.3888888888888889E-3</v>
      </c>
      <c r="T52" s="2" t="s">
        <v>428</v>
      </c>
    </row>
    <row r="53" spans="1:20" ht="13">
      <c r="A53" s="319"/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</row>
    <row r="54" spans="1:20" ht="13">
      <c r="A54" s="319"/>
      <c r="B54" s="319"/>
      <c r="C54" s="319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</row>
    <row r="55" spans="1:20" ht="13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</row>
    <row r="56" spans="1:20" ht="13">
      <c r="A56" s="319"/>
      <c r="B56" s="319"/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</row>
    <row r="57" spans="1:20" ht="13">
      <c r="A57" s="319"/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</row>
    <row r="58" spans="1:20" ht="13">
      <c r="A58" s="319"/>
      <c r="B58" s="319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</row>
    <row r="59" spans="1:20" ht="13">
      <c r="A59" s="319"/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</row>
    <row r="60" spans="1:20" ht="13">
      <c r="A60" s="319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</row>
    <row r="61" spans="1:20" ht="13">
      <c r="A61" s="319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</row>
    <row r="62" spans="1:20" ht="13">
      <c r="A62" s="319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</row>
    <row r="63" spans="1:20" ht="13">
      <c r="A63" s="319"/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</row>
    <row r="64" spans="1:20" ht="13">
      <c r="A64" s="319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</row>
    <row r="65" spans="1:17" ht="13">
      <c r="A65" s="319"/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</row>
    <row r="66" spans="1:17" ht="13">
      <c r="A66" s="319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</row>
    <row r="67" spans="1:17" ht="13">
      <c r="A67" s="319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</row>
    <row r="68" spans="1:17" ht="13">
      <c r="A68" s="319"/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</row>
    <row r="69" spans="1:17" ht="13">
      <c r="A69" s="319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</row>
    <row r="70" spans="1:17" ht="13">
      <c r="A70" s="319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</row>
    <row r="71" spans="1:17" ht="13">
      <c r="A71" s="319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</row>
    <row r="72" spans="1:17" ht="13">
      <c r="A72" s="319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</row>
    <row r="73" spans="1:17" ht="13">
      <c r="A73" s="319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</row>
    <row r="74" spans="1:17" ht="13">
      <c r="A74" s="319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</row>
    <row r="75" spans="1:17" ht="13">
      <c r="A75" s="319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</row>
    <row r="76" spans="1:17" ht="13">
      <c r="A76" s="319"/>
      <c r="B76" s="319"/>
      <c r="C76" s="319"/>
      <c r="D76" s="319"/>
      <c r="E76" s="319"/>
      <c r="F76" s="319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</row>
    <row r="77" spans="1:17" ht="13">
      <c r="A77" s="319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</row>
    <row r="78" spans="1:17" ht="13">
      <c r="A78" s="319"/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</row>
    <row r="79" spans="1:17" ht="13">
      <c r="A79" s="319"/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</row>
    <row r="80" spans="1:17" ht="13">
      <c r="A80" s="319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</row>
    <row r="81" spans="1:17" ht="13">
      <c r="A81" s="319"/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</row>
    <row r="82" spans="1:17" ht="13">
      <c r="A82" s="319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</row>
    <row r="83" spans="1:17" ht="13">
      <c r="A83" s="319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</row>
    <row r="84" spans="1:17" ht="13">
      <c r="A84" s="319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</row>
    <row r="85" spans="1:17" ht="13">
      <c r="A85" s="319"/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</row>
    <row r="86" spans="1:17" ht="13">
      <c r="A86" s="319"/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</row>
    <row r="87" spans="1:17" ht="13">
      <c r="A87" s="319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</row>
    <row r="88" spans="1:17" ht="13">
      <c r="A88" s="319"/>
      <c r="B88" s="319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</row>
    <row r="89" spans="1:17" ht="13">
      <c r="A89" s="319"/>
      <c r="B89" s="319"/>
      <c r="C89" s="319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</row>
    <row r="90" spans="1:17" ht="13">
      <c r="A90" s="319"/>
      <c r="B90" s="319"/>
      <c r="C90" s="319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</row>
    <row r="91" spans="1:17" ht="13">
      <c r="A91" s="319"/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</row>
    <row r="92" spans="1:17" ht="13">
      <c r="A92" s="319"/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</row>
    <row r="93" spans="1:17" ht="13">
      <c r="A93" s="319"/>
      <c r="B93" s="319"/>
      <c r="C93" s="319"/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</row>
    <row r="94" spans="1:17" ht="13">
      <c r="A94" s="319"/>
      <c r="B94" s="319"/>
      <c r="C94" s="319"/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</row>
    <row r="95" spans="1:17" ht="13">
      <c r="A95" s="319"/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</row>
    <row r="96" spans="1:17" ht="13">
      <c r="A96" s="319"/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</row>
    <row r="97" spans="1:17" ht="13">
      <c r="A97" s="319"/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</row>
    <row r="98" spans="1:17" ht="13">
      <c r="A98" s="319"/>
      <c r="B98" s="319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</row>
    <row r="99" spans="1:17" ht="13">
      <c r="A99" s="319"/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</row>
    <row r="100" spans="1:17" ht="13">
      <c r="A100" s="319"/>
      <c r="B100" s="319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</row>
    <row r="101" spans="1:17" ht="13">
      <c r="A101" s="319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</row>
    <row r="102" spans="1:17" ht="13">
      <c r="A102" s="319"/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</row>
    <row r="103" spans="1:17" ht="13">
      <c r="A103" s="319"/>
      <c r="B103" s="319"/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</row>
    <row r="104" spans="1:17" ht="13">
      <c r="A104" s="319"/>
      <c r="B104" s="319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</row>
    <row r="105" spans="1:17" ht="13">
      <c r="A105" s="319"/>
      <c r="B105" s="319"/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</row>
    <row r="106" spans="1:17" ht="13">
      <c r="A106" s="319"/>
      <c r="B106" s="319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</row>
    <row r="107" spans="1:17" ht="13">
      <c r="A107" s="319"/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</row>
    <row r="108" spans="1:17" ht="13">
      <c r="A108" s="319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</row>
    <row r="109" spans="1:17" ht="13">
      <c r="A109" s="319"/>
      <c r="B109" s="319"/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</row>
    <row r="110" spans="1:17" ht="13">
      <c r="A110" s="319"/>
      <c r="B110" s="319"/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</row>
    <row r="111" spans="1:17" ht="13">
      <c r="A111" s="319"/>
      <c r="B111" s="319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</row>
    <row r="112" spans="1:17" ht="13">
      <c r="A112" s="319"/>
      <c r="B112" s="319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</row>
    <row r="113" spans="1:17" ht="13">
      <c r="A113" s="319"/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</row>
    <row r="114" spans="1:17" ht="13">
      <c r="A114" s="319"/>
      <c r="B114" s="31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</row>
    <row r="115" spans="1:17" ht="13">
      <c r="A115" s="319"/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</row>
    <row r="116" spans="1:17" ht="13">
      <c r="A116" s="319"/>
      <c r="B116" s="31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</row>
    <row r="117" spans="1:17" ht="13">
      <c r="A117" s="319"/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</row>
    <row r="118" spans="1:17" ht="13">
      <c r="A118" s="319"/>
      <c r="B118" s="31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</row>
    <row r="119" spans="1:17" ht="13">
      <c r="A119" s="319"/>
      <c r="B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</row>
    <row r="120" spans="1:17" ht="13">
      <c r="A120" s="319"/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</row>
    <row r="121" spans="1:17" ht="13">
      <c r="A121" s="319"/>
      <c r="B121" s="31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</row>
    <row r="122" spans="1:17" ht="13">
      <c r="A122" s="319"/>
      <c r="B122" s="31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</row>
    <row r="123" spans="1:17" ht="13">
      <c r="A123" s="319"/>
      <c r="B123" s="31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</row>
    <row r="124" spans="1:17" ht="13">
      <c r="A124" s="319"/>
      <c r="B124" s="31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</row>
    <row r="125" spans="1:17" ht="13">
      <c r="A125" s="319"/>
      <c r="B125" s="31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</row>
    <row r="126" spans="1:17" ht="13">
      <c r="A126" s="319"/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</row>
    <row r="127" spans="1:17" ht="13">
      <c r="A127" s="319"/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</row>
    <row r="128" spans="1:17" ht="13">
      <c r="A128" s="319"/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</row>
    <row r="129" spans="1:17" ht="13">
      <c r="A129" s="319"/>
      <c r="B129" s="31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</row>
    <row r="130" spans="1:17" ht="13">
      <c r="A130" s="319"/>
      <c r="B130" s="31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</row>
    <row r="131" spans="1:17" ht="13">
      <c r="A131" s="319"/>
      <c r="B131" s="31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</row>
    <row r="132" spans="1:17" ht="13">
      <c r="A132" s="319"/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</row>
    <row r="133" spans="1:17" ht="13">
      <c r="A133" s="319"/>
      <c r="B133" s="31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</row>
    <row r="134" spans="1:17" ht="13">
      <c r="A134" s="319"/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</row>
    <row r="135" spans="1:17" ht="13">
      <c r="A135" s="319"/>
      <c r="B135" s="31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</row>
    <row r="136" spans="1:17" ht="13">
      <c r="A136" s="319"/>
      <c r="B136" s="31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</row>
    <row r="137" spans="1:17" ht="13">
      <c r="A137" s="319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</row>
    <row r="138" spans="1:17" ht="13">
      <c r="A138" s="319"/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</row>
    <row r="139" spans="1:17" ht="13">
      <c r="A139" s="319"/>
      <c r="B139" s="31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</row>
    <row r="140" spans="1:17" ht="13">
      <c r="A140" s="319"/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</row>
    <row r="141" spans="1:17" ht="13">
      <c r="A141" s="319"/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</row>
    <row r="142" spans="1:17" ht="13">
      <c r="A142" s="319"/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</row>
    <row r="143" spans="1:17" ht="13">
      <c r="A143" s="319"/>
      <c r="B143" s="319"/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</row>
    <row r="144" spans="1:17" ht="13">
      <c r="A144" s="319"/>
      <c r="B144" s="319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</row>
    <row r="145" spans="1:17" ht="13">
      <c r="A145" s="319"/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</row>
    <row r="146" spans="1:17" ht="13">
      <c r="A146" s="319"/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</row>
    <row r="147" spans="1:17" ht="13">
      <c r="A147" s="319"/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</row>
    <row r="148" spans="1:17" ht="13">
      <c r="A148" s="319"/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</row>
    <row r="149" spans="1:17" ht="13">
      <c r="A149" s="319"/>
      <c r="B149" s="319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</row>
    <row r="150" spans="1:17" ht="13">
      <c r="A150" s="319"/>
      <c r="B150" s="319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</row>
    <row r="151" spans="1:17" ht="13">
      <c r="A151" s="319"/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</row>
    <row r="152" spans="1:17" ht="13">
      <c r="A152" s="319"/>
      <c r="B152" s="319"/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</row>
    <row r="153" spans="1:17" ht="13">
      <c r="A153" s="319"/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</row>
    <row r="154" spans="1:17" ht="13">
      <c r="A154" s="319"/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</row>
    <row r="155" spans="1:17" ht="13">
      <c r="A155" s="319"/>
      <c r="B155" s="319"/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</row>
    <row r="156" spans="1:17" ht="13">
      <c r="A156" s="319"/>
      <c r="B156" s="319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</row>
    <row r="157" spans="1:17" ht="13">
      <c r="A157" s="319"/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</row>
    <row r="158" spans="1:17" ht="13">
      <c r="A158" s="319"/>
      <c r="B158" s="319"/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</row>
    <row r="159" spans="1:17" ht="13">
      <c r="A159" s="319"/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</row>
    <row r="160" spans="1:17" ht="13">
      <c r="A160" s="319"/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</row>
    <row r="161" spans="1:17" ht="13">
      <c r="A161" s="319"/>
      <c r="B161" s="319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</row>
    <row r="162" spans="1:17" ht="13">
      <c r="A162" s="319"/>
      <c r="B162" s="319"/>
      <c r="C162" s="319"/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</row>
    <row r="163" spans="1:17" ht="13">
      <c r="A163" s="319"/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</row>
    <row r="164" spans="1:17" ht="13">
      <c r="A164" s="319"/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</row>
    <row r="165" spans="1:17" ht="13">
      <c r="A165" s="319"/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</row>
    <row r="166" spans="1:17" ht="13">
      <c r="A166" s="319"/>
      <c r="B166" s="319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</row>
    <row r="167" spans="1:17" ht="13">
      <c r="A167" s="319"/>
      <c r="B167" s="319"/>
      <c r="C167" s="319"/>
      <c r="D167" s="319"/>
      <c r="E167" s="319"/>
      <c r="F167" s="319"/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</row>
    <row r="168" spans="1:17" ht="13">
      <c r="A168" s="319"/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</row>
    <row r="169" spans="1:17" ht="13">
      <c r="A169" s="319"/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</row>
    <row r="170" spans="1:17" ht="13">
      <c r="A170" s="319"/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</row>
    <row r="171" spans="1:17" ht="13">
      <c r="A171" s="319"/>
      <c r="B171" s="319"/>
      <c r="C171" s="319"/>
      <c r="D171" s="319"/>
      <c r="E171" s="319"/>
      <c r="F171" s="319"/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</row>
    <row r="172" spans="1:17" ht="13">
      <c r="A172" s="319"/>
      <c r="B172" s="319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</row>
    <row r="173" spans="1:17" ht="13">
      <c r="A173" s="319"/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</row>
    <row r="174" spans="1:17" ht="13">
      <c r="A174" s="319"/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</row>
    <row r="175" spans="1:17" ht="13">
      <c r="A175" s="319"/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</row>
    <row r="176" spans="1:17" ht="13">
      <c r="A176" s="319"/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</row>
    <row r="177" spans="1:17" ht="13">
      <c r="A177" s="319"/>
      <c r="B177" s="319"/>
      <c r="C177" s="319"/>
      <c r="D177" s="319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</row>
    <row r="178" spans="1:17" ht="13">
      <c r="A178" s="319"/>
      <c r="B178" s="319"/>
      <c r="C178" s="319"/>
      <c r="D178" s="319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</row>
    <row r="179" spans="1:17" ht="13">
      <c r="A179" s="319"/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</row>
    <row r="180" spans="1:17" ht="13">
      <c r="A180" s="319"/>
      <c r="B180" s="319"/>
      <c r="C180" s="319"/>
      <c r="D180" s="319"/>
      <c r="E180" s="319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</row>
    <row r="181" spans="1:17" ht="13">
      <c r="A181" s="319"/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</row>
    <row r="182" spans="1:17" ht="13">
      <c r="A182" s="319"/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</row>
    <row r="183" spans="1:17" ht="13">
      <c r="A183" s="319"/>
      <c r="B183" s="319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</row>
    <row r="184" spans="1:17" ht="13">
      <c r="A184" s="319"/>
      <c r="B184" s="319"/>
      <c r="C184" s="319"/>
      <c r="D184" s="319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</row>
    <row r="185" spans="1:17" ht="13">
      <c r="A185" s="319"/>
      <c r="B185" s="319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</row>
    <row r="186" spans="1:17" ht="13">
      <c r="A186" s="319"/>
      <c r="B186" s="319"/>
      <c r="C186" s="319"/>
      <c r="D186" s="319"/>
      <c r="E186" s="319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</row>
    <row r="187" spans="1:17" ht="13">
      <c r="A187" s="319"/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</row>
    <row r="188" spans="1:17" ht="13">
      <c r="A188" s="319"/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</row>
    <row r="189" spans="1:17" ht="13">
      <c r="A189" s="319"/>
      <c r="B189" s="319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</row>
    <row r="190" spans="1:17" ht="13">
      <c r="A190" s="319"/>
      <c r="B190" s="319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</row>
    <row r="191" spans="1:17" ht="13">
      <c r="A191" s="319"/>
      <c r="B191" s="31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</row>
    <row r="192" spans="1:17" ht="13">
      <c r="A192" s="319"/>
      <c r="B192" s="31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</row>
    <row r="193" spans="1:17" ht="13">
      <c r="A193" s="319"/>
      <c r="B193" s="31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</row>
    <row r="194" spans="1:17" ht="13">
      <c r="A194" s="319"/>
      <c r="B194" s="31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</row>
    <row r="195" spans="1:17" ht="13">
      <c r="A195" s="319"/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</row>
    <row r="196" spans="1:17" ht="13">
      <c r="A196" s="319"/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</row>
    <row r="197" spans="1:17" ht="13">
      <c r="A197" s="319"/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</row>
    <row r="198" spans="1:17" ht="13">
      <c r="A198" s="319"/>
      <c r="B198" s="31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</row>
    <row r="199" spans="1:17" ht="13">
      <c r="A199" s="319"/>
      <c r="B199" s="31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</row>
    <row r="200" spans="1:17" ht="13">
      <c r="A200" s="319"/>
      <c r="B200" s="31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</row>
    <row r="201" spans="1:17" ht="13">
      <c r="A201" s="319"/>
      <c r="B201" s="31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</row>
    <row r="202" spans="1:17" ht="13">
      <c r="A202" s="319"/>
      <c r="B202" s="31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</row>
    <row r="203" spans="1:17" ht="13">
      <c r="A203" s="319"/>
      <c r="B203" s="31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</row>
    <row r="204" spans="1:17" ht="13">
      <c r="A204" s="319"/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</row>
    <row r="205" spans="1:17" ht="13">
      <c r="A205" s="319"/>
      <c r="B205" s="319"/>
      <c r="C205" s="319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</row>
    <row r="206" spans="1:17" ht="13">
      <c r="A206" s="319"/>
      <c r="B206" s="319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</row>
    <row r="207" spans="1:17" ht="13">
      <c r="A207" s="319"/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</row>
    <row r="208" spans="1:17" ht="13">
      <c r="A208" s="319"/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</row>
    <row r="209" spans="1:17" ht="13">
      <c r="A209" s="319"/>
      <c r="B209" s="31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</row>
    <row r="210" spans="1:17" ht="13">
      <c r="A210" s="319"/>
      <c r="B210" s="31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</row>
    <row r="211" spans="1:17" ht="13">
      <c r="A211" s="319"/>
      <c r="B211" s="31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</row>
    <row r="212" spans="1:17" ht="13">
      <c r="A212" s="319"/>
      <c r="B212" s="31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</row>
    <row r="213" spans="1:17" ht="13">
      <c r="A213" s="319"/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</row>
    <row r="214" spans="1:17" ht="13">
      <c r="A214" s="319"/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</row>
    <row r="215" spans="1:17" ht="13">
      <c r="A215" s="319"/>
      <c r="B215" s="31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</row>
    <row r="216" spans="1:17" ht="13">
      <c r="A216" s="319"/>
      <c r="B216" s="31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</row>
    <row r="217" spans="1:17" ht="13">
      <c r="A217" s="319"/>
      <c r="B217" s="31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</row>
    <row r="218" spans="1:17" ht="13">
      <c r="A218" s="319"/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</row>
    <row r="219" spans="1:17" ht="13">
      <c r="A219" s="319"/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</row>
    <row r="220" spans="1:17" ht="13">
      <c r="A220" s="319"/>
      <c r="B220" s="31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</row>
    <row r="221" spans="1:17" ht="13">
      <c r="A221" s="319"/>
      <c r="B221" s="319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</row>
    <row r="222" spans="1:17" ht="13">
      <c r="A222" s="319"/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</row>
    <row r="223" spans="1:17" ht="13">
      <c r="A223" s="319"/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</row>
    <row r="224" spans="1:17" ht="13">
      <c r="A224" s="319"/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</row>
    <row r="225" spans="1:17" ht="13">
      <c r="A225" s="319"/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</row>
    <row r="226" spans="1:17" ht="13">
      <c r="A226" s="319"/>
      <c r="B226" s="319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</row>
    <row r="227" spans="1:17" ht="13">
      <c r="A227" s="319"/>
      <c r="B227" s="319"/>
      <c r="C227" s="319"/>
      <c r="D227" s="319"/>
      <c r="E227" s="319"/>
      <c r="F227" s="319"/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</row>
    <row r="228" spans="1:17" ht="13">
      <c r="A228" s="319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</row>
    <row r="229" spans="1:17" ht="13">
      <c r="A229" s="319"/>
      <c r="B229" s="319"/>
      <c r="C229" s="319"/>
      <c r="D229" s="319"/>
      <c r="E229" s="319"/>
      <c r="F229" s="319"/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</row>
    <row r="230" spans="1:17" ht="13">
      <c r="A230" s="319"/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</row>
    <row r="231" spans="1:17" ht="13">
      <c r="A231" s="319"/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</row>
    <row r="232" spans="1:17" ht="13">
      <c r="A232" s="319"/>
      <c r="B232" s="319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</row>
    <row r="233" spans="1:17" ht="13">
      <c r="A233" s="319"/>
      <c r="B233" s="319"/>
      <c r="C233" s="319"/>
      <c r="D233" s="319"/>
      <c r="E233" s="319"/>
      <c r="F233" s="319"/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</row>
    <row r="234" spans="1:17" ht="13">
      <c r="A234" s="319"/>
      <c r="B234" s="319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</row>
    <row r="235" spans="1:17" ht="13">
      <c r="A235" s="319"/>
      <c r="B235" s="319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</row>
    <row r="236" spans="1:17" ht="13">
      <c r="A236" s="319"/>
      <c r="B236" s="319"/>
      <c r="C236" s="319"/>
      <c r="D236" s="319"/>
      <c r="E236" s="319"/>
      <c r="F236" s="319"/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</row>
    <row r="237" spans="1:17" ht="13">
      <c r="A237" s="319"/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</row>
    <row r="238" spans="1:17" ht="13">
      <c r="A238" s="319"/>
      <c r="B238" s="319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</row>
    <row r="239" spans="1:17" ht="13">
      <c r="A239" s="319"/>
      <c r="B239" s="319"/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</row>
    <row r="240" spans="1:17" ht="13">
      <c r="A240" s="319"/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</row>
    <row r="241" spans="1:17" ht="13">
      <c r="A241" s="319"/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</row>
    <row r="242" spans="1:17" ht="13">
      <c r="A242" s="319"/>
      <c r="B242" s="319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</row>
    <row r="243" spans="1:17" ht="13">
      <c r="A243" s="319"/>
      <c r="B243" s="319"/>
      <c r="C243" s="319"/>
      <c r="D243" s="319"/>
      <c r="E243" s="319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</row>
    <row r="244" spans="1:17" ht="13">
      <c r="A244" s="319"/>
      <c r="B244" s="319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</row>
    <row r="245" spans="1:17" ht="13">
      <c r="A245" s="319"/>
      <c r="B245" s="319"/>
      <c r="C245" s="319"/>
      <c r="D245" s="319"/>
      <c r="E245" s="319"/>
      <c r="F245" s="319"/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</row>
    <row r="246" spans="1:17" ht="13">
      <c r="A246" s="319"/>
      <c r="B246" s="319"/>
      <c r="C246" s="319"/>
      <c r="D246" s="319"/>
      <c r="E246" s="319"/>
      <c r="F246" s="319"/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</row>
    <row r="247" spans="1:17" ht="13">
      <c r="A247" s="319"/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</row>
    <row r="248" spans="1:17" ht="13">
      <c r="A248" s="319"/>
      <c r="B248" s="319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</row>
    <row r="249" spans="1:17" ht="13">
      <c r="A249" s="319"/>
      <c r="B249" s="319"/>
      <c r="C249" s="319"/>
      <c r="D249" s="319"/>
      <c r="E249" s="319"/>
      <c r="F249" s="319"/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</row>
    <row r="250" spans="1:17" ht="13">
      <c r="A250" s="319"/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</row>
    <row r="251" spans="1:17" ht="13">
      <c r="A251" s="319"/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</row>
    <row r="252" spans="1:17" ht="13">
      <c r="A252" s="319"/>
      <c r="B252" s="319"/>
      <c r="C252" s="319"/>
      <c r="D252" s="319"/>
      <c r="E252" s="319"/>
      <c r="F252" s="319"/>
      <c r="G252" s="319"/>
      <c r="H252" s="319"/>
      <c r="I252" s="319"/>
      <c r="J252" s="319"/>
      <c r="K252" s="319"/>
      <c r="L252" s="319"/>
      <c r="M252" s="319"/>
      <c r="N252" s="319"/>
      <c r="O252" s="319"/>
      <c r="P252" s="319"/>
      <c r="Q252" s="319"/>
    </row>
    <row r="253" spans="1:17" ht="13">
      <c r="A253" s="319"/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</row>
    <row r="254" spans="1:17" ht="13">
      <c r="A254" s="319"/>
      <c r="B254" s="319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</row>
    <row r="255" spans="1:17" ht="13">
      <c r="A255" s="319"/>
      <c r="B255" s="319"/>
      <c r="C255" s="319"/>
      <c r="D255" s="319"/>
      <c r="E255" s="319"/>
      <c r="F255" s="319"/>
      <c r="G255" s="319"/>
      <c r="H255" s="319"/>
      <c r="I255" s="319"/>
      <c r="J255" s="319"/>
      <c r="K255" s="319"/>
      <c r="L255" s="319"/>
      <c r="M255" s="319"/>
      <c r="N255" s="319"/>
      <c r="O255" s="319"/>
      <c r="P255" s="319"/>
      <c r="Q255" s="319"/>
    </row>
    <row r="256" spans="1:17" ht="13">
      <c r="A256" s="319"/>
      <c r="B256" s="319"/>
      <c r="C256" s="319"/>
      <c r="D256" s="319"/>
      <c r="E256" s="319"/>
      <c r="F256" s="319"/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</row>
    <row r="257" spans="1:17" ht="13">
      <c r="A257" s="319"/>
      <c r="B257" s="319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</row>
    <row r="258" spans="1:17" ht="13">
      <c r="A258" s="319"/>
      <c r="B258" s="319"/>
      <c r="C258" s="319"/>
      <c r="D258" s="319"/>
      <c r="E258" s="319"/>
      <c r="F258" s="319"/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</row>
    <row r="259" spans="1:17" ht="13">
      <c r="A259" s="319"/>
      <c r="B259" s="319"/>
      <c r="C259" s="319"/>
      <c r="D259" s="319"/>
      <c r="E259" s="319"/>
      <c r="F259" s="319"/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</row>
    <row r="260" spans="1:17" ht="13">
      <c r="A260" s="319"/>
      <c r="B260" s="319"/>
      <c r="C260" s="319"/>
      <c r="D260" s="319"/>
      <c r="E260" s="319"/>
      <c r="F260" s="319"/>
      <c r="G260" s="319"/>
      <c r="H260" s="319"/>
      <c r="I260" s="319"/>
      <c r="J260" s="319"/>
      <c r="K260" s="319"/>
      <c r="L260" s="319"/>
      <c r="M260" s="319"/>
      <c r="N260" s="319"/>
      <c r="O260" s="319"/>
      <c r="P260" s="319"/>
      <c r="Q260" s="319"/>
    </row>
    <row r="261" spans="1:17" ht="13">
      <c r="A261" s="319"/>
      <c r="B261" s="319"/>
      <c r="C261" s="319"/>
      <c r="D261" s="319"/>
      <c r="E261" s="319"/>
      <c r="F261" s="319"/>
      <c r="G261" s="319"/>
      <c r="H261" s="319"/>
      <c r="I261" s="319"/>
      <c r="J261" s="319"/>
      <c r="K261" s="319"/>
      <c r="L261" s="319"/>
      <c r="M261" s="319"/>
      <c r="N261" s="319"/>
      <c r="O261" s="319"/>
      <c r="P261" s="319"/>
      <c r="Q261" s="319"/>
    </row>
    <row r="262" spans="1:17" ht="13">
      <c r="A262" s="319"/>
      <c r="B262" s="319"/>
      <c r="C262" s="319"/>
      <c r="D262" s="319"/>
      <c r="E262" s="319"/>
      <c r="F262" s="319"/>
      <c r="G262" s="319"/>
      <c r="H262" s="319"/>
      <c r="I262" s="319"/>
      <c r="J262" s="319"/>
      <c r="K262" s="319"/>
      <c r="L262" s="319"/>
      <c r="M262" s="319"/>
      <c r="N262" s="319"/>
      <c r="O262" s="319"/>
      <c r="P262" s="319"/>
      <c r="Q262" s="319"/>
    </row>
    <row r="263" spans="1:17" ht="13">
      <c r="A263" s="319"/>
      <c r="B263" s="319"/>
      <c r="C263" s="319"/>
      <c r="D263" s="319"/>
      <c r="E263" s="319"/>
      <c r="F263" s="319"/>
      <c r="G263" s="319"/>
      <c r="H263" s="319"/>
      <c r="I263" s="319"/>
      <c r="J263" s="319"/>
      <c r="K263" s="319"/>
      <c r="L263" s="319"/>
      <c r="M263" s="319"/>
      <c r="N263" s="319"/>
      <c r="O263" s="319"/>
      <c r="P263" s="319"/>
      <c r="Q263" s="319"/>
    </row>
    <row r="264" spans="1:17" ht="13">
      <c r="A264" s="319"/>
      <c r="B264" s="319"/>
      <c r="C264" s="319"/>
      <c r="D264" s="319"/>
      <c r="E264" s="319"/>
      <c r="F264" s="319"/>
      <c r="G264" s="319"/>
      <c r="H264" s="319"/>
      <c r="I264" s="319"/>
      <c r="J264" s="319"/>
      <c r="K264" s="319"/>
      <c r="L264" s="319"/>
      <c r="M264" s="319"/>
      <c r="N264" s="319"/>
      <c r="O264" s="319"/>
      <c r="P264" s="319"/>
      <c r="Q264" s="319"/>
    </row>
    <row r="265" spans="1:17" ht="13">
      <c r="A265" s="319"/>
      <c r="B265" s="319"/>
      <c r="C265" s="319"/>
      <c r="D265" s="319"/>
      <c r="E265" s="319"/>
      <c r="F265" s="319"/>
      <c r="G265" s="319"/>
      <c r="H265" s="319"/>
      <c r="I265" s="319"/>
      <c r="J265" s="319"/>
      <c r="K265" s="319"/>
      <c r="L265" s="319"/>
      <c r="M265" s="319"/>
      <c r="N265" s="319"/>
      <c r="O265" s="319"/>
      <c r="P265" s="319"/>
      <c r="Q265" s="319"/>
    </row>
    <row r="266" spans="1:17" ht="13">
      <c r="A266" s="319"/>
      <c r="B266" s="319"/>
      <c r="C266" s="319"/>
      <c r="D266" s="319"/>
      <c r="E266" s="319"/>
      <c r="F266" s="319"/>
      <c r="G266" s="319"/>
      <c r="H266" s="319"/>
      <c r="I266" s="319"/>
      <c r="J266" s="319"/>
      <c r="K266" s="319"/>
      <c r="L266" s="319"/>
      <c r="M266" s="319"/>
      <c r="N266" s="319"/>
      <c r="O266" s="319"/>
      <c r="P266" s="319"/>
      <c r="Q266" s="319"/>
    </row>
    <row r="267" spans="1:17" ht="13">
      <c r="A267" s="319"/>
      <c r="B267" s="319"/>
      <c r="C267" s="319"/>
      <c r="D267" s="319"/>
      <c r="E267" s="319"/>
      <c r="F267" s="319"/>
      <c r="G267" s="319"/>
      <c r="H267" s="319"/>
      <c r="I267" s="319"/>
      <c r="J267" s="319"/>
      <c r="K267" s="319"/>
      <c r="L267" s="319"/>
      <c r="M267" s="319"/>
      <c r="N267" s="319"/>
      <c r="O267" s="319"/>
      <c r="P267" s="319"/>
      <c r="Q267" s="319"/>
    </row>
    <row r="268" spans="1:17" ht="13">
      <c r="A268" s="319"/>
      <c r="B268" s="319"/>
      <c r="C268" s="319"/>
      <c r="D268" s="319"/>
      <c r="E268" s="319"/>
      <c r="F268" s="319"/>
      <c r="G268" s="319"/>
      <c r="H268" s="319"/>
      <c r="I268" s="319"/>
      <c r="J268" s="319"/>
      <c r="K268" s="319"/>
      <c r="L268" s="319"/>
      <c r="M268" s="319"/>
      <c r="N268" s="319"/>
      <c r="O268" s="319"/>
      <c r="P268" s="319"/>
      <c r="Q268" s="319"/>
    </row>
    <row r="269" spans="1:17" ht="13">
      <c r="A269" s="319"/>
      <c r="B269" s="319"/>
      <c r="C269" s="319"/>
      <c r="D269" s="319"/>
      <c r="E269" s="319"/>
      <c r="F269" s="319"/>
      <c r="G269" s="319"/>
      <c r="H269" s="319"/>
      <c r="I269" s="319"/>
      <c r="J269" s="319"/>
      <c r="K269" s="319"/>
      <c r="L269" s="319"/>
      <c r="M269" s="319"/>
      <c r="N269" s="319"/>
      <c r="O269" s="319"/>
      <c r="P269" s="319"/>
      <c r="Q269" s="319"/>
    </row>
    <row r="270" spans="1:17" ht="13">
      <c r="A270" s="319"/>
      <c r="B270" s="319"/>
      <c r="C270" s="319"/>
      <c r="D270" s="319"/>
      <c r="E270" s="319"/>
      <c r="F270" s="319"/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</row>
    <row r="271" spans="1:17" ht="13">
      <c r="A271" s="319"/>
      <c r="B271" s="319"/>
      <c r="C271" s="319"/>
      <c r="D271" s="319"/>
      <c r="E271" s="319"/>
      <c r="F271" s="319"/>
      <c r="G271" s="319"/>
      <c r="H271" s="319"/>
      <c r="I271" s="319"/>
      <c r="J271" s="319"/>
      <c r="K271" s="319"/>
      <c r="L271" s="319"/>
      <c r="M271" s="319"/>
      <c r="N271" s="319"/>
      <c r="O271" s="319"/>
      <c r="P271" s="319"/>
      <c r="Q271" s="319"/>
    </row>
    <row r="272" spans="1:17" ht="13">
      <c r="A272" s="319"/>
      <c r="B272" s="319"/>
      <c r="C272" s="319"/>
      <c r="D272" s="319"/>
      <c r="E272" s="319"/>
      <c r="F272" s="319"/>
      <c r="G272" s="319"/>
      <c r="H272" s="319"/>
      <c r="I272" s="319"/>
      <c r="J272" s="319"/>
      <c r="K272" s="319"/>
      <c r="L272" s="319"/>
      <c r="M272" s="319"/>
      <c r="N272" s="319"/>
      <c r="O272" s="319"/>
      <c r="P272" s="319"/>
      <c r="Q272" s="319"/>
    </row>
    <row r="273" spans="1:17" ht="13">
      <c r="A273" s="319"/>
      <c r="B273" s="319"/>
      <c r="C273" s="319"/>
      <c r="D273" s="319"/>
      <c r="E273" s="319"/>
      <c r="F273" s="319"/>
      <c r="G273" s="319"/>
      <c r="H273" s="319"/>
      <c r="I273" s="319"/>
      <c r="J273" s="319"/>
      <c r="K273" s="319"/>
      <c r="L273" s="319"/>
      <c r="M273" s="319"/>
      <c r="N273" s="319"/>
      <c r="O273" s="319"/>
      <c r="P273" s="319"/>
      <c r="Q273" s="319"/>
    </row>
    <row r="274" spans="1:17" ht="13">
      <c r="A274" s="319"/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</row>
    <row r="275" spans="1:17" ht="13">
      <c r="A275" s="319"/>
      <c r="B275" s="319"/>
      <c r="C275" s="319"/>
      <c r="D275" s="319"/>
      <c r="E275" s="319"/>
      <c r="F275" s="319"/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</row>
    <row r="276" spans="1:17" ht="13">
      <c r="A276" s="319"/>
      <c r="B276" s="319"/>
      <c r="C276" s="319"/>
      <c r="D276" s="319"/>
      <c r="E276" s="319"/>
      <c r="F276" s="319"/>
      <c r="G276" s="319"/>
      <c r="H276" s="319"/>
      <c r="I276" s="319"/>
      <c r="J276" s="319"/>
      <c r="K276" s="319"/>
      <c r="L276" s="319"/>
      <c r="M276" s="319"/>
      <c r="N276" s="319"/>
      <c r="O276" s="319"/>
      <c r="P276" s="319"/>
      <c r="Q276" s="319"/>
    </row>
    <row r="277" spans="1:17" ht="13">
      <c r="A277" s="319"/>
      <c r="B277" s="319"/>
      <c r="C277" s="319"/>
      <c r="D277" s="319"/>
      <c r="E277" s="319"/>
      <c r="F277" s="319"/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</row>
    <row r="278" spans="1:17" ht="13">
      <c r="A278" s="319"/>
      <c r="B278" s="319"/>
      <c r="C278" s="319"/>
      <c r="D278" s="319"/>
      <c r="E278" s="319"/>
      <c r="F278" s="319"/>
      <c r="G278" s="319"/>
      <c r="H278" s="319"/>
      <c r="I278" s="319"/>
      <c r="J278" s="319"/>
      <c r="K278" s="319"/>
      <c r="L278" s="319"/>
      <c r="M278" s="319"/>
      <c r="N278" s="319"/>
      <c r="O278" s="319"/>
      <c r="P278" s="319"/>
      <c r="Q278" s="319"/>
    </row>
    <row r="279" spans="1:17" ht="13">
      <c r="A279" s="319"/>
      <c r="B279" s="319"/>
      <c r="C279" s="319"/>
      <c r="D279" s="319"/>
      <c r="E279" s="319"/>
      <c r="F279" s="319"/>
      <c r="G279" s="319"/>
      <c r="H279" s="319"/>
      <c r="I279" s="319"/>
      <c r="J279" s="319"/>
      <c r="K279" s="319"/>
      <c r="L279" s="319"/>
      <c r="M279" s="319"/>
      <c r="N279" s="319"/>
      <c r="O279" s="319"/>
      <c r="P279" s="319"/>
      <c r="Q279" s="319"/>
    </row>
    <row r="280" spans="1:17" ht="13">
      <c r="A280" s="319"/>
      <c r="B280" s="319"/>
      <c r="C280" s="319"/>
      <c r="D280" s="319"/>
      <c r="E280" s="319"/>
      <c r="F280" s="319"/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</row>
    <row r="281" spans="1:17" ht="13">
      <c r="A281" s="319"/>
      <c r="B281" s="319"/>
      <c r="C281" s="319"/>
      <c r="D281" s="319"/>
      <c r="E281" s="319"/>
      <c r="F281" s="319"/>
      <c r="G281" s="319"/>
      <c r="H281" s="319"/>
      <c r="I281" s="319"/>
      <c r="J281" s="319"/>
      <c r="K281" s="319"/>
      <c r="L281" s="319"/>
      <c r="M281" s="319"/>
      <c r="N281" s="319"/>
      <c r="O281" s="319"/>
      <c r="P281" s="319"/>
      <c r="Q281" s="319"/>
    </row>
    <row r="282" spans="1:17" ht="13">
      <c r="A282" s="319"/>
      <c r="B282" s="319"/>
      <c r="C282" s="319"/>
      <c r="D282" s="319"/>
      <c r="E282" s="319"/>
      <c r="F282" s="319"/>
      <c r="G282" s="319"/>
      <c r="H282" s="319"/>
      <c r="I282" s="319"/>
      <c r="J282" s="319"/>
      <c r="K282" s="319"/>
      <c r="L282" s="319"/>
      <c r="M282" s="319"/>
      <c r="N282" s="319"/>
      <c r="O282" s="319"/>
      <c r="P282" s="319"/>
      <c r="Q282" s="319"/>
    </row>
    <row r="283" spans="1:17" ht="13">
      <c r="A283" s="319"/>
      <c r="B283" s="319"/>
      <c r="C283" s="319"/>
      <c r="D283" s="319"/>
      <c r="E283" s="319"/>
      <c r="F283" s="319"/>
      <c r="G283" s="319"/>
      <c r="H283" s="319"/>
      <c r="I283" s="319"/>
      <c r="J283" s="319"/>
      <c r="K283" s="319"/>
      <c r="L283" s="319"/>
      <c r="M283" s="319"/>
      <c r="N283" s="319"/>
      <c r="O283" s="319"/>
      <c r="P283" s="319"/>
      <c r="Q283" s="319"/>
    </row>
    <row r="284" spans="1:17" ht="13">
      <c r="A284" s="319"/>
      <c r="B284" s="319"/>
      <c r="C284" s="319"/>
      <c r="D284" s="319"/>
      <c r="E284" s="319"/>
      <c r="F284" s="319"/>
      <c r="G284" s="319"/>
      <c r="H284" s="319"/>
      <c r="I284" s="319"/>
      <c r="J284" s="319"/>
      <c r="K284" s="319"/>
      <c r="L284" s="319"/>
      <c r="M284" s="319"/>
      <c r="N284" s="319"/>
      <c r="O284" s="319"/>
      <c r="P284" s="319"/>
      <c r="Q284" s="319"/>
    </row>
    <row r="285" spans="1:17" ht="13">
      <c r="A285" s="319"/>
      <c r="B285" s="319"/>
      <c r="C285" s="319"/>
      <c r="D285" s="319"/>
      <c r="E285" s="319"/>
      <c r="F285" s="319"/>
      <c r="G285" s="319"/>
      <c r="H285" s="319"/>
      <c r="I285" s="319"/>
      <c r="J285" s="319"/>
      <c r="K285" s="319"/>
      <c r="L285" s="319"/>
      <c r="M285" s="319"/>
      <c r="N285" s="319"/>
      <c r="O285" s="319"/>
      <c r="P285" s="319"/>
      <c r="Q285" s="319"/>
    </row>
    <row r="286" spans="1:17" ht="13">
      <c r="A286" s="319"/>
      <c r="B286" s="319"/>
      <c r="C286" s="319"/>
      <c r="D286" s="319"/>
      <c r="E286" s="319"/>
      <c r="F286" s="319"/>
      <c r="G286" s="319"/>
      <c r="H286" s="319"/>
      <c r="I286" s="319"/>
      <c r="J286" s="319"/>
      <c r="K286" s="319"/>
      <c r="L286" s="319"/>
      <c r="M286" s="319"/>
      <c r="N286" s="319"/>
      <c r="O286" s="319"/>
      <c r="P286" s="319"/>
      <c r="Q286" s="319"/>
    </row>
    <row r="287" spans="1:17" ht="13">
      <c r="A287" s="319"/>
      <c r="B287" s="319"/>
      <c r="C287" s="319"/>
      <c r="D287" s="319"/>
      <c r="E287" s="319"/>
      <c r="F287" s="319"/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</row>
    <row r="288" spans="1:17" ht="13">
      <c r="A288" s="319"/>
      <c r="B288" s="319"/>
      <c r="C288" s="319"/>
      <c r="D288" s="319"/>
      <c r="E288" s="319"/>
      <c r="F288" s="319"/>
      <c r="G288" s="319"/>
      <c r="H288" s="319"/>
      <c r="I288" s="319"/>
      <c r="J288" s="319"/>
      <c r="K288" s="319"/>
      <c r="L288" s="319"/>
      <c r="M288" s="319"/>
      <c r="N288" s="319"/>
      <c r="O288" s="319"/>
      <c r="P288" s="319"/>
      <c r="Q288" s="319"/>
    </row>
    <row r="289" spans="1:17" ht="13">
      <c r="A289" s="319"/>
      <c r="B289" s="319"/>
      <c r="C289" s="319"/>
      <c r="D289" s="319"/>
      <c r="E289" s="319"/>
      <c r="F289" s="319"/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</row>
    <row r="290" spans="1:17" ht="13">
      <c r="A290" s="319"/>
      <c r="B290" s="319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</row>
    <row r="291" spans="1:17" ht="13">
      <c r="A291" s="319"/>
      <c r="B291" s="319"/>
      <c r="C291" s="319"/>
      <c r="D291" s="319"/>
      <c r="E291" s="319"/>
      <c r="F291" s="319"/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</row>
    <row r="292" spans="1:17" ht="13">
      <c r="A292" s="319"/>
      <c r="B292" s="319"/>
      <c r="C292" s="319"/>
      <c r="D292" s="319"/>
      <c r="E292" s="319"/>
      <c r="F292" s="319"/>
      <c r="G292" s="319"/>
      <c r="H292" s="319"/>
      <c r="I292" s="319"/>
      <c r="J292" s="319"/>
      <c r="K292" s="319"/>
      <c r="L292" s="319"/>
      <c r="M292" s="319"/>
      <c r="N292" s="319"/>
      <c r="O292" s="319"/>
      <c r="P292" s="319"/>
      <c r="Q292" s="319"/>
    </row>
    <row r="293" spans="1:17" ht="13">
      <c r="A293" s="319"/>
      <c r="B293" s="319"/>
      <c r="C293" s="319"/>
      <c r="D293" s="319"/>
      <c r="E293" s="319"/>
      <c r="F293" s="319"/>
      <c r="G293" s="319"/>
      <c r="H293" s="319"/>
      <c r="I293" s="319"/>
      <c r="J293" s="319"/>
      <c r="K293" s="319"/>
      <c r="L293" s="319"/>
      <c r="M293" s="319"/>
      <c r="N293" s="319"/>
      <c r="O293" s="319"/>
      <c r="P293" s="319"/>
      <c r="Q293" s="319"/>
    </row>
    <row r="294" spans="1:17" ht="13">
      <c r="A294" s="319"/>
      <c r="B294" s="319"/>
      <c r="C294" s="319"/>
      <c r="D294" s="319"/>
      <c r="E294" s="319"/>
      <c r="F294" s="319"/>
      <c r="G294" s="319"/>
      <c r="H294" s="319"/>
      <c r="I294" s="319"/>
      <c r="J294" s="319"/>
      <c r="K294" s="319"/>
      <c r="L294" s="319"/>
      <c r="M294" s="319"/>
      <c r="N294" s="319"/>
      <c r="O294" s="319"/>
      <c r="P294" s="319"/>
      <c r="Q294" s="319"/>
    </row>
    <row r="295" spans="1:17" ht="13">
      <c r="A295" s="319"/>
      <c r="B295" s="319"/>
      <c r="C295" s="319"/>
      <c r="D295" s="319"/>
      <c r="E295" s="319"/>
      <c r="F295" s="319"/>
      <c r="G295" s="319"/>
      <c r="H295" s="319"/>
      <c r="I295" s="319"/>
      <c r="J295" s="319"/>
      <c r="K295" s="319"/>
      <c r="L295" s="319"/>
      <c r="M295" s="319"/>
      <c r="N295" s="319"/>
      <c r="O295" s="319"/>
      <c r="P295" s="319"/>
      <c r="Q295" s="319"/>
    </row>
    <row r="296" spans="1:17" ht="13">
      <c r="A296" s="319"/>
      <c r="B296" s="319"/>
      <c r="C296" s="319"/>
      <c r="D296" s="319"/>
      <c r="E296" s="319"/>
      <c r="F296" s="319"/>
      <c r="G296" s="319"/>
      <c r="H296" s="319"/>
      <c r="I296" s="319"/>
      <c r="J296" s="319"/>
      <c r="K296" s="319"/>
      <c r="L296" s="319"/>
      <c r="M296" s="319"/>
      <c r="N296" s="319"/>
      <c r="O296" s="319"/>
      <c r="P296" s="319"/>
      <c r="Q296" s="319"/>
    </row>
    <row r="297" spans="1:17" ht="13">
      <c r="A297" s="319"/>
      <c r="B297" s="319"/>
      <c r="C297" s="319"/>
      <c r="D297" s="319"/>
      <c r="E297" s="319"/>
      <c r="F297" s="319"/>
      <c r="G297" s="319"/>
      <c r="H297" s="319"/>
      <c r="I297" s="319"/>
      <c r="J297" s="319"/>
      <c r="K297" s="319"/>
      <c r="L297" s="319"/>
      <c r="M297" s="319"/>
      <c r="N297" s="319"/>
      <c r="O297" s="319"/>
      <c r="P297" s="319"/>
      <c r="Q297" s="319"/>
    </row>
    <row r="298" spans="1:17" ht="13">
      <c r="A298" s="319"/>
      <c r="B298" s="319"/>
      <c r="C298" s="319"/>
      <c r="D298" s="319"/>
      <c r="E298" s="319"/>
      <c r="F298" s="319"/>
      <c r="G298" s="319"/>
      <c r="H298" s="319"/>
      <c r="I298" s="319"/>
      <c r="J298" s="319"/>
      <c r="K298" s="319"/>
      <c r="L298" s="319"/>
      <c r="M298" s="319"/>
      <c r="N298" s="319"/>
      <c r="O298" s="319"/>
      <c r="P298" s="319"/>
      <c r="Q298" s="319"/>
    </row>
    <row r="299" spans="1:17" ht="13">
      <c r="A299" s="319"/>
      <c r="B299" s="319"/>
      <c r="C299" s="319"/>
      <c r="D299" s="319"/>
      <c r="E299" s="319"/>
      <c r="F299" s="319"/>
      <c r="G299" s="319"/>
      <c r="H299" s="319"/>
      <c r="I299" s="319"/>
      <c r="J299" s="319"/>
      <c r="K299" s="319"/>
      <c r="L299" s="319"/>
      <c r="M299" s="319"/>
      <c r="N299" s="319"/>
      <c r="O299" s="319"/>
      <c r="P299" s="319"/>
      <c r="Q299" s="319"/>
    </row>
    <row r="300" spans="1:17" ht="13">
      <c r="A300" s="319"/>
      <c r="B300" s="319"/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</row>
    <row r="301" spans="1:17" ht="13">
      <c r="A301" s="319"/>
      <c r="B301" s="319"/>
      <c r="C301" s="319"/>
      <c r="D301" s="319"/>
      <c r="E301" s="319"/>
      <c r="F301" s="319"/>
      <c r="G301" s="319"/>
      <c r="H301" s="319"/>
      <c r="I301" s="319"/>
      <c r="J301" s="319"/>
      <c r="K301" s="319"/>
      <c r="L301" s="319"/>
      <c r="M301" s="319"/>
      <c r="N301" s="319"/>
      <c r="O301" s="319"/>
      <c r="P301" s="319"/>
      <c r="Q301" s="319"/>
    </row>
    <row r="302" spans="1:17" ht="13">
      <c r="A302" s="319"/>
      <c r="B302" s="319"/>
      <c r="C302" s="319"/>
      <c r="D302" s="319"/>
      <c r="E302" s="319"/>
      <c r="F302" s="319"/>
      <c r="G302" s="319"/>
      <c r="H302" s="319"/>
      <c r="I302" s="319"/>
      <c r="J302" s="319"/>
      <c r="K302" s="319"/>
      <c r="L302" s="319"/>
      <c r="M302" s="319"/>
      <c r="N302" s="319"/>
      <c r="O302" s="319"/>
      <c r="P302" s="319"/>
      <c r="Q302" s="319"/>
    </row>
    <row r="303" spans="1:17" ht="13">
      <c r="A303" s="319"/>
      <c r="B303" s="319"/>
      <c r="C303" s="319"/>
      <c r="D303" s="319"/>
      <c r="E303" s="319"/>
      <c r="F303" s="319"/>
      <c r="G303" s="319"/>
      <c r="H303" s="319"/>
      <c r="I303" s="319"/>
      <c r="J303" s="319"/>
      <c r="K303" s="319"/>
      <c r="L303" s="319"/>
      <c r="M303" s="319"/>
      <c r="N303" s="319"/>
      <c r="O303" s="319"/>
      <c r="P303" s="319"/>
      <c r="Q303" s="319"/>
    </row>
    <row r="304" spans="1:17" ht="13">
      <c r="A304" s="319"/>
      <c r="B304" s="319"/>
      <c r="C304" s="319"/>
      <c r="D304" s="319"/>
      <c r="E304" s="319"/>
      <c r="F304" s="319"/>
      <c r="G304" s="319"/>
      <c r="H304" s="319"/>
      <c r="I304" s="319"/>
      <c r="J304" s="319"/>
      <c r="K304" s="319"/>
      <c r="L304" s="319"/>
      <c r="M304" s="319"/>
      <c r="N304" s="319"/>
      <c r="O304" s="319"/>
      <c r="P304" s="319"/>
      <c r="Q304" s="319"/>
    </row>
    <row r="305" spans="1:17" ht="13">
      <c r="A305" s="319"/>
      <c r="B305" s="319"/>
      <c r="C305" s="319"/>
      <c r="D305" s="319"/>
      <c r="E305" s="319"/>
      <c r="F305" s="319"/>
      <c r="G305" s="319"/>
      <c r="H305" s="319"/>
      <c r="I305" s="319"/>
      <c r="J305" s="319"/>
      <c r="K305" s="319"/>
      <c r="L305" s="319"/>
      <c r="M305" s="319"/>
      <c r="N305" s="319"/>
      <c r="O305" s="319"/>
      <c r="P305" s="319"/>
      <c r="Q305" s="319"/>
    </row>
    <row r="306" spans="1:17" ht="13">
      <c r="A306" s="319"/>
      <c r="B306" s="319"/>
      <c r="C306" s="319"/>
      <c r="D306" s="319"/>
      <c r="E306" s="319"/>
      <c r="F306" s="319"/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</row>
    <row r="307" spans="1:17" ht="13">
      <c r="A307" s="319"/>
      <c r="B307" s="319"/>
      <c r="C307" s="319"/>
      <c r="D307" s="319"/>
      <c r="E307" s="319"/>
      <c r="F307" s="319"/>
      <c r="G307" s="319"/>
      <c r="H307" s="319"/>
      <c r="I307" s="319"/>
      <c r="J307" s="319"/>
      <c r="K307" s="319"/>
      <c r="L307" s="319"/>
      <c r="M307" s="319"/>
      <c r="N307" s="319"/>
      <c r="O307" s="319"/>
      <c r="P307" s="319"/>
      <c r="Q307" s="319"/>
    </row>
    <row r="308" spans="1:17" ht="13">
      <c r="A308" s="319"/>
      <c r="B308" s="319"/>
      <c r="C308" s="319"/>
      <c r="D308" s="319"/>
      <c r="E308" s="319"/>
      <c r="F308" s="319"/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</row>
    <row r="309" spans="1:17" ht="13">
      <c r="A309" s="319"/>
      <c r="B309" s="319"/>
      <c r="C309" s="319"/>
      <c r="D309" s="319"/>
      <c r="E309" s="319"/>
      <c r="F309" s="319"/>
      <c r="G309" s="319"/>
      <c r="H309" s="319"/>
      <c r="I309" s="319"/>
      <c r="J309" s="319"/>
      <c r="K309" s="319"/>
      <c r="L309" s="319"/>
      <c r="M309" s="319"/>
      <c r="N309" s="319"/>
      <c r="O309" s="319"/>
      <c r="P309" s="319"/>
      <c r="Q309" s="319"/>
    </row>
    <row r="310" spans="1:17" ht="13">
      <c r="A310" s="319"/>
      <c r="B310" s="319"/>
      <c r="C310" s="319"/>
      <c r="D310" s="319"/>
      <c r="E310" s="319"/>
      <c r="F310" s="319"/>
      <c r="G310" s="319"/>
      <c r="H310" s="319"/>
      <c r="I310" s="319"/>
      <c r="J310" s="319"/>
      <c r="K310" s="319"/>
      <c r="L310" s="319"/>
      <c r="M310" s="319"/>
      <c r="N310" s="319"/>
      <c r="O310" s="319"/>
      <c r="P310" s="319"/>
      <c r="Q310" s="319"/>
    </row>
    <row r="311" spans="1:17" ht="13">
      <c r="A311" s="319"/>
      <c r="B311" s="319"/>
      <c r="C311" s="319"/>
      <c r="D311" s="319"/>
      <c r="E311" s="319"/>
      <c r="F311" s="319"/>
      <c r="G311" s="319"/>
      <c r="H311" s="319"/>
      <c r="I311" s="319"/>
      <c r="J311" s="319"/>
      <c r="K311" s="319"/>
      <c r="L311" s="319"/>
      <c r="M311" s="319"/>
      <c r="N311" s="319"/>
      <c r="O311" s="319"/>
      <c r="P311" s="319"/>
      <c r="Q311" s="319"/>
    </row>
    <row r="312" spans="1:17" ht="13">
      <c r="A312" s="319"/>
      <c r="B312" s="319"/>
      <c r="C312" s="319"/>
      <c r="D312" s="319"/>
      <c r="E312" s="319"/>
      <c r="F312" s="319"/>
      <c r="G312" s="319"/>
      <c r="H312" s="319"/>
      <c r="I312" s="319"/>
      <c r="J312" s="319"/>
      <c r="K312" s="319"/>
      <c r="L312" s="319"/>
      <c r="M312" s="319"/>
      <c r="N312" s="319"/>
      <c r="O312" s="319"/>
      <c r="P312" s="319"/>
      <c r="Q312" s="319"/>
    </row>
    <row r="313" spans="1:17" ht="13">
      <c r="A313" s="319"/>
      <c r="B313" s="319"/>
      <c r="C313" s="319"/>
      <c r="D313" s="319"/>
      <c r="E313" s="319"/>
      <c r="F313" s="319"/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</row>
    <row r="314" spans="1:17" ht="13">
      <c r="A314" s="319"/>
      <c r="B314" s="319"/>
      <c r="C314" s="319"/>
      <c r="D314" s="319"/>
      <c r="E314" s="319"/>
      <c r="F314" s="319"/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</row>
    <row r="315" spans="1:17" ht="13">
      <c r="A315" s="319"/>
      <c r="B315" s="319"/>
      <c r="C315" s="319"/>
      <c r="D315" s="319"/>
      <c r="E315" s="319"/>
      <c r="F315" s="319"/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</row>
    <row r="316" spans="1:17" ht="13">
      <c r="A316" s="319"/>
      <c r="B316" s="319"/>
      <c r="C316" s="319"/>
      <c r="D316" s="319"/>
      <c r="E316" s="319"/>
      <c r="F316" s="319"/>
      <c r="G316" s="319"/>
      <c r="H316" s="319"/>
      <c r="I316" s="319"/>
      <c r="J316" s="319"/>
      <c r="K316" s="319"/>
      <c r="L316" s="319"/>
      <c r="M316" s="319"/>
      <c r="N316" s="319"/>
      <c r="O316" s="319"/>
      <c r="P316" s="319"/>
      <c r="Q316" s="319"/>
    </row>
    <row r="317" spans="1:17" ht="13">
      <c r="A317" s="319"/>
      <c r="B317" s="319"/>
      <c r="C317" s="319"/>
      <c r="D317" s="319"/>
      <c r="E317" s="319"/>
      <c r="F317" s="319"/>
      <c r="G317" s="319"/>
      <c r="H317" s="319"/>
      <c r="I317" s="319"/>
      <c r="J317" s="319"/>
      <c r="K317" s="319"/>
      <c r="L317" s="319"/>
      <c r="M317" s="319"/>
      <c r="N317" s="319"/>
      <c r="O317" s="319"/>
      <c r="P317" s="319"/>
      <c r="Q317" s="319"/>
    </row>
    <row r="318" spans="1:17" ht="13">
      <c r="A318" s="319"/>
      <c r="B318" s="319"/>
      <c r="C318" s="319"/>
      <c r="D318" s="319"/>
      <c r="E318" s="319"/>
      <c r="F318" s="319"/>
      <c r="G318" s="319"/>
      <c r="H318" s="319"/>
      <c r="I318" s="319"/>
      <c r="J318" s="319"/>
      <c r="K318" s="319"/>
      <c r="L318" s="319"/>
      <c r="M318" s="319"/>
      <c r="N318" s="319"/>
      <c r="O318" s="319"/>
      <c r="P318" s="319"/>
      <c r="Q318" s="319"/>
    </row>
    <row r="319" spans="1:17" ht="13">
      <c r="A319" s="319"/>
      <c r="B319" s="319"/>
      <c r="C319" s="319"/>
      <c r="D319" s="319"/>
      <c r="E319" s="319"/>
      <c r="F319" s="319"/>
      <c r="G319" s="319"/>
      <c r="H319" s="319"/>
      <c r="I319" s="319"/>
      <c r="J319" s="319"/>
      <c r="K319" s="319"/>
      <c r="L319" s="319"/>
      <c r="M319" s="319"/>
      <c r="N319" s="319"/>
      <c r="O319" s="319"/>
      <c r="P319" s="319"/>
      <c r="Q319" s="319"/>
    </row>
    <row r="320" spans="1:17" ht="13">
      <c r="A320" s="319"/>
      <c r="B320" s="319"/>
      <c r="C320" s="319"/>
      <c r="D320" s="319"/>
      <c r="E320" s="319"/>
      <c r="F320" s="319"/>
      <c r="G320" s="319"/>
      <c r="H320" s="319"/>
      <c r="I320" s="319"/>
      <c r="J320" s="319"/>
      <c r="K320" s="319"/>
      <c r="L320" s="319"/>
      <c r="M320" s="319"/>
      <c r="N320" s="319"/>
      <c r="O320" s="319"/>
      <c r="P320" s="319"/>
      <c r="Q320" s="319"/>
    </row>
    <row r="321" spans="1:17" ht="13">
      <c r="A321" s="319"/>
      <c r="B321" s="319"/>
      <c r="C321" s="319"/>
      <c r="D321" s="319"/>
      <c r="E321" s="319"/>
      <c r="F321" s="319"/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</row>
    <row r="322" spans="1:17" ht="13">
      <c r="A322" s="319"/>
      <c r="B322" s="319"/>
      <c r="C322" s="319"/>
      <c r="D322" s="319"/>
      <c r="E322" s="319"/>
      <c r="F322" s="319"/>
      <c r="G322" s="319"/>
      <c r="H322" s="319"/>
      <c r="I322" s="319"/>
      <c r="J322" s="319"/>
      <c r="K322" s="319"/>
      <c r="L322" s="319"/>
      <c r="M322" s="319"/>
      <c r="N322" s="319"/>
      <c r="O322" s="319"/>
      <c r="P322" s="319"/>
      <c r="Q322" s="319"/>
    </row>
    <row r="323" spans="1:17" ht="13">
      <c r="A323" s="319"/>
      <c r="B323" s="319"/>
      <c r="C323" s="319"/>
      <c r="D323" s="319"/>
      <c r="E323" s="319"/>
      <c r="F323" s="319"/>
      <c r="G323" s="319"/>
      <c r="H323" s="319"/>
      <c r="I323" s="319"/>
      <c r="J323" s="319"/>
      <c r="K323" s="319"/>
      <c r="L323" s="319"/>
      <c r="M323" s="319"/>
      <c r="N323" s="319"/>
      <c r="O323" s="319"/>
      <c r="P323" s="319"/>
      <c r="Q323" s="319"/>
    </row>
    <row r="324" spans="1:17" ht="13">
      <c r="A324" s="319"/>
      <c r="B324" s="319"/>
      <c r="C324" s="319"/>
      <c r="D324" s="319"/>
      <c r="E324" s="319"/>
      <c r="F324" s="319"/>
      <c r="G324" s="319"/>
      <c r="H324" s="319"/>
      <c r="I324" s="319"/>
      <c r="J324" s="319"/>
      <c r="K324" s="319"/>
      <c r="L324" s="319"/>
      <c r="M324" s="319"/>
      <c r="N324" s="319"/>
      <c r="O324" s="319"/>
      <c r="P324" s="319"/>
      <c r="Q324" s="319"/>
    </row>
    <row r="325" spans="1:17" ht="13">
      <c r="A325" s="319"/>
      <c r="B325" s="319"/>
      <c r="C325" s="319"/>
      <c r="D325" s="319"/>
      <c r="E325" s="319"/>
      <c r="F325" s="319"/>
      <c r="G325" s="319"/>
      <c r="H325" s="319"/>
      <c r="I325" s="319"/>
      <c r="J325" s="319"/>
      <c r="K325" s="319"/>
      <c r="L325" s="319"/>
      <c r="M325" s="319"/>
      <c r="N325" s="319"/>
      <c r="O325" s="319"/>
      <c r="P325" s="319"/>
      <c r="Q325" s="319"/>
    </row>
    <row r="326" spans="1:17" ht="13">
      <c r="A326" s="319"/>
      <c r="B326" s="319"/>
      <c r="C326" s="319"/>
      <c r="D326" s="319"/>
      <c r="E326" s="319"/>
      <c r="F326" s="319"/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</row>
    <row r="327" spans="1:17" ht="13">
      <c r="A327" s="319"/>
      <c r="B327" s="319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</row>
    <row r="328" spans="1:17" ht="13">
      <c r="A328" s="319"/>
      <c r="B328" s="319"/>
      <c r="C328" s="319"/>
      <c r="D328" s="319"/>
      <c r="E328" s="319"/>
      <c r="F328" s="319"/>
      <c r="G328" s="319"/>
      <c r="H328" s="319"/>
      <c r="I328" s="319"/>
      <c r="J328" s="319"/>
      <c r="K328" s="319"/>
      <c r="L328" s="319"/>
      <c r="M328" s="319"/>
      <c r="N328" s="319"/>
      <c r="O328" s="319"/>
      <c r="P328" s="319"/>
      <c r="Q328" s="319"/>
    </row>
    <row r="329" spans="1:17" ht="13">
      <c r="A329" s="319"/>
      <c r="B329" s="319"/>
      <c r="C329" s="319"/>
      <c r="D329" s="319"/>
      <c r="E329" s="319"/>
      <c r="F329" s="319"/>
      <c r="G329" s="319"/>
      <c r="H329" s="319"/>
      <c r="I329" s="319"/>
      <c r="J329" s="319"/>
      <c r="K329" s="319"/>
      <c r="L329" s="319"/>
      <c r="M329" s="319"/>
      <c r="N329" s="319"/>
      <c r="O329" s="319"/>
      <c r="P329" s="319"/>
      <c r="Q329" s="319"/>
    </row>
    <row r="330" spans="1:17" ht="13">
      <c r="A330" s="319"/>
      <c r="B330" s="319"/>
      <c r="C330" s="319"/>
      <c r="D330" s="319"/>
      <c r="E330" s="319"/>
      <c r="F330" s="319"/>
      <c r="G330" s="319"/>
      <c r="H330" s="319"/>
      <c r="I330" s="319"/>
      <c r="J330" s="319"/>
      <c r="K330" s="319"/>
      <c r="L330" s="319"/>
      <c r="M330" s="319"/>
      <c r="N330" s="319"/>
      <c r="O330" s="319"/>
      <c r="P330" s="319"/>
      <c r="Q330" s="319"/>
    </row>
    <row r="331" spans="1:17" ht="13">
      <c r="A331" s="319"/>
      <c r="B331" s="319"/>
      <c r="C331" s="319"/>
      <c r="D331" s="319"/>
      <c r="E331" s="319"/>
      <c r="F331" s="319"/>
      <c r="G331" s="319"/>
      <c r="H331" s="319"/>
      <c r="I331" s="319"/>
      <c r="J331" s="319"/>
      <c r="K331" s="319"/>
      <c r="L331" s="319"/>
      <c r="M331" s="319"/>
      <c r="N331" s="319"/>
      <c r="O331" s="319"/>
      <c r="P331" s="319"/>
      <c r="Q331" s="319"/>
    </row>
    <row r="332" spans="1:17" ht="13">
      <c r="A332" s="319"/>
      <c r="B332" s="319"/>
      <c r="C332" s="319"/>
      <c r="D332" s="319"/>
      <c r="E332" s="319"/>
      <c r="F332" s="319"/>
      <c r="G332" s="319"/>
      <c r="H332" s="319"/>
      <c r="I332" s="319"/>
      <c r="J332" s="319"/>
      <c r="K332" s="319"/>
      <c r="L332" s="319"/>
      <c r="M332" s="319"/>
      <c r="N332" s="319"/>
      <c r="O332" s="319"/>
      <c r="P332" s="319"/>
      <c r="Q332" s="319"/>
    </row>
    <row r="333" spans="1:17" ht="13">
      <c r="A333" s="319"/>
      <c r="B333" s="319"/>
      <c r="C333" s="319"/>
      <c r="D333" s="319"/>
      <c r="E333" s="319"/>
      <c r="F333" s="319"/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</row>
    <row r="334" spans="1:17" ht="13">
      <c r="A334" s="319"/>
      <c r="B334" s="319"/>
      <c r="C334" s="319"/>
      <c r="D334" s="319"/>
      <c r="E334" s="319"/>
      <c r="F334" s="319"/>
      <c r="G334" s="319"/>
      <c r="H334" s="319"/>
      <c r="I334" s="319"/>
      <c r="J334" s="319"/>
      <c r="K334" s="319"/>
      <c r="L334" s="319"/>
      <c r="M334" s="319"/>
      <c r="N334" s="319"/>
      <c r="O334" s="319"/>
      <c r="P334" s="319"/>
      <c r="Q334" s="319"/>
    </row>
    <row r="335" spans="1:17" ht="13">
      <c r="A335" s="319"/>
      <c r="B335" s="319"/>
      <c r="C335" s="319"/>
      <c r="D335" s="319"/>
      <c r="E335" s="319"/>
      <c r="F335" s="319"/>
      <c r="G335" s="319"/>
      <c r="H335" s="319"/>
      <c r="I335" s="319"/>
      <c r="J335" s="319"/>
      <c r="K335" s="319"/>
      <c r="L335" s="319"/>
      <c r="M335" s="319"/>
      <c r="N335" s="319"/>
      <c r="O335" s="319"/>
      <c r="P335" s="319"/>
      <c r="Q335" s="319"/>
    </row>
    <row r="336" spans="1:17" ht="13">
      <c r="A336" s="319"/>
      <c r="B336" s="319"/>
      <c r="C336" s="319"/>
      <c r="D336" s="319"/>
      <c r="E336" s="319"/>
      <c r="F336" s="319"/>
      <c r="G336" s="319"/>
      <c r="H336" s="319"/>
      <c r="I336" s="319"/>
      <c r="J336" s="319"/>
      <c r="K336" s="319"/>
      <c r="L336" s="319"/>
      <c r="M336" s="319"/>
      <c r="N336" s="319"/>
      <c r="O336" s="319"/>
      <c r="P336" s="319"/>
      <c r="Q336" s="319"/>
    </row>
    <row r="337" spans="1:17" ht="13">
      <c r="A337" s="319"/>
      <c r="B337" s="319"/>
      <c r="C337" s="319"/>
      <c r="D337" s="319"/>
      <c r="E337" s="319"/>
      <c r="F337" s="319"/>
      <c r="G337" s="319"/>
      <c r="H337" s="319"/>
      <c r="I337" s="319"/>
      <c r="J337" s="319"/>
      <c r="K337" s="319"/>
      <c r="L337" s="319"/>
      <c r="M337" s="319"/>
      <c r="N337" s="319"/>
      <c r="O337" s="319"/>
      <c r="P337" s="319"/>
      <c r="Q337" s="319"/>
    </row>
    <row r="338" spans="1:17" ht="13">
      <c r="A338" s="319"/>
      <c r="B338" s="319"/>
      <c r="C338" s="319"/>
      <c r="D338" s="319"/>
      <c r="E338" s="319"/>
      <c r="F338" s="319"/>
      <c r="G338" s="319"/>
      <c r="H338" s="319"/>
      <c r="I338" s="319"/>
      <c r="J338" s="319"/>
      <c r="K338" s="319"/>
      <c r="L338" s="319"/>
      <c r="M338" s="319"/>
      <c r="N338" s="319"/>
      <c r="O338" s="319"/>
      <c r="P338" s="319"/>
      <c r="Q338" s="319"/>
    </row>
    <row r="339" spans="1:17" ht="13">
      <c r="A339" s="319"/>
      <c r="B339" s="319"/>
      <c r="C339" s="319"/>
      <c r="D339" s="319"/>
      <c r="E339" s="319"/>
      <c r="F339" s="319"/>
      <c r="G339" s="319"/>
      <c r="H339" s="319"/>
      <c r="I339" s="319"/>
      <c r="J339" s="319"/>
      <c r="K339" s="319"/>
      <c r="L339" s="319"/>
      <c r="M339" s="319"/>
      <c r="N339" s="319"/>
      <c r="O339" s="319"/>
      <c r="P339" s="319"/>
      <c r="Q339" s="319"/>
    </row>
    <row r="340" spans="1:17" ht="13">
      <c r="A340" s="319"/>
      <c r="B340" s="319"/>
      <c r="C340" s="319"/>
      <c r="D340" s="319"/>
      <c r="E340" s="319"/>
      <c r="F340" s="319"/>
      <c r="G340" s="319"/>
      <c r="H340" s="319"/>
      <c r="I340" s="319"/>
      <c r="J340" s="319"/>
      <c r="K340" s="319"/>
      <c r="L340" s="319"/>
      <c r="M340" s="319"/>
      <c r="N340" s="319"/>
      <c r="O340" s="319"/>
      <c r="P340" s="319"/>
      <c r="Q340" s="319"/>
    </row>
    <row r="341" spans="1:17" ht="13">
      <c r="A341" s="319"/>
      <c r="B341" s="319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</row>
    <row r="342" spans="1:17" ht="13">
      <c r="A342" s="319"/>
      <c r="B342" s="319"/>
      <c r="C342" s="319"/>
      <c r="D342" s="319"/>
      <c r="E342" s="319"/>
      <c r="F342" s="319"/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</row>
    <row r="343" spans="1:17" ht="13">
      <c r="A343" s="319"/>
      <c r="B343" s="319"/>
      <c r="C343" s="319"/>
      <c r="D343" s="319"/>
      <c r="E343" s="319"/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</row>
    <row r="344" spans="1:17" ht="13">
      <c r="A344" s="319"/>
      <c r="B344" s="319"/>
      <c r="C344" s="319"/>
      <c r="D344" s="319"/>
      <c r="E344" s="319"/>
      <c r="F344" s="319"/>
      <c r="G344" s="319"/>
      <c r="H344" s="319"/>
      <c r="I344" s="319"/>
      <c r="J344" s="319"/>
      <c r="K344" s="319"/>
      <c r="L344" s="319"/>
      <c r="M344" s="319"/>
      <c r="N344" s="319"/>
      <c r="O344" s="319"/>
      <c r="P344" s="319"/>
      <c r="Q344" s="319"/>
    </row>
    <row r="345" spans="1:17" ht="13">
      <c r="A345" s="319"/>
      <c r="B345" s="319"/>
      <c r="C345" s="319"/>
      <c r="D345" s="319"/>
      <c r="E345" s="319"/>
      <c r="F345" s="319"/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</row>
    <row r="346" spans="1:17" ht="13">
      <c r="A346" s="319"/>
      <c r="B346" s="319"/>
      <c r="C346" s="319"/>
      <c r="D346" s="319"/>
      <c r="E346" s="319"/>
      <c r="F346" s="319"/>
      <c r="G346" s="319"/>
      <c r="H346" s="319"/>
      <c r="I346" s="319"/>
      <c r="J346" s="319"/>
      <c r="K346" s="319"/>
      <c r="L346" s="319"/>
      <c r="M346" s="319"/>
      <c r="N346" s="319"/>
      <c r="O346" s="319"/>
      <c r="P346" s="319"/>
      <c r="Q346" s="319"/>
    </row>
    <row r="347" spans="1:17" ht="13">
      <c r="A347" s="319"/>
      <c r="B347" s="319"/>
      <c r="C347" s="319"/>
      <c r="D347" s="319"/>
      <c r="E347" s="319"/>
      <c r="F347" s="319"/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</row>
    <row r="348" spans="1:17" ht="13">
      <c r="A348" s="319"/>
      <c r="B348" s="319"/>
      <c r="C348" s="319"/>
      <c r="D348" s="319"/>
      <c r="E348" s="319"/>
      <c r="F348" s="319"/>
      <c r="G348" s="319"/>
      <c r="H348" s="319"/>
      <c r="I348" s="319"/>
      <c r="J348" s="319"/>
      <c r="K348" s="319"/>
      <c r="L348" s="319"/>
      <c r="M348" s="319"/>
      <c r="N348" s="319"/>
      <c r="O348" s="319"/>
      <c r="P348" s="319"/>
      <c r="Q348" s="319"/>
    </row>
    <row r="349" spans="1:17" ht="13">
      <c r="A349" s="319"/>
      <c r="B349" s="319"/>
      <c r="C349" s="319"/>
      <c r="D349" s="319"/>
      <c r="E349" s="319"/>
      <c r="F349" s="319"/>
      <c r="G349" s="319"/>
      <c r="H349" s="319"/>
      <c r="I349" s="319"/>
      <c r="J349" s="319"/>
      <c r="K349" s="319"/>
      <c r="L349" s="319"/>
      <c r="M349" s="319"/>
      <c r="N349" s="319"/>
      <c r="O349" s="319"/>
      <c r="P349" s="319"/>
      <c r="Q349" s="319"/>
    </row>
    <row r="350" spans="1:17" ht="13">
      <c r="A350" s="319"/>
      <c r="B350" s="319"/>
      <c r="C350" s="319"/>
      <c r="D350" s="319"/>
      <c r="E350" s="319"/>
      <c r="F350" s="319"/>
      <c r="G350" s="319"/>
      <c r="H350" s="319"/>
      <c r="I350" s="319"/>
      <c r="J350" s="319"/>
      <c r="K350" s="319"/>
      <c r="L350" s="319"/>
      <c r="M350" s="319"/>
      <c r="N350" s="319"/>
      <c r="O350" s="319"/>
      <c r="P350" s="319"/>
      <c r="Q350" s="319"/>
    </row>
    <row r="351" spans="1:17" ht="13">
      <c r="A351" s="319"/>
      <c r="B351" s="319"/>
      <c r="C351" s="319"/>
      <c r="D351" s="319"/>
      <c r="E351" s="319"/>
      <c r="F351" s="319"/>
      <c r="G351" s="319"/>
      <c r="H351" s="319"/>
      <c r="I351" s="319"/>
      <c r="J351" s="319"/>
      <c r="K351" s="319"/>
      <c r="L351" s="319"/>
      <c r="M351" s="319"/>
      <c r="N351" s="319"/>
      <c r="O351" s="319"/>
      <c r="P351" s="319"/>
      <c r="Q351" s="319"/>
    </row>
    <row r="352" spans="1:17" ht="13">
      <c r="A352" s="319"/>
      <c r="B352" s="319"/>
      <c r="C352" s="319"/>
      <c r="D352" s="319"/>
      <c r="E352" s="319"/>
      <c r="F352" s="319"/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</row>
    <row r="353" spans="1:17" ht="13">
      <c r="A353" s="319"/>
      <c r="B353" s="319"/>
      <c r="C353" s="319"/>
      <c r="D353" s="319"/>
      <c r="E353" s="319"/>
      <c r="F353" s="319"/>
      <c r="G353" s="319"/>
      <c r="H353" s="319"/>
      <c r="I353" s="319"/>
      <c r="J353" s="319"/>
      <c r="K353" s="319"/>
      <c r="L353" s="319"/>
      <c r="M353" s="319"/>
      <c r="N353" s="319"/>
      <c r="O353" s="319"/>
      <c r="P353" s="319"/>
      <c r="Q353" s="319"/>
    </row>
    <row r="354" spans="1:17" ht="13">
      <c r="A354" s="319"/>
      <c r="B354" s="319"/>
      <c r="C354" s="319"/>
      <c r="D354" s="319"/>
      <c r="E354" s="319"/>
      <c r="F354" s="319"/>
      <c r="G354" s="319"/>
      <c r="H354" s="319"/>
      <c r="I354" s="319"/>
      <c r="J354" s="319"/>
      <c r="K354" s="319"/>
      <c r="L354" s="319"/>
      <c r="M354" s="319"/>
      <c r="N354" s="319"/>
      <c r="O354" s="319"/>
      <c r="P354" s="319"/>
      <c r="Q354" s="319"/>
    </row>
    <row r="355" spans="1:17" ht="13">
      <c r="A355" s="319"/>
      <c r="B355" s="319"/>
      <c r="C355" s="319"/>
      <c r="D355" s="319"/>
      <c r="E355" s="319"/>
      <c r="F355" s="319"/>
      <c r="G355" s="319"/>
      <c r="H355" s="319"/>
      <c r="I355" s="319"/>
      <c r="J355" s="319"/>
      <c r="K355" s="319"/>
      <c r="L355" s="319"/>
      <c r="M355" s="319"/>
      <c r="N355" s="319"/>
      <c r="O355" s="319"/>
      <c r="P355" s="319"/>
      <c r="Q355" s="319"/>
    </row>
    <row r="356" spans="1:17" ht="13">
      <c r="A356" s="319"/>
      <c r="B356" s="319"/>
      <c r="C356" s="319"/>
      <c r="D356" s="319"/>
      <c r="E356" s="319"/>
      <c r="F356" s="319"/>
      <c r="G356" s="319"/>
      <c r="H356" s="319"/>
      <c r="I356" s="319"/>
      <c r="J356" s="319"/>
      <c r="K356" s="319"/>
      <c r="L356" s="319"/>
      <c r="M356" s="319"/>
      <c r="N356" s="319"/>
      <c r="O356" s="319"/>
      <c r="P356" s="319"/>
      <c r="Q356" s="319"/>
    </row>
    <row r="357" spans="1:17" ht="13">
      <c r="A357" s="319"/>
      <c r="B357" s="319"/>
      <c r="C357" s="319"/>
      <c r="D357" s="319"/>
      <c r="E357" s="319"/>
      <c r="F357" s="319"/>
      <c r="G357" s="319"/>
      <c r="H357" s="319"/>
      <c r="I357" s="319"/>
      <c r="J357" s="319"/>
      <c r="K357" s="319"/>
      <c r="L357" s="319"/>
      <c r="M357" s="319"/>
      <c r="N357" s="319"/>
      <c r="O357" s="319"/>
      <c r="P357" s="319"/>
      <c r="Q357" s="319"/>
    </row>
    <row r="358" spans="1:17" ht="13">
      <c r="A358" s="319"/>
      <c r="B358" s="319"/>
      <c r="C358" s="319"/>
      <c r="D358" s="319"/>
      <c r="E358" s="319"/>
      <c r="F358" s="319"/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</row>
    <row r="359" spans="1:17" ht="13">
      <c r="A359" s="319"/>
      <c r="B359" s="319"/>
      <c r="C359" s="319"/>
      <c r="D359" s="319"/>
      <c r="E359" s="319"/>
      <c r="F359" s="319"/>
      <c r="G359" s="319"/>
      <c r="H359" s="319"/>
      <c r="I359" s="319"/>
      <c r="J359" s="319"/>
      <c r="K359" s="319"/>
      <c r="L359" s="319"/>
      <c r="M359" s="319"/>
      <c r="N359" s="319"/>
      <c r="O359" s="319"/>
      <c r="P359" s="319"/>
      <c r="Q359" s="319"/>
    </row>
    <row r="360" spans="1:17" ht="13">
      <c r="A360" s="319"/>
      <c r="B360" s="319"/>
      <c r="C360" s="319"/>
      <c r="D360" s="319"/>
      <c r="E360" s="319"/>
      <c r="F360" s="319"/>
      <c r="G360" s="319"/>
      <c r="H360" s="319"/>
      <c r="I360" s="319"/>
      <c r="J360" s="319"/>
      <c r="K360" s="319"/>
      <c r="L360" s="319"/>
      <c r="M360" s="319"/>
      <c r="N360" s="319"/>
      <c r="O360" s="319"/>
      <c r="P360" s="319"/>
      <c r="Q360" s="319"/>
    </row>
    <row r="361" spans="1:17" ht="13">
      <c r="A361" s="319"/>
      <c r="B361" s="319"/>
      <c r="C361" s="319"/>
      <c r="D361" s="319"/>
      <c r="E361" s="319"/>
      <c r="F361" s="319"/>
      <c r="G361" s="319"/>
      <c r="H361" s="319"/>
      <c r="I361" s="319"/>
      <c r="J361" s="319"/>
      <c r="K361" s="319"/>
      <c r="L361" s="319"/>
      <c r="M361" s="319"/>
      <c r="N361" s="319"/>
      <c r="O361" s="319"/>
      <c r="P361" s="319"/>
      <c r="Q361" s="319"/>
    </row>
    <row r="362" spans="1:17" ht="13">
      <c r="A362" s="319"/>
      <c r="B362" s="319"/>
      <c r="C362" s="319"/>
      <c r="D362" s="319"/>
      <c r="E362" s="319"/>
      <c r="F362" s="319"/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</row>
    <row r="363" spans="1:17" ht="13">
      <c r="A363" s="319"/>
      <c r="B363" s="319"/>
      <c r="C363" s="319"/>
      <c r="D363" s="319"/>
      <c r="E363" s="319"/>
      <c r="F363" s="319"/>
      <c r="G363" s="319"/>
      <c r="H363" s="319"/>
      <c r="I363" s="319"/>
      <c r="J363" s="319"/>
      <c r="K363" s="319"/>
      <c r="L363" s="319"/>
      <c r="M363" s="319"/>
      <c r="N363" s="319"/>
      <c r="O363" s="319"/>
      <c r="P363" s="319"/>
      <c r="Q363" s="319"/>
    </row>
    <row r="364" spans="1:17" ht="13">
      <c r="A364" s="319"/>
      <c r="B364" s="319"/>
      <c r="C364" s="319"/>
      <c r="D364" s="319"/>
      <c r="E364" s="319"/>
      <c r="F364" s="319"/>
      <c r="G364" s="319"/>
      <c r="H364" s="319"/>
      <c r="I364" s="319"/>
      <c r="J364" s="319"/>
      <c r="K364" s="319"/>
      <c r="L364" s="319"/>
      <c r="M364" s="319"/>
      <c r="N364" s="319"/>
      <c r="O364" s="319"/>
      <c r="P364" s="319"/>
      <c r="Q364" s="319"/>
    </row>
    <row r="365" spans="1:17" ht="13">
      <c r="A365" s="319"/>
      <c r="B365" s="319"/>
      <c r="C365" s="319"/>
      <c r="D365" s="319"/>
      <c r="E365" s="319"/>
      <c r="F365" s="319"/>
      <c r="G365" s="319"/>
      <c r="H365" s="319"/>
      <c r="I365" s="319"/>
      <c r="J365" s="319"/>
      <c r="K365" s="319"/>
      <c r="L365" s="319"/>
      <c r="M365" s="319"/>
      <c r="N365" s="319"/>
      <c r="O365" s="319"/>
      <c r="P365" s="319"/>
      <c r="Q365" s="319"/>
    </row>
    <row r="366" spans="1:17" ht="13">
      <c r="A366" s="319"/>
      <c r="B366" s="319"/>
      <c r="C366" s="319"/>
      <c r="D366" s="319"/>
      <c r="E366" s="319"/>
      <c r="F366" s="319"/>
      <c r="G366" s="319"/>
      <c r="H366" s="319"/>
      <c r="I366" s="319"/>
      <c r="J366" s="319"/>
      <c r="K366" s="319"/>
      <c r="L366" s="319"/>
      <c r="M366" s="319"/>
      <c r="N366" s="319"/>
      <c r="O366" s="319"/>
      <c r="P366" s="319"/>
      <c r="Q366" s="319"/>
    </row>
    <row r="367" spans="1:17" ht="13">
      <c r="A367" s="319"/>
      <c r="B367" s="319"/>
      <c r="C367" s="319"/>
      <c r="D367" s="319"/>
      <c r="E367" s="319"/>
      <c r="F367" s="319"/>
      <c r="G367" s="319"/>
      <c r="H367" s="319"/>
      <c r="I367" s="319"/>
      <c r="J367" s="319"/>
      <c r="K367" s="319"/>
      <c r="L367" s="319"/>
      <c r="M367" s="319"/>
      <c r="N367" s="319"/>
      <c r="O367" s="319"/>
      <c r="P367" s="319"/>
      <c r="Q367" s="319"/>
    </row>
    <row r="368" spans="1:17" ht="13">
      <c r="A368" s="319"/>
      <c r="B368" s="319"/>
      <c r="C368" s="319"/>
      <c r="D368" s="319"/>
      <c r="E368" s="319"/>
      <c r="F368" s="319"/>
      <c r="G368" s="319"/>
      <c r="H368" s="319"/>
      <c r="I368" s="319"/>
      <c r="J368" s="319"/>
      <c r="K368" s="319"/>
      <c r="L368" s="319"/>
      <c r="M368" s="319"/>
      <c r="N368" s="319"/>
      <c r="O368" s="319"/>
      <c r="P368" s="319"/>
      <c r="Q368" s="319"/>
    </row>
    <row r="369" spans="1:17" ht="13">
      <c r="A369" s="319"/>
      <c r="B369" s="319"/>
      <c r="C369" s="319"/>
      <c r="D369" s="319"/>
      <c r="E369" s="319"/>
      <c r="F369" s="319"/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</row>
    <row r="370" spans="1:17" ht="13">
      <c r="A370" s="319"/>
      <c r="B370" s="319"/>
      <c r="C370" s="319"/>
      <c r="D370" s="319"/>
      <c r="E370" s="319"/>
      <c r="F370" s="319"/>
      <c r="G370" s="319"/>
      <c r="H370" s="319"/>
      <c r="I370" s="319"/>
      <c r="J370" s="319"/>
      <c r="K370" s="319"/>
      <c r="L370" s="319"/>
      <c r="M370" s="319"/>
      <c r="N370" s="319"/>
      <c r="O370" s="319"/>
      <c r="P370" s="319"/>
      <c r="Q370" s="319"/>
    </row>
    <row r="371" spans="1:17" ht="13">
      <c r="A371" s="319"/>
      <c r="B371" s="319"/>
      <c r="C371" s="319"/>
      <c r="D371" s="319"/>
      <c r="E371" s="319"/>
      <c r="F371" s="319"/>
      <c r="G371" s="319"/>
      <c r="H371" s="319"/>
      <c r="I371" s="319"/>
      <c r="J371" s="319"/>
      <c r="K371" s="319"/>
      <c r="L371" s="319"/>
      <c r="M371" s="319"/>
      <c r="N371" s="319"/>
      <c r="O371" s="319"/>
      <c r="P371" s="319"/>
      <c r="Q371" s="319"/>
    </row>
    <row r="372" spans="1:17" ht="13">
      <c r="A372" s="319"/>
      <c r="B372" s="319"/>
      <c r="C372" s="319"/>
      <c r="D372" s="319"/>
      <c r="E372" s="319"/>
      <c r="F372" s="319"/>
      <c r="G372" s="319"/>
      <c r="H372" s="319"/>
      <c r="I372" s="319"/>
      <c r="J372" s="319"/>
      <c r="K372" s="319"/>
      <c r="L372" s="319"/>
      <c r="M372" s="319"/>
      <c r="N372" s="319"/>
      <c r="O372" s="319"/>
      <c r="P372" s="319"/>
      <c r="Q372" s="319"/>
    </row>
    <row r="373" spans="1:17" ht="13">
      <c r="A373" s="319"/>
      <c r="B373" s="319"/>
      <c r="C373" s="319"/>
      <c r="D373" s="319"/>
      <c r="E373" s="319"/>
      <c r="F373" s="319"/>
      <c r="G373" s="319"/>
      <c r="H373" s="319"/>
      <c r="I373" s="319"/>
      <c r="J373" s="319"/>
      <c r="K373" s="319"/>
      <c r="L373" s="319"/>
      <c r="M373" s="319"/>
      <c r="N373" s="319"/>
      <c r="O373" s="319"/>
      <c r="P373" s="319"/>
      <c r="Q373" s="319"/>
    </row>
    <row r="374" spans="1:17" ht="13">
      <c r="A374" s="319"/>
      <c r="B374" s="319"/>
      <c r="C374" s="319"/>
      <c r="D374" s="319"/>
      <c r="E374" s="319"/>
      <c r="F374" s="319"/>
      <c r="G374" s="319"/>
      <c r="H374" s="319"/>
      <c r="I374" s="319"/>
      <c r="J374" s="319"/>
      <c r="K374" s="319"/>
      <c r="L374" s="319"/>
      <c r="M374" s="319"/>
      <c r="N374" s="319"/>
      <c r="O374" s="319"/>
      <c r="P374" s="319"/>
      <c r="Q374" s="319"/>
    </row>
    <row r="375" spans="1:17" ht="13">
      <c r="A375" s="319"/>
      <c r="B375" s="319"/>
      <c r="C375" s="319"/>
      <c r="D375" s="319"/>
      <c r="E375" s="319"/>
      <c r="F375" s="319"/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</row>
    <row r="376" spans="1:17" ht="13">
      <c r="A376" s="319"/>
      <c r="B376" s="319"/>
      <c r="C376" s="319"/>
      <c r="D376" s="319"/>
      <c r="E376" s="319"/>
      <c r="F376" s="319"/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</row>
    <row r="377" spans="1:17" ht="13">
      <c r="A377" s="319"/>
      <c r="B377" s="319"/>
      <c r="C377" s="319"/>
      <c r="D377" s="319"/>
      <c r="E377" s="319"/>
      <c r="F377" s="319"/>
      <c r="G377" s="319"/>
      <c r="H377" s="319"/>
      <c r="I377" s="319"/>
      <c r="J377" s="319"/>
      <c r="K377" s="319"/>
      <c r="L377" s="319"/>
      <c r="M377" s="319"/>
      <c r="N377" s="319"/>
      <c r="O377" s="319"/>
      <c r="P377" s="319"/>
      <c r="Q377" s="319"/>
    </row>
    <row r="378" spans="1:17" ht="13">
      <c r="A378" s="319"/>
      <c r="B378" s="319"/>
      <c r="C378" s="319"/>
      <c r="D378" s="319"/>
      <c r="E378" s="319"/>
      <c r="F378" s="319"/>
      <c r="G378" s="319"/>
      <c r="H378" s="319"/>
      <c r="I378" s="319"/>
      <c r="J378" s="319"/>
      <c r="K378" s="319"/>
      <c r="L378" s="319"/>
      <c r="M378" s="319"/>
      <c r="N378" s="319"/>
      <c r="O378" s="319"/>
      <c r="P378" s="319"/>
      <c r="Q378" s="319"/>
    </row>
    <row r="379" spans="1:17" ht="13">
      <c r="A379" s="319"/>
      <c r="B379" s="319"/>
      <c r="C379" s="319"/>
      <c r="D379" s="319"/>
      <c r="E379" s="319"/>
      <c r="F379" s="319"/>
      <c r="G379" s="319"/>
      <c r="H379" s="319"/>
      <c r="I379" s="319"/>
      <c r="J379" s="319"/>
      <c r="K379" s="319"/>
      <c r="L379" s="319"/>
      <c r="M379" s="319"/>
      <c r="N379" s="319"/>
      <c r="O379" s="319"/>
      <c r="P379" s="319"/>
      <c r="Q379" s="319"/>
    </row>
    <row r="380" spans="1:17" ht="13">
      <c r="A380" s="319"/>
      <c r="B380" s="319"/>
      <c r="C380" s="319"/>
      <c r="D380" s="319"/>
      <c r="E380" s="319"/>
      <c r="F380" s="319"/>
      <c r="G380" s="319"/>
      <c r="H380" s="319"/>
      <c r="I380" s="319"/>
      <c r="J380" s="319"/>
      <c r="K380" s="319"/>
      <c r="L380" s="319"/>
      <c r="M380" s="319"/>
      <c r="N380" s="319"/>
      <c r="O380" s="319"/>
      <c r="P380" s="319"/>
      <c r="Q380" s="319"/>
    </row>
    <row r="381" spans="1:17" ht="13">
      <c r="A381" s="319"/>
      <c r="B381" s="319"/>
      <c r="C381" s="319"/>
      <c r="D381" s="319"/>
      <c r="E381" s="319"/>
      <c r="F381" s="319"/>
      <c r="G381" s="319"/>
      <c r="H381" s="319"/>
      <c r="I381" s="319"/>
      <c r="J381" s="319"/>
      <c r="K381" s="319"/>
      <c r="L381" s="319"/>
      <c r="M381" s="319"/>
      <c r="N381" s="319"/>
      <c r="O381" s="319"/>
      <c r="P381" s="319"/>
      <c r="Q381" s="319"/>
    </row>
    <row r="382" spans="1:17" ht="13">
      <c r="A382" s="319"/>
      <c r="B382" s="319"/>
      <c r="C382" s="319"/>
      <c r="D382" s="319"/>
      <c r="E382" s="319"/>
      <c r="F382" s="319"/>
      <c r="G382" s="319"/>
      <c r="H382" s="319"/>
      <c r="I382" s="319"/>
      <c r="J382" s="319"/>
      <c r="K382" s="319"/>
      <c r="L382" s="319"/>
      <c r="M382" s="319"/>
      <c r="N382" s="319"/>
      <c r="O382" s="319"/>
      <c r="P382" s="319"/>
      <c r="Q382" s="319"/>
    </row>
    <row r="383" spans="1:17" ht="13">
      <c r="A383" s="319"/>
      <c r="B383" s="319"/>
      <c r="C383" s="319"/>
      <c r="D383" s="319"/>
      <c r="E383" s="319"/>
      <c r="F383" s="319"/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</row>
    <row r="384" spans="1:17" ht="13">
      <c r="A384" s="319"/>
      <c r="B384" s="319"/>
      <c r="C384" s="319"/>
      <c r="D384" s="319"/>
      <c r="E384" s="319"/>
      <c r="F384" s="319"/>
      <c r="G384" s="319"/>
      <c r="H384" s="319"/>
      <c r="I384" s="319"/>
      <c r="J384" s="319"/>
      <c r="K384" s="319"/>
      <c r="L384" s="319"/>
      <c r="M384" s="319"/>
      <c r="N384" s="319"/>
      <c r="O384" s="319"/>
      <c r="P384" s="319"/>
      <c r="Q384" s="319"/>
    </row>
    <row r="385" spans="1:17" ht="13">
      <c r="A385" s="319"/>
      <c r="B385" s="319"/>
      <c r="C385" s="319"/>
      <c r="D385" s="319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19"/>
    </row>
    <row r="386" spans="1:17" ht="13">
      <c r="A386" s="319"/>
      <c r="B386" s="319"/>
      <c r="C386" s="319"/>
      <c r="D386" s="319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19"/>
    </row>
    <row r="387" spans="1:17" ht="13">
      <c r="A387" s="319"/>
      <c r="B387" s="319"/>
      <c r="C387" s="319"/>
      <c r="D387" s="319"/>
      <c r="E387" s="319"/>
      <c r="F387" s="319"/>
      <c r="G387" s="319"/>
      <c r="H387" s="319"/>
      <c r="I387" s="319"/>
      <c r="J387" s="319"/>
      <c r="K387" s="319"/>
      <c r="L387" s="319"/>
      <c r="M387" s="319"/>
      <c r="N387" s="319"/>
      <c r="O387" s="319"/>
      <c r="P387" s="319"/>
      <c r="Q387" s="319"/>
    </row>
    <row r="388" spans="1:17" ht="13">
      <c r="A388" s="319"/>
      <c r="B388" s="319"/>
      <c r="C388" s="319"/>
      <c r="D388" s="319"/>
      <c r="E388" s="319"/>
      <c r="F388" s="319"/>
      <c r="G388" s="319"/>
      <c r="H388" s="319"/>
      <c r="I388" s="319"/>
      <c r="J388" s="319"/>
      <c r="K388" s="319"/>
      <c r="L388" s="319"/>
      <c r="M388" s="319"/>
      <c r="N388" s="319"/>
      <c r="O388" s="319"/>
      <c r="P388" s="319"/>
      <c r="Q388" s="319"/>
    </row>
    <row r="389" spans="1:17" ht="13">
      <c r="A389" s="319"/>
      <c r="B389" s="319"/>
      <c r="C389" s="319"/>
      <c r="D389" s="319"/>
      <c r="E389" s="319"/>
      <c r="F389" s="319"/>
      <c r="G389" s="319"/>
      <c r="H389" s="319"/>
      <c r="I389" s="319"/>
      <c r="J389" s="319"/>
      <c r="K389" s="319"/>
      <c r="L389" s="319"/>
      <c r="M389" s="319"/>
      <c r="N389" s="319"/>
      <c r="O389" s="319"/>
      <c r="P389" s="319"/>
      <c r="Q389" s="319"/>
    </row>
    <row r="390" spans="1:17" ht="13">
      <c r="A390" s="319"/>
      <c r="B390" s="319"/>
      <c r="C390" s="319"/>
      <c r="D390" s="319"/>
      <c r="E390" s="319"/>
      <c r="F390" s="319"/>
      <c r="G390" s="319"/>
      <c r="H390" s="319"/>
      <c r="I390" s="319"/>
      <c r="J390" s="319"/>
      <c r="K390" s="319"/>
      <c r="L390" s="319"/>
      <c r="M390" s="319"/>
      <c r="N390" s="319"/>
      <c r="O390" s="319"/>
      <c r="P390" s="319"/>
      <c r="Q390" s="319"/>
    </row>
    <row r="391" spans="1:17" ht="13">
      <c r="A391" s="319"/>
      <c r="B391" s="319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</row>
    <row r="392" spans="1:17" ht="13">
      <c r="A392" s="319"/>
      <c r="B392" s="319"/>
      <c r="C392" s="319"/>
      <c r="D392" s="319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19"/>
    </row>
    <row r="393" spans="1:17" ht="13">
      <c r="A393" s="319"/>
      <c r="B393" s="319"/>
      <c r="C393" s="319"/>
      <c r="D393" s="319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</row>
    <row r="394" spans="1:17" ht="13">
      <c r="A394" s="319"/>
      <c r="B394" s="319"/>
      <c r="C394" s="319"/>
      <c r="D394" s="319"/>
      <c r="E394" s="319"/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19"/>
    </row>
    <row r="395" spans="1:17" ht="13">
      <c r="A395" s="319"/>
      <c r="B395" s="319"/>
      <c r="C395" s="319"/>
      <c r="D395" s="319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19"/>
    </row>
    <row r="396" spans="1:17" ht="13">
      <c r="A396" s="319"/>
      <c r="B396" s="319"/>
      <c r="C396" s="319"/>
      <c r="D396" s="319"/>
      <c r="E396" s="319"/>
      <c r="F396" s="319"/>
      <c r="G396" s="319"/>
      <c r="H396" s="319"/>
      <c r="I396" s="319"/>
      <c r="J396" s="319"/>
      <c r="K396" s="319"/>
      <c r="L396" s="319"/>
      <c r="M396" s="319"/>
      <c r="N396" s="319"/>
      <c r="O396" s="319"/>
      <c r="P396" s="319"/>
      <c r="Q396" s="319"/>
    </row>
    <row r="397" spans="1:17" ht="13">
      <c r="A397" s="319"/>
      <c r="B397" s="319"/>
      <c r="C397" s="319"/>
      <c r="D397" s="319"/>
      <c r="E397" s="319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</row>
    <row r="398" spans="1:17" ht="13">
      <c r="A398" s="319"/>
      <c r="B398" s="319"/>
      <c r="C398" s="319"/>
      <c r="D398" s="319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19"/>
    </row>
    <row r="399" spans="1:17" ht="13">
      <c r="A399" s="319"/>
      <c r="B399" s="319"/>
      <c r="C399" s="319"/>
      <c r="D399" s="319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19"/>
    </row>
    <row r="400" spans="1:17" ht="13">
      <c r="A400" s="319"/>
      <c r="B400" s="319"/>
      <c r="C400" s="319"/>
      <c r="D400" s="319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19"/>
    </row>
    <row r="401" spans="1:17" ht="13">
      <c r="A401" s="319"/>
      <c r="B401" s="319"/>
      <c r="C401" s="319"/>
      <c r="D401" s="319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19"/>
    </row>
    <row r="402" spans="1:17" ht="13">
      <c r="A402" s="319"/>
      <c r="B402" s="319"/>
      <c r="C402" s="319"/>
      <c r="D402" s="319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19"/>
    </row>
    <row r="403" spans="1:17" ht="13">
      <c r="A403" s="319"/>
      <c r="B403" s="319"/>
      <c r="C403" s="319"/>
      <c r="D403" s="319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19"/>
    </row>
    <row r="404" spans="1:17" ht="13">
      <c r="A404" s="319"/>
      <c r="B404" s="319"/>
      <c r="C404" s="319"/>
      <c r="D404" s="319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19"/>
    </row>
    <row r="405" spans="1:17" ht="13">
      <c r="A405" s="319"/>
      <c r="B405" s="319"/>
      <c r="C405" s="319"/>
      <c r="D405" s="319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19"/>
    </row>
    <row r="406" spans="1:17" ht="13">
      <c r="A406" s="319"/>
      <c r="B406" s="319"/>
      <c r="C406" s="319"/>
      <c r="D406" s="319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19"/>
    </row>
    <row r="407" spans="1:17" ht="13">
      <c r="A407" s="319"/>
      <c r="B407" s="319"/>
      <c r="C407" s="319"/>
      <c r="D407" s="319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19"/>
    </row>
    <row r="408" spans="1:17" ht="13">
      <c r="A408" s="319"/>
      <c r="B408" s="319"/>
      <c r="C408" s="319"/>
      <c r="D408" s="319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</row>
    <row r="409" spans="1:17" ht="13">
      <c r="A409" s="319"/>
      <c r="B409" s="319"/>
      <c r="C409" s="319"/>
      <c r="D409" s="319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19"/>
    </row>
    <row r="410" spans="1:17" ht="13">
      <c r="A410" s="319"/>
      <c r="B410" s="319"/>
      <c r="C410" s="319"/>
      <c r="D410" s="319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19"/>
    </row>
    <row r="411" spans="1:17" ht="13">
      <c r="A411" s="319"/>
      <c r="B411" s="319"/>
      <c r="C411" s="319"/>
      <c r="D411" s="319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19"/>
    </row>
    <row r="412" spans="1:17" ht="13">
      <c r="A412" s="319"/>
      <c r="B412" s="319"/>
      <c r="C412" s="319"/>
      <c r="D412" s="319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19"/>
    </row>
    <row r="413" spans="1:17" ht="13">
      <c r="A413" s="319"/>
      <c r="B413" s="319"/>
      <c r="C413" s="319"/>
      <c r="D413" s="319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</row>
    <row r="414" spans="1:17" ht="13">
      <c r="A414" s="319"/>
      <c r="B414" s="319"/>
      <c r="C414" s="319"/>
      <c r="D414" s="319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19"/>
    </row>
    <row r="415" spans="1:17" ht="13">
      <c r="A415" s="319"/>
      <c r="B415" s="319"/>
      <c r="C415" s="319"/>
      <c r="D415" s="319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19"/>
    </row>
    <row r="416" spans="1:17" ht="13">
      <c r="A416" s="319"/>
      <c r="B416" s="319"/>
      <c r="C416" s="319"/>
      <c r="D416" s="319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19"/>
    </row>
    <row r="417" spans="1:17" ht="13">
      <c r="A417" s="319"/>
      <c r="B417" s="319"/>
      <c r="C417" s="319"/>
      <c r="D417" s="319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19"/>
    </row>
    <row r="418" spans="1:17" ht="13">
      <c r="A418" s="319"/>
      <c r="B418" s="319"/>
      <c r="C418" s="319"/>
      <c r="D418" s="319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19"/>
    </row>
    <row r="419" spans="1:17" ht="13">
      <c r="A419" s="319"/>
      <c r="B419" s="319"/>
      <c r="C419" s="319"/>
      <c r="D419" s="319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19"/>
    </row>
    <row r="420" spans="1:17" ht="13">
      <c r="A420" s="319"/>
      <c r="B420" s="319"/>
      <c r="C420" s="319"/>
      <c r="D420" s="319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</row>
    <row r="421" spans="1:17" ht="13">
      <c r="A421" s="319"/>
      <c r="B421" s="319"/>
      <c r="C421" s="319"/>
      <c r="D421" s="319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19"/>
    </row>
    <row r="422" spans="1:17" ht="13">
      <c r="A422" s="319"/>
      <c r="B422" s="319"/>
      <c r="C422" s="319"/>
      <c r="D422" s="319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19"/>
    </row>
    <row r="423" spans="1:17" ht="13">
      <c r="A423" s="319"/>
      <c r="B423" s="319"/>
      <c r="C423" s="319"/>
      <c r="D423" s="319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19"/>
    </row>
    <row r="424" spans="1:17" ht="13">
      <c r="A424" s="319"/>
      <c r="B424" s="319"/>
      <c r="C424" s="319"/>
      <c r="D424" s="319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</row>
    <row r="425" spans="1:17" ht="13">
      <c r="A425" s="319"/>
      <c r="B425" s="319"/>
      <c r="C425" s="319"/>
      <c r="D425" s="319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19"/>
    </row>
    <row r="426" spans="1:17" ht="13">
      <c r="A426" s="319"/>
      <c r="B426" s="319"/>
      <c r="C426" s="319"/>
      <c r="D426" s="319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19"/>
    </row>
    <row r="427" spans="1:17" ht="13">
      <c r="A427" s="319"/>
      <c r="B427" s="319"/>
      <c r="C427" s="319"/>
      <c r="D427" s="319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19"/>
    </row>
    <row r="428" spans="1:17" ht="13">
      <c r="A428" s="319"/>
      <c r="B428" s="319"/>
      <c r="C428" s="319"/>
      <c r="D428" s="319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19"/>
    </row>
    <row r="429" spans="1:17" ht="13">
      <c r="A429" s="319"/>
      <c r="B429" s="319"/>
      <c r="C429" s="319"/>
      <c r="D429" s="319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19"/>
    </row>
    <row r="430" spans="1:17" ht="13">
      <c r="A430" s="319"/>
      <c r="B430" s="319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</row>
    <row r="431" spans="1:17" ht="13">
      <c r="A431" s="319"/>
      <c r="B431" s="319"/>
      <c r="C431" s="319"/>
      <c r="D431" s="319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19"/>
    </row>
    <row r="432" spans="1:17" ht="13">
      <c r="A432" s="319"/>
      <c r="B432" s="319"/>
      <c r="C432" s="319"/>
      <c r="D432" s="319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19"/>
    </row>
    <row r="433" spans="1:17" ht="13">
      <c r="A433" s="319"/>
      <c r="B433" s="319"/>
      <c r="C433" s="319"/>
      <c r="D433" s="319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19"/>
    </row>
    <row r="434" spans="1:17" ht="13">
      <c r="A434" s="319"/>
      <c r="B434" s="319"/>
      <c r="C434" s="319"/>
      <c r="D434" s="319"/>
      <c r="E434" s="319"/>
      <c r="F434" s="319"/>
      <c r="G434" s="319"/>
      <c r="H434" s="319"/>
      <c r="I434" s="319"/>
      <c r="J434" s="319"/>
      <c r="K434" s="319"/>
      <c r="L434" s="319"/>
      <c r="M434" s="319"/>
      <c r="N434" s="319"/>
      <c r="O434" s="319"/>
      <c r="P434" s="319"/>
      <c r="Q434" s="319"/>
    </row>
    <row r="435" spans="1:17" ht="13">
      <c r="A435" s="319"/>
      <c r="B435" s="319"/>
      <c r="C435" s="319"/>
      <c r="D435" s="319"/>
      <c r="E435" s="319"/>
      <c r="F435" s="319"/>
      <c r="G435" s="319"/>
      <c r="H435" s="319"/>
      <c r="I435" s="319"/>
      <c r="J435" s="319"/>
      <c r="K435" s="319"/>
      <c r="L435" s="319"/>
      <c r="M435" s="319"/>
      <c r="N435" s="319"/>
      <c r="O435" s="319"/>
      <c r="P435" s="319"/>
      <c r="Q435" s="319"/>
    </row>
    <row r="436" spans="1:17" ht="13">
      <c r="A436" s="319"/>
      <c r="B436" s="319"/>
      <c r="C436" s="319"/>
      <c r="D436" s="319"/>
      <c r="E436" s="319"/>
      <c r="F436" s="319"/>
      <c r="G436" s="319"/>
      <c r="H436" s="319"/>
      <c r="I436" s="319"/>
      <c r="J436" s="319"/>
      <c r="K436" s="319"/>
      <c r="L436" s="319"/>
      <c r="M436" s="319"/>
      <c r="N436" s="319"/>
      <c r="O436" s="319"/>
      <c r="P436" s="319"/>
      <c r="Q436" s="319"/>
    </row>
    <row r="437" spans="1:17" ht="13">
      <c r="A437" s="319"/>
      <c r="B437" s="319"/>
      <c r="C437" s="319"/>
      <c r="D437" s="319"/>
      <c r="E437" s="319"/>
      <c r="F437" s="319"/>
      <c r="G437" s="319"/>
      <c r="H437" s="319"/>
      <c r="I437" s="319"/>
      <c r="J437" s="319"/>
      <c r="K437" s="319"/>
      <c r="L437" s="319"/>
      <c r="M437" s="319"/>
      <c r="N437" s="319"/>
      <c r="O437" s="319"/>
      <c r="P437" s="319"/>
      <c r="Q437" s="319"/>
    </row>
    <row r="438" spans="1:17" ht="13">
      <c r="A438" s="319"/>
      <c r="B438" s="319"/>
      <c r="C438" s="319"/>
      <c r="D438" s="319"/>
      <c r="E438" s="319"/>
      <c r="F438" s="319"/>
      <c r="G438" s="319"/>
      <c r="H438" s="319"/>
      <c r="I438" s="319"/>
      <c r="J438" s="319"/>
      <c r="K438" s="319"/>
      <c r="L438" s="319"/>
      <c r="M438" s="319"/>
      <c r="N438" s="319"/>
      <c r="O438" s="319"/>
      <c r="P438" s="319"/>
      <c r="Q438" s="319"/>
    </row>
    <row r="439" spans="1:17" ht="13">
      <c r="A439" s="319"/>
      <c r="B439" s="319"/>
      <c r="C439" s="319"/>
      <c r="D439" s="319"/>
      <c r="E439" s="319"/>
      <c r="F439" s="319"/>
      <c r="G439" s="319"/>
      <c r="H439" s="319"/>
      <c r="I439" s="319"/>
      <c r="J439" s="319"/>
      <c r="K439" s="319"/>
      <c r="L439" s="319"/>
      <c r="M439" s="319"/>
      <c r="N439" s="319"/>
      <c r="O439" s="319"/>
      <c r="P439" s="319"/>
      <c r="Q439" s="319"/>
    </row>
    <row r="440" spans="1:17" ht="13">
      <c r="A440" s="319"/>
      <c r="B440" s="319"/>
      <c r="C440" s="319"/>
      <c r="D440" s="319"/>
      <c r="E440" s="319"/>
      <c r="F440" s="319"/>
      <c r="G440" s="319"/>
      <c r="H440" s="319"/>
      <c r="I440" s="319"/>
      <c r="J440" s="319"/>
      <c r="K440" s="319"/>
      <c r="L440" s="319"/>
      <c r="M440" s="319"/>
      <c r="N440" s="319"/>
      <c r="O440" s="319"/>
      <c r="P440" s="319"/>
      <c r="Q440" s="319"/>
    </row>
    <row r="441" spans="1:17" ht="13">
      <c r="A441" s="319"/>
      <c r="B441" s="319"/>
      <c r="C441" s="319"/>
      <c r="D441" s="319"/>
      <c r="E441" s="319"/>
      <c r="F441" s="319"/>
      <c r="G441" s="319"/>
      <c r="H441" s="319"/>
      <c r="I441" s="319"/>
      <c r="J441" s="319"/>
      <c r="K441" s="319"/>
      <c r="L441" s="319"/>
      <c r="M441" s="319"/>
      <c r="N441" s="319"/>
      <c r="O441" s="319"/>
      <c r="P441" s="319"/>
      <c r="Q441" s="319"/>
    </row>
    <row r="442" spans="1:17" ht="13">
      <c r="A442" s="319"/>
      <c r="B442" s="319"/>
      <c r="C442" s="319"/>
      <c r="D442" s="319"/>
      <c r="E442" s="319"/>
      <c r="F442" s="319"/>
      <c r="G442" s="319"/>
      <c r="H442" s="319"/>
      <c r="I442" s="319"/>
      <c r="J442" s="319"/>
      <c r="K442" s="319"/>
      <c r="L442" s="319"/>
      <c r="M442" s="319"/>
      <c r="N442" s="319"/>
      <c r="O442" s="319"/>
      <c r="P442" s="319"/>
      <c r="Q442" s="319"/>
    </row>
    <row r="443" spans="1:17" ht="13">
      <c r="A443" s="319"/>
      <c r="B443" s="319"/>
      <c r="C443" s="319"/>
      <c r="D443" s="319"/>
      <c r="E443" s="319"/>
      <c r="F443" s="319"/>
      <c r="G443" s="319"/>
      <c r="H443" s="319"/>
      <c r="I443" s="319"/>
      <c r="J443" s="319"/>
      <c r="K443" s="319"/>
      <c r="L443" s="319"/>
      <c r="M443" s="319"/>
      <c r="N443" s="319"/>
      <c r="O443" s="319"/>
      <c r="P443" s="319"/>
      <c r="Q443" s="319"/>
    </row>
    <row r="444" spans="1:17" ht="13">
      <c r="A444" s="319"/>
      <c r="B444" s="319"/>
      <c r="C444" s="319"/>
      <c r="D444" s="319"/>
      <c r="E444" s="319"/>
      <c r="F444" s="319"/>
      <c r="G444" s="319"/>
      <c r="H444" s="319"/>
      <c r="I444" s="319"/>
      <c r="J444" s="319"/>
      <c r="K444" s="319"/>
      <c r="L444" s="319"/>
      <c r="M444" s="319"/>
      <c r="N444" s="319"/>
      <c r="O444" s="319"/>
      <c r="P444" s="319"/>
      <c r="Q444" s="319"/>
    </row>
    <row r="445" spans="1:17" ht="13">
      <c r="A445" s="319"/>
      <c r="B445" s="319"/>
      <c r="C445" s="319"/>
      <c r="D445" s="319"/>
      <c r="E445" s="319"/>
      <c r="F445" s="319"/>
      <c r="G445" s="319"/>
      <c r="H445" s="319"/>
      <c r="I445" s="319"/>
      <c r="J445" s="319"/>
      <c r="K445" s="319"/>
      <c r="L445" s="319"/>
      <c r="M445" s="319"/>
      <c r="N445" s="319"/>
      <c r="O445" s="319"/>
      <c r="P445" s="319"/>
      <c r="Q445" s="319"/>
    </row>
    <row r="446" spans="1:17" ht="13">
      <c r="A446" s="319"/>
      <c r="B446" s="319"/>
      <c r="C446" s="319"/>
      <c r="D446" s="319"/>
      <c r="E446" s="319"/>
      <c r="F446" s="319"/>
      <c r="G446" s="319"/>
      <c r="H446" s="319"/>
      <c r="I446" s="319"/>
      <c r="J446" s="319"/>
      <c r="K446" s="319"/>
      <c r="L446" s="319"/>
      <c r="M446" s="319"/>
      <c r="N446" s="319"/>
      <c r="O446" s="319"/>
      <c r="P446" s="319"/>
      <c r="Q446" s="319"/>
    </row>
    <row r="447" spans="1:17" ht="13">
      <c r="A447" s="319"/>
      <c r="B447" s="319"/>
      <c r="C447" s="319"/>
      <c r="D447" s="319"/>
      <c r="E447" s="319"/>
      <c r="F447" s="319"/>
      <c r="G447" s="319"/>
      <c r="H447" s="319"/>
      <c r="I447" s="319"/>
      <c r="J447" s="319"/>
      <c r="K447" s="319"/>
      <c r="L447" s="319"/>
      <c r="M447" s="319"/>
      <c r="N447" s="319"/>
      <c r="O447" s="319"/>
      <c r="P447" s="319"/>
      <c r="Q447" s="319"/>
    </row>
    <row r="448" spans="1:17" ht="13">
      <c r="A448" s="319"/>
      <c r="B448" s="319"/>
      <c r="C448" s="319"/>
      <c r="D448" s="319"/>
      <c r="E448" s="319"/>
      <c r="F448" s="319"/>
      <c r="G448" s="319"/>
      <c r="H448" s="319"/>
      <c r="I448" s="319"/>
      <c r="J448" s="319"/>
      <c r="K448" s="319"/>
      <c r="L448" s="319"/>
      <c r="M448" s="319"/>
      <c r="N448" s="319"/>
      <c r="O448" s="319"/>
      <c r="P448" s="319"/>
      <c r="Q448" s="319"/>
    </row>
    <row r="449" spans="1:17" ht="13">
      <c r="A449" s="319"/>
      <c r="B449" s="319"/>
      <c r="C449" s="319"/>
      <c r="D449" s="319"/>
      <c r="E449" s="319"/>
      <c r="F449" s="319"/>
      <c r="G449" s="319"/>
      <c r="H449" s="319"/>
      <c r="I449" s="319"/>
      <c r="J449" s="319"/>
      <c r="K449" s="319"/>
      <c r="L449" s="319"/>
      <c r="M449" s="319"/>
      <c r="N449" s="319"/>
      <c r="O449" s="319"/>
      <c r="P449" s="319"/>
      <c r="Q449" s="319"/>
    </row>
    <row r="450" spans="1:17" ht="13">
      <c r="A450" s="319"/>
      <c r="B450" s="319"/>
      <c r="C450" s="319"/>
      <c r="D450" s="319"/>
      <c r="E450" s="319"/>
      <c r="F450" s="319"/>
      <c r="G450" s="319"/>
      <c r="H450" s="319"/>
      <c r="I450" s="319"/>
      <c r="J450" s="319"/>
      <c r="K450" s="319"/>
      <c r="L450" s="319"/>
      <c r="M450" s="319"/>
      <c r="N450" s="319"/>
      <c r="O450" s="319"/>
      <c r="P450" s="319"/>
      <c r="Q450" s="319"/>
    </row>
    <row r="451" spans="1:17" ht="13">
      <c r="A451" s="319"/>
      <c r="B451" s="319"/>
      <c r="C451" s="319"/>
      <c r="D451" s="319"/>
      <c r="E451" s="319"/>
      <c r="F451" s="319"/>
      <c r="G451" s="319"/>
      <c r="H451" s="319"/>
      <c r="I451" s="319"/>
      <c r="J451" s="319"/>
      <c r="K451" s="319"/>
      <c r="L451" s="319"/>
      <c r="M451" s="319"/>
      <c r="N451" s="319"/>
      <c r="O451" s="319"/>
      <c r="P451" s="319"/>
      <c r="Q451" s="319"/>
    </row>
    <row r="452" spans="1:17" ht="13">
      <c r="A452" s="319"/>
      <c r="B452" s="319"/>
      <c r="C452" s="319"/>
      <c r="D452" s="319"/>
      <c r="E452" s="319"/>
      <c r="F452" s="319"/>
      <c r="G452" s="319"/>
      <c r="H452" s="319"/>
      <c r="I452" s="319"/>
      <c r="J452" s="319"/>
      <c r="K452" s="319"/>
      <c r="L452" s="319"/>
      <c r="M452" s="319"/>
      <c r="N452" s="319"/>
      <c r="O452" s="319"/>
      <c r="P452" s="319"/>
      <c r="Q452" s="319"/>
    </row>
    <row r="453" spans="1:17" ht="13">
      <c r="A453" s="319"/>
      <c r="B453" s="319"/>
      <c r="C453" s="319"/>
      <c r="D453" s="319"/>
      <c r="E453" s="319"/>
      <c r="F453" s="319"/>
      <c r="G453" s="319"/>
      <c r="H453" s="319"/>
      <c r="I453" s="319"/>
      <c r="J453" s="319"/>
      <c r="K453" s="319"/>
      <c r="L453" s="319"/>
      <c r="M453" s="319"/>
      <c r="N453" s="319"/>
      <c r="O453" s="319"/>
      <c r="P453" s="319"/>
      <c r="Q453" s="319"/>
    </row>
    <row r="454" spans="1:17" ht="13">
      <c r="A454" s="319"/>
      <c r="B454" s="319"/>
      <c r="C454" s="319"/>
      <c r="D454" s="319"/>
      <c r="E454" s="319"/>
      <c r="F454" s="319"/>
      <c r="G454" s="319"/>
      <c r="H454" s="319"/>
      <c r="I454" s="319"/>
      <c r="J454" s="319"/>
      <c r="K454" s="319"/>
      <c r="L454" s="319"/>
      <c r="M454" s="319"/>
      <c r="N454" s="319"/>
      <c r="O454" s="319"/>
      <c r="P454" s="319"/>
      <c r="Q454" s="319"/>
    </row>
    <row r="455" spans="1:17" ht="13">
      <c r="A455" s="319"/>
      <c r="B455" s="319"/>
      <c r="C455" s="319"/>
      <c r="D455" s="319"/>
      <c r="E455" s="319"/>
      <c r="F455" s="319"/>
      <c r="G455" s="319"/>
      <c r="H455" s="319"/>
      <c r="I455" s="319"/>
      <c r="J455" s="319"/>
      <c r="K455" s="319"/>
      <c r="L455" s="319"/>
      <c r="M455" s="319"/>
      <c r="N455" s="319"/>
      <c r="O455" s="319"/>
      <c r="P455" s="319"/>
      <c r="Q455" s="319"/>
    </row>
    <row r="456" spans="1:17" ht="13">
      <c r="A456" s="319"/>
      <c r="B456" s="319"/>
      <c r="C456" s="319"/>
      <c r="D456" s="319"/>
      <c r="E456" s="319"/>
      <c r="F456" s="319"/>
      <c r="G456" s="319"/>
      <c r="H456" s="319"/>
      <c r="I456" s="319"/>
      <c r="J456" s="319"/>
      <c r="K456" s="319"/>
      <c r="L456" s="319"/>
      <c r="M456" s="319"/>
      <c r="N456" s="319"/>
      <c r="O456" s="319"/>
      <c r="P456" s="319"/>
      <c r="Q456" s="319"/>
    </row>
    <row r="457" spans="1:17" ht="13">
      <c r="A457" s="319"/>
      <c r="B457" s="319"/>
      <c r="C457" s="319"/>
      <c r="D457" s="319"/>
      <c r="E457" s="319"/>
      <c r="F457" s="319"/>
      <c r="G457" s="319"/>
      <c r="H457" s="319"/>
      <c r="I457" s="319"/>
      <c r="J457" s="319"/>
      <c r="K457" s="319"/>
      <c r="L457" s="319"/>
      <c r="M457" s="319"/>
      <c r="N457" s="319"/>
      <c r="O457" s="319"/>
      <c r="P457" s="319"/>
      <c r="Q457" s="319"/>
    </row>
    <row r="458" spans="1:17" ht="13">
      <c r="A458" s="319"/>
      <c r="B458" s="319"/>
      <c r="C458" s="319"/>
      <c r="D458" s="319"/>
      <c r="E458" s="319"/>
      <c r="F458" s="319"/>
      <c r="G458" s="319"/>
      <c r="H458" s="319"/>
      <c r="I458" s="319"/>
      <c r="J458" s="319"/>
      <c r="K458" s="319"/>
      <c r="L458" s="319"/>
      <c r="M458" s="319"/>
      <c r="N458" s="319"/>
      <c r="O458" s="319"/>
      <c r="P458" s="319"/>
      <c r="Q458" s="319"/>
    </row>
    <row r="459" spans="1:17" ht="13">
      <c r="A459" s="319"/>
      <c r="B459" s="319"/>
      <c r="C459" s="319"/>
      <c r="D459" s="319"/>
      <c r="E459" s="319"/>
      <c r="F459" s="319"/>
      <c r="G459" s="319"/>
      <c r="H459" s="319"/>
      <c r="I459" s="319"/>
      <c r="J459" s="319"/>
      <c r="K459" s="319"/>
      <c r="L459" s="319"/>
      <c r="M459" s="319"/>
      <c r="N459" s="319"/>
      <c r="O459" s="319"/>
      <c r="P459" s="319"/>
      <c r="Q459" s="319"/>
    </row>
    <row r="460" spans="1:17" ht="13">
      <c r="A460" s="319"/>
      <c r="B460" s="319"/>
      <c r="C460" s="319"/>
      <c r="D460" s="319"/>
      <c r="E460" s="319"/>
      <c r="F460" s="319"/>
      <c r="G460" s="319"/>
      <c r="H460" s="319"/>
      <c r="I460" s="319"/>
      <c r="J460" s="319"/>
      <c r="K460" s="319"/>
      <c r="L460" s="319"/>
      <c r="M460" s="319"/>
      <c r="N460" s="319"/>
      <c r="O460" s="319"/>
      <c r="P460" s="319"/>
      <c r="Q460" s="319"/>
    </row>
    <row r="461" spans="1:17" ht="13">
      <c r="A461" s="319"/>
      <c r="B461" s="319"/>
      <c r="C461" s="319"/>
      <c r="D461" s="319"/>
      <c r="E461" s="319"/>
      <c r="F461" s="319"/>
      <c r="G461" s="319"/>
      <c r="H461" s="319"/>
      <c r="I461" s="319"/>
      <c r="J461" s="319"/>
      <c r="K461" s="319"/>
      <c r="L461" s="319"/>
      <c r="M461" s="319"/>
      <c r="N461" s="319"/>
      <c r="O461" s="319"/>
      <c r="P461" s="319"/>
      <c r="Q461" s="319"/>
    </row>
    <row r="462" spans="1:17" ht="13">
      <c r="A462" s="319"/>
      <c r="B462" s="319"/>
      <c r="C462" s="319"/>
      <c r="D462" s="319"/>
      <c r="E462" s="319"/>
      <c r="F462" s="319"/>
      <c r="G462" s="319"/>
      <c r="H462" s="319"/>
      <c r="I462" s="319"/>
      <c r="J462" s="319"/>
      <c r="K462" s="319"/>
      <c r="L462" s="319"/>
      <c r="M462" s="319"/>
      <c r="N462" s="319"/>
      <c r="O462" s="319"/>
      <c r="P462" s="319"/>
      <c r="Q462" s="319"/>
    </row>
    <row r="463" spans="1:17" ht="13">
      <c r="A463" s="319"/>
      <c r="B463" s="319"/>
      <c r="C463" s="319"/>
      <c r="D463" s="319"/>
      <c r="E463" s="319"/>
      <c r="F463" s="319"/>
      <c r="G463" s="319"/>
      <c r="H463" s="319"/>
      <c r="I463" s="319"/>
      <c r="J463" s="319"/>
      <c r="K463" s="319"/>
      <c r="L463" s="319"/>
      <c r="M463" s="319"/>
      <c r="N463" s="319"/>
      <c r="O463" s="319"/>
      <c r="P463" s="319"/>
      <c r="Q463" s="319"/>
    </row>
    <row r="464" spans="1:17" ht="13">
      <c r="A464" s="319"/>
      <c r="B464" s="319"/>
      <c r="C464" s="319"/>
      <c r="D464" s="319"/>
      <c r="E464" s="319"/>
      <c r="F464" s="319"/>
      <c r="G464" s="319"/>
      <c r="H464" s="319"/>
      <c r="I464" s="319"/>
      <c r="J464" s="319"/>
      <c r="K464" s="319"/>
      <c r="L464" s="319"/>
      <c r="M464" s="319"/>
      <c r="N464" s="319"/>
      <c r="O464" s="319"/>
      <c r="P464" s="319"/>
      <c r="Q464" s="319"/>
    </row>
    <row r="465" spans="1:17" ht="13">
      <c r="A465" s="319"/>
      <c r="B465" s="319"/>
      <c r="C465" s="319"/>
      <c r="D465" s="319"/>
      <c r="E465" s="319"/>
      <c r="F465" s="319"/>
      <c r="G465" s="319"/>
      <c r="H465" s="319"/>
      <c r="I465" s="319"/>
      <c r="J465" s="319"/>
      <c r="K465" s="319"/>
      <c r="L465" s="319"/>
      <c r="M465" s="319"/>
      <c r="N465" s="319"/>
      <c r="O465" s="319"/>
      <c r="P465" s="319"/>
      <c r="Q465" s="319"/>
    </row>
    <row r="466" spans="1:17" ht="13">
      <c r="A466" s="319"/>
      <c r="B466" s="319"/>
      <c r="C466" s="319"/>
      <c r="D466" s="319"/>
      <c r="E466" s="319"/>
      <c r="F466" s="319"/>
      <c r="G466" s="319"/>
      <c r="H466" s="319"/>
      <c r="I466" s="319"/>
      <c r="J466" s="319"/>
      <c r="K466" s="319"/>
      <c r="L466" s="319"/>
      <c r="M466" s="319"/>
      <c r="N466" s="319"/>
      <c r="O466" s="319"/>
      <c r="P466" s="319"/>
      <c r="Q466" s="319"/>
    </row>
    <row r="467" spans="1:17" ht="13">
      <c r="A467" s="319"/>
      <c r="B467" s="319"/>
      <c r="C467" s="319"/>
      <c r="D467" s="319"/>
      <c r="E467" s="319"/>
      <c r="F467" s="319"/>
      <c r="G467" s="319"/>
      <c r="H467" s="319"/>
      <c r="I467" s="319"/>
      <c r="J467" s="319"/>
      <c r="K467" s="319"/>
      <c r="L467" s="319"/>
      <c r="M467" s="319"/>
      <c r="N467" s="319"/>
      <c r="O467" s="319"/>
      <c r="P467" s="319"/>
      <c r="Q467" s="319"/>
    </row>
    <row r="468" spans="1:17" ht="13">
      <c r="A468" s="319"/>
      <c r="B468" s="319"/>
      <c r="C468" s="319"/>
      <c r="D468" s="319"/>
      <c r="E468" s="319"/>
      <c r="F468" s="319"/>
      <c r="G468" s="319"/>
      <c r="H468" s="319"/>
      <c r="I468" s="319"/>
      <c r="J468" s="319"/>
      <c r="K468" s="319"/>
      <c r="L468" s="319"/>
      <c r="M468" s="319"/>
      <c r="N468" s="319"/>
      <c r="O468" s="319"/>
      <c r="P468" s="319"/>
      <c r="Q468" s="319"/>
    </row>
    <row r="469" spans="1:17" ht="13">
      <c r="A469" s="319"/>
      <c r="B469" s="319"/>
      <c r="C469" s="319"/>
      <c r="D469" s="319"/>
      <c r="E469" s="319"/>
      <c r="F469" s="319"/>
      <c r="G469" s="319"/>
      <c r="H469" s="319"/>
      <c r="I469" s="319"/>
      <c r="J469" s="319"/>
      <c r="K469" s="319"/>
      <c r="L469" s="319"/>
      <c r="M469" s="319"/>
      <c r="N469" s="319"/>
      <c r="O469" s="319"/>
      <c r="P469" s="319"/>
      <c r="Q469" s="319"/>
    </row>
    <row r="470" spans="1:17" ht="13">
      <c r="A470" s="319"/>
      <c r="B470" s="319"/>
      <c r="C470" s="319"/>
      <c r="D470" s="319"/>
      <c r="E470" s="319"/>
      <c r="F470" s="319"/>
      <c r="G470" s="319"/>
      <c r="H470" s="319"/>
      <c r="I470" s="319"/>
      <c r="J470" s="319"/>
      <c r="K470" s="319"/>
      <c r="L470" s="319"/>
      <c r="M470" s="319"/>
      <c r="N470" s="319"/>
      <c r="O470" s="319"/>
      <c r="P470" s="319"/>
      <c r="Q470" s="319"/>
    </row>
    <row r="471" spans="1:17" ht="13">
      <c r="A471" s="319"/>
      <c r="B471" s="319"/>
      <c r="C471" s="319"/>
      <c r="D471" s="319"/>
      <c r="E471" s="319"/>
      <c r="F471" s="319"/>
      <c r="G471" s="319"/>
      <c r="H471" s="319"/>
      <c r="I471" s="319"/>
      <c r="J471" s="319"/>
      <c r="K471" s="319"/>
      <c r="L471" s="319"/>
      <c r="M471" s="319"/>
      <c r="N471" s="319"/>
      <c r="O471" s="319"/>
      <c r="P471" s="319"/>
      <c r="Q471" s="319"/>
    </row>
    <row r="472" spans="1:17" ht="13">
      <c r="A472" s="319"/>
      <c r="B472" s="319"/>
      <c r="C472" s="319"/>
      <c r="D472" s="319"/>
      <c r="E472" s="319"/>
      <c r="F472" s="319"/>
      <c r="G472" s="319"/>
      <c r="H472" s="319"/>
      <c r="I472" s="319"/>
      <c r="J472" s="319"/>
      <c r="K472" s="319"/>
      <c r="L472" s="319"/>
      <c r="M472" s="319"/>
      <c r="N472" s="319"/>
      <c r="O472" s="319"/>
      <c r="P472" s="319"/>
      <c r="Q472" s="319"/>
    </row>
    <row r="473" spans="1:17" ht="13">
      <c r="A473" s="319"/>
      <c r="B473" s="319"/>
      <c r="C473" s="319"/>
      <c r="D473" s="319"/>
      <c r="E473" s="319"/>
      <c r="F473" s="319"/>
      <c r="G473" s="319"/>
      <c r="H473" s="319"/>
      <c r="I473" s="319"/>
      <c r="J473" s="319"/>
      <c r="K473" s="319"/>
      <c r="L473" s="319"/>
      <c r="M473" s="319"/>
      <c r="N473" s="319"/>
      <c r="O473" s="319"/>
      <c r="P473" s="319"/>
      <c r="Q473" s="319"/>
    </row>
    <row r="474" spans="1:17" ht="13">
      <c r="A474" s="319"/>
      <c r="B474" s="319"/>
      <c r="C474" s="319"/>
      <c r="D474" s="319"/>
      <c r="E474" s="319"/>
      <c r="F474" s="319"/>
      <c r="G474" s="319"/>
      <c r="H474" s="319"/>
      <c r="I474" s="319"/>
      <c r="J474" s="319"/>
      <c r="K474" s="319"/>
      <c r="L474" s="319"/>
      <c r="M474" s="319"/>
      <c r="N474" s="319"/>
      <c r="O474" s="319"/>
      <c r="P474" s="319"/>
      <c r="Q474" s="319"/>
    </row>
    <row r="475" spans="1:17" ht="13">
      <c r="A475" s="319"/>
      <c r="B475" s="319"/>
      <c r="C475" s="319"/>
      <c r="D475" s="319"/>
      <c r="E475" s="319"/>
      <c r="F475" s="319"/>
      <c r="G475" s="319"/>
      <c r="H475" s="319"/>
      <c r="I475" s="319"/>
      <c r="J475" s="319"/>
      <c r="K475" s="319"/>
      <c r="L475" s="319"/>
      <c r="M475" s="319"/>
      <c r="N475" s="319"/>
      <c r="O475" s="319"/>
      <c r="P475" s="319"/>
      <c r="Q475" s="319"/>
    </row>
    <row r="476" spans="1:17" ht="13">
      <c r="A476" s="319"/>
      <c r="B476" s="319"/>
      <c r="C476" s="319"/>
      <c r="D476" s="319"/>
      <c r="E476" s="319"/>
      <c r="F476" s="319"/>
      <c r="G476" s="319"/>
      <c r="H476" s="319"/>
      <c r="I476" s="319"/>
      <c r="J476" s="319"/>
      <c r="K476" s="319"/>
      <c r="L476" s="319"/>
      <c r="M476" s="319"/>
      <c r="N476" s="319"/>
      <c r="O476" s="319"/>
      <c r="P476" s="319"/>
      <c r="Q476" s="319"/>
    </row>
    <row r="477" spans="1:17" ht="13">
      <c r="A477" s="319"/>
      <c r="B477" s="319"/>
      <c r="C477" s="319"/>
      <c r="D477" s="319"/>
      <c r="E477" s="319"/>
      <c r="F477" s="319"/>
      <c r="G477" s="319"/>
      <c r="H477" s="319"/>
      <c r="I477" s="319"/>
      <c r="J477" s="319"/>
      <c r="K477" s="319"/>
      <c r="L477" s="319"/>
      <c r="M477" s="319"/>
      <c r="N477" s="319"/>
      <c r="O477" s="319"/>
      <c r="P477" s="319"/>
      <c r="Q477" s="319"/>
    </row>
    <row r="478" spans="1:17" ht="13">
      <c r="A478" s="319"/>
      <c r="B478" s="319"/>
      <c r="C478" s="319"/>
      <c r="D478" s="319"/>
      <c r="E478" s="319"/>
      <c r="F478" s="319"/>
      <c r="G478" s="319"/>
      <c r="H478" s="319"/>
      <c r="I478" s="319"/>
      <c r="J478" s="319"/>
      <c r="K478" s="319"/>
      <c r="L478" s="319"/>
      <c r="M478" s="319"/>
      <c r="N478" s="319"/>
      <c r="O478" s="319"/>
      <c r="P478" s="319"/>
      <c r="Q478" s="319"/>
    </row>
    <row r="479" spans="1:17" ht="13">
      <c r="A479" s="319"/>
      <c r="B479" s="319"/>
      <c r="C479" s="319"/>
      <c r="D479" s="319"/>
      <c r="E479" s="319"/>
      <c r="F479" s="319"/>
      <c r="G479" s="319"/>
      <c r="H479" s="319"/>
      <c r="I479" s="319"/>
      <c r="J479" s="319"/>
      <c r="K479" s="319"/>
      <c r="L479" s="319"/>
      <c r="M479" s="319"/>
      <c r="N479" s="319"/>
      <c r="O479" s="319"/>
      <c r="P479" s="319"/>
      <c r="Q479" s="319"/>
    </row>
    <row r="480" spans="1:17" ht="13">
      <c r="A480" s="319"/>
      <c r="B480" s="319"/>
      <c r="C480" s="319"/>
      <c r="D480" s="319"/>
      <c r="E480" s="319"/>
      <c r="F480" s="319"/>
      <c r="G480" s="319"/>
      <c r="H480" s="319"/>
      <c r="I480" s="319"/>
      <c r="J480" s="319"/>
      <c r="K480" s="319"/>
      <c r="L480" s="319"/>
      <c r="M480" s="319"/>
      <c r="N480" s="319"/>
      <c r="O480" s="319"/>
      <c r="P480" s="319"/>
      <c r="Q480" s="319"/>
    </row>
    <row r="481" spans="1:17" ht="13">
      <c r="A481" s="319"/>
      <c r="B481" s="319"/>
      <c r="C481" s="319"/>
      <c r="D481" s="319"/>
      <c r="E481" s="319"/>
      <c r="F481" s="319"/>
      <c r="G481" s="319"/>
      <c r="H481" s="319"/>
      <c r="I481" s="319"/>
      <c r="J481" s="319"/>
      <c r="K481" s="319"/>
      <c r="L481" s="319"/>
      <c r="M481" s="319"/>
      <c r="N481" s="319"/>
      <c r="O481" s="319"/>
      <c r="P481" s="319"/>
      <c r="Q481" s="319"/>
    </row>
    <row r="482" spans="1:17" ht="13">
      <c r="A482" s="319"/>
      <c r="B482" s="319"/>
      <c r="C482" s="319"/>
      <c r="D482" s="319"/>
      <c r="E482" s="319"/>
      <c r="F482" s="319"/>
      <c r="G482" s="319"/>
      <c r="H482" s="319"/>
      <c r="I482" s="319"/>
      <c r="J482" s="319"/>
      <c r="K482" s="319"/>
      <c r="L482" s="319"/>
      <c r="M482" s="319"/>
      <c r="N482" s="319"/>
      <c r="O482" s="319"/>
      <c r="P482" s="319"/>
      <c r="Q482" s="319"/>
    </row>
    <row r="483" spans="1:17" ht="13">
      <c r="A483" s="319"/>
      <c r="B483" s="319"/>
      <c r="C483" s="319"/>
      <c r="D483" s="319"/>
      <c r="E483" s="319"/>
      <c r="F483" s="319"/>
      <c r="G483" s="319"/>
      <c r="H483" s="319"/>
      <c r="I483" s="319"/>
      <c r="J483" s="319"/>
      <c r="K483" s="319"/>
      <c r="L483" s="319"/>
      <c r="M483" s="319"/>
      <c r="N483" s="319"/>
      <c r="O483" s="319"/>
      <c r="P483" s="319"/>
      <c r="Q483" s="319"/>
    </row>
    <row r="484" spans="1:17" ht="13">
      <c r="A484" s="319"/>
      <c r="B484" s="319"/>
      <c r="C484" s="319"/>
      <c r="D484" s="319"/>
      <c r="E484" s="319"/>
      <c r="F484" s="319"/>
      <c r="G484" s="319"/>
      <c r="H484" s="319"/>
      <c r="I484" s="319"/>
      <c r="J484" s="319"/>
      <c r="K484" s="319"/>
      <c r="L484" s="319"/>
      <c r="M484" s="319"/>
      <c r="N484" s="319"/>
      <c r="O484" s="319"/>
      <c r="P484" s="319"/>
      <c r="Q484" s="319"/>
    </row>
    <row r="485" spans="1:17" ht="13">
      <c r="A485" s="319"/>
      <c r="B485" s="319"/>
      <c r="C485" s="319"/>
      <c r="D485" s="319"/>
      <c r="E485" s="319"/>
      <c r="F485" s="319"/>
      <c r="G485" s="319"/>
      <c r="H485" s="319"/>
      <c r="I485" s="319"/>
      <c r="J485" s="319"/>
      <c r="K485" s="319"/>
      <c r="L485" s="319"/>
      <c r="M485" s="319"/>
      <c r="N485" s="319"/>
      <c r="O485" s="319"/>
      <c r="P485" s="319"/>
      <c r="Q485" s="319"/>
    </row>
    <row r="486" spans="1:17" ht="13">
      <c r="A486" s="319"/>
      <c r="B486" s="319"/>
      <c r="C486" s="319"/>
      <c r="D486" s="319"/>
      <c r="E486" s="319"/>
      <c r="F486" s="319"/>
      <c r="G486" s="319"/>
      <c r="H486" s="319"/>
      <c r="I486" s="319"/>
      <c r="J486" s="319"/>
      <c r="K486" s="319"/>
      <c r="L486" s="319"/>
      <c r="M486" s="319"/>
      <c r="N486" s="319"/>
      <c r="O486" s="319"/>
      <c r="P486" s="319"/>
      <c r="Q486" s="319"/>
    </row>
    <row r="487" spans="1:17" ht="13">
      <c r="A487" s="319"/>
      <c r="B487" s="319"/>
      <c r="C487" s="319"/>
      <c r="D487" s="319"/>
      <c r="E487" s="319"/>
      <c r="F487" s="319"/>
      <c r="G487" s="319"/>
      <c r="H487" s="319"/>
      <c r="I487" s="319"/>
      <c r="J487" s="319"/>
      <c r="K487" s="319"/>
      <c r="L487" s="319"/>
      <c r="M487" s="319"/>
      <c r="N487" s="319"/>
      <c r="O487" s="319"/>
      <c r="P487" s="319"/>
      <c r="Q487" s="319"/>
    </row>
    <row r="488" spans="1:17" ht="13">
      <c r="A488" s="319"/>
      <c r="B488" s="319"/>
      <c r="C488" s="319"/>
      <c r="D488" s="319"/>
      <c r="E488" s="319"/>
      <c r="F488" s="319"/>
      <c r="G488" s="319"/>
      <c r="H488" s="319"/>
      <c r="I488" s="319"/>
      <c r="J488" s="319"/>
      <c r="K488" s="319"/>
      <c r="L488" s="319"/>
      <c r="M488" s="319"/>
      <c r="N488" s="319"/>
      <c r="O488" s="319"/>
      <c r="P488" s="319"/>
      <c r="Q488" s="319"/>
    </row>
    <row r="489" spans="1:17" ht="13">
      <c r="A489" s="319"/>
      <c r="B489" s="319"/>
      <c r="C489" s="319"/>
      <c r="D489" s="319"/>
      <c r="E489" s="319"/>
      <c r="F489" s="319"/>
      <c r="G489" s="319"/>
      <c r="H489" s="319"/>
      <c r="I489" s="319"/>
      <c r="J489" s="319"/>
      <c r="K489" s="319"/>
      <c r="L489" s="319"/>
      <c r="M489" s="319"/>
      <c r="N489" s="319"/>
      <c r="O489" s="319"/>
      <c r="P489" s="319"/>
      <c r="Q489" s="319"/>
    </row>
    <row r="490" spans="1:17" ht="13">
      <c r="A490" s="319"/>
      <c r="B490" s="319"/>
      <c r="C490" s="319"/>
      <c r="D490" s="319"/>
      <c r="E490" s="319"/>
      <c r="F490" s="319"/>
      <c r="G490" s="319"/>
      <c r="H490" s="319"/>
      <c r="I490" s="319"/>
      <c r="J490" s="319"/>
      <c r="K490" s="319"/>
      <c r="L490" s="319"/>
      <c r="M490" s="319"/>
      <c r="N490" s="319"/>
      <c r="O490" s="319"/>
      <c r="P490" s="319"/>
      <c r="Q490" s="319"/>
    </row>
    <row r="491" spans="1:17" ht="13">
      <c r="A491" s="319"/>
      <c r="B491" s="319"/>
      <c r="C491" s="319"/>
      <c r="D491" s="319"/>
      <c r="E491" s="319"/>
      <c r="F491" s="319"/>
      <c r="G491" s="319"/>
      <c r="H491" s="319"/>
      <c r="I491" s="319"/>
      <c r="J491" s="319"/>
      <c r="K491" s="319"/>
      <c r="L491" s="319"/>
      <c r="M491" s="319"/>
      <c r="N491" s="319"/>
      <c r="O491" s="319"/>
      <c r="P491" s="319"/>
      <c r="Q491" s="319"/>
    </row>
    <row r="492" spans="1:17" ht="13">
      <c r="A492" s="319"/>
      <c r="B492" s="319"/>
      <c r="C492" s="319"/>
      <c r="D492" s="319"/>
      <c r="E492" s="319"/>
      <c r="F492" s="319"/>
      <c r="G492" s="319"/>
      <c r="H492" s="319"/>
      <c r="I492" s="319"/>
      <c r="J492" s="319"/>
      <c r="K492" s="319"/>
      <c r="L492" s="319"/>
      <c r="M492" s="319"/>
      <c r="N492" s="319"/>
      <c r="O492" s="319"/>
      <c r="P492" s="319"/>
      <c r="Q492" s="319"/>
    </row>
    <row r="493" spans="1:17" ht="13">
      <c r="A493" s="319"/>
      <c r="B493" s="319"/>
      <c r="C493" s="319"/>
      <c r="D493" s="319"/>
      <c r="E493" s="319"/>
      <c r="F493" s="319"/>
      <c r="G493" s="319"/>
      <c r="H493" s="319"/>
      <c r="I493" s="319"/>
      <c r="J493" s="319"/>
      <c r="K493" s="319"/>
      <c r="L493" s="319"/>
      <c r="M493" s="319"/>
      <c r="N493" s="319"/>
      <c r="O493" s="319"/>
      <c r="P493" s="319"/>
      <c r="Q493" s="319"/>
    </row>
    <row r="494" spans="1:17" ht="13">
      <c r="A494" s="319"/>
      <c r="B494" s="319"/>
      <c r="C494" s="319"/>
      <c r="D494" s="319"/>
      <c r="E494" s="319"/>
      <c r="F494" s="319"/>
      <c r="G494" s="319"/>
      <c r="H494" s="319"/>
      <c r="I494" s="319"/>
      <c r="J494" s="319"/>
      <c r="K494" s="319"/>
      <c r="L494" s="319"/>
      <c r="M494" s="319"/>
      <c r="N494" s="319"/>
      <c r="O494" s="319"/>
      <c r="P494" s="319"/>
      <c r="Q494" s="319"/>
    </row>
    <row r="495" spans="1:17" ht="13">
      <c r="A495" s="319"/>
      <c r="B495" s="319"/>
      <c r="C495" s="319"/>
      <c r="D495" s="319"/>
      <c r="E495" s="319"/>
      <c r="F495" s="319"/>
      <c r="G495" s="319"/>
      <c r="H495" s="319"/>
      <c r="I495" s="319"/>
      <c r="J495" s="319"/>
      <c r="K495" s="319"/>
      <c r="L495" s="319"/>
      <c r="M495" s="319"/>
      <c r="N495" s="319"/>
      <c r="O495" s="319"/>
      <c r="P495" s="319"/>
      <c r="Q495" s="319"/>
    </row>
    <row r="496" spans="1:17" ht="13">
      <c r="A496" s="319"/>
      <c r="B496" s="319"/>
      <c r="C496" s="319"/>
      <c r="D496" s="319"/>
      <c r="E496" s="319"/>
      <c r="F496" s="319"/>
      <c r="G496" s="319"/>
      <c r="H496" s="319"/>
      <c r="I496" s="319"/>
      <c r="J496" s="319"/>
      <c r="K496" s="319"/>
      <c r="L496" s="319"/>
      <c r="M496" s="319"/>
      <c r="N496" s="319"/>
      <c r="O496" s="319"/>
      <c r="P496" s="319"/>
      <c r="Q496" s="319"/>
    </row>
    <row r="497" spans="1:17" ht="13">
      <c r="A497" s="319"/>
      <c r="B497" s="319"/>
      <c r="C497" s="319"/>
      <c r="D497" s="319"/>
      <c r="E497" s="319"/>
      <c r="F497" s="319"/>
      <c r="G497" s="319"/>
      <c r="H497" s="319"/>
      <c r="I497" s="319"/>
      <c r="J497" s="319"/>
      <c r="K497" s="319"/>
      <c r="L497" s="319"/>
      <c r="M497" s="319"/>
      <c r="N497" s="319"/>
      <c r="O497" s="319"/>
      <c r="P497" s="319"/>
      <c r="Q497" s="319"/>
    </row>
    <row r="498" spans="1:17" ht="13">
      <c r="A498" s="319"/>
      <c r="B498" s="319"/>
      <c r="C498" s="319"/>
      <c r="D498" s="319"/>
      <c r="E498" s="319"/>
      <c r="F498" s="319"/>
      <c r="G498" s="319"/>
      <c r="H498" s="319"/>
      <c r="I498" s="319"/>
      <c r="J498" s="319"/>
      <c r="K498" s="319"/>
      <c r="L498" s="319"/>
      <c r="M498" s="319"/>
      <c r="N498" s="319"/>
      <c r="O498" s="319"/>
      <c r="P498" s="319"/>
      <c r="Q498" s="319"/>
    </row>
    <row r="499" spans="1:17" ht="13">
      <c r="A499" s="319"/>
      <c r="B499" s="319"/>
      <c r="C499" s="319"/>
      <c r="D499" s="319"/>
      <c r="E499" s="319"/>
      <c r="F499" s="319"/>
      <c r="G499" s="319"/>
      <c r="H499" s="319"/>
      <c r="I499" s="319"/>
      <c r="J499" s="319"/>
      <c r="K499" s="319"/>
      <c r="L499" s="319"/>
      <c r="M499" s="319"/>
      <c r="N499" s="319"/>
      <c r="O499" s="319"/>
      <c r="P499" s="319"/>
      <c r="Q499" s="319"/>
    </row>
    <row r="500" spans="1:17" ht="13">
      <c r="A500" s="319"/>
      <c r="B500" s="319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</row>
    <row r="501" spans="1:17" ht="13">
      <c r="A501" s="319"/>
      <c r="B501" s="319"/>
      <c r="C501" s="319"/>
      <c r="D501" s="319"/>
      <c r="E501" s="319"/>
      <c r="F501" s="319"/>
      <c r="G501" s="319"/>
      <c r="H501" s="319"/>
      <c r="I501" s="319"/>
      <c r="J501" s="319"/>
      <c r="K501" s="319"/>
      <c r="L501" s="319"/>
      <c r="M501" s="319"/>
      <c r="N501" s="319"/>
      <c r="O501" s="319"/>
      <c r="P501" s="319"/>
      <c r="Q501" s="319"/>
    </row>
    <row r="502" spans="1:17" ht="13">
      <c r="A502" s="319"/>
      <c r="B502" s="319"/>
      <c r="C502" s="319"/>
      <c r="D502" s="319"/>
      <c r="E502" s="319"/>
      <c r="F502" s="319"/>
      <c r="G502" s="319"/>
      <c r="H502" s="319"/>
      <c r="I502" s="319"/>
      <c r="J502" s="319"/>
      <c r="K502" s="319"/>
      <c r="L502" s="319"/>
      <c r="M502" s="319"/>
      <c r="N502" s="319"/>
      <c r="O502" s="319"/>
      <c r="P502" s="319"/>
      <c r="Q502" s="319"/>
    </row>
    <row r="503" spans="1:17" ht="13">
      <c r="A503" s="319"/>
      <c r="B503" s="319"/>
      <c r="C503" s="319"/>
      <c r="D503" s="319"/>
      <c r="E503" s="319"/>
      <c r="F503" s="319"/>
      <c r="G503" s="319"/>
      <c r="H503" s="319"/>
      <c r="I503" s="319"/>
      <c r="J503" s="319"/>
      <c r="K503" s="319"/>
      <c r="L503" s="319"/>
      <c r="M503" s="319"/>
      <c r="N503" s="319"/>
      <c r="O503" s="319"/>
      <c r="P503" s="319"/>
      <c r="Q503" s="319"/>
    </row>
    <row r="504" spans="1:17" ht="13">
      <c r="A504" s="319"/>
      <c r="B504" s="319"/>
      <c r="C504" s="319"/>
      <c r="D504" s="319"/>
      <c r="E504" s="319"/>
      <c r="F504" s="319"/>
      <c r="G504" s="319"/>
      <c r="H504" s="319"/>
      <c r="I504" s="319"/>
      <c r="J504" s="319"/>
      <c r="K504" s="319"/>
      <c r="L504" s="319"/>
      <c r="M504" s="319"/>
      <c r="N504" s="319"/>
      <c r="O504" s="319"/>
      <c r="P504" s="319"/>
      <c r="Q504" s="319"/>
    </row>
    <row r="505" spans="1:17" ht="13">
      <c r="A505" s="319"/>
      <c r="B505" s="319"/>
      <c r="C505" s="319"/>
      <c r="D505" s="319"/>
      <c r="E505" s="319"/>
      <c r="F505" s="319"/>
      <c r="G505" s="319"/>
      <c r="H505" s="319"/>
      <c r="I505" s="319"/>
      <c r="J505" s="319"/>
      <c r="K505" s="319"/>
      <c r="L505" s="319"/>
      <c r="M505" s="319"/>
      <c r="N505" s="319"/>
      <c r="O505" s="319"/>
      <c r="P505" s="319"/>
      <c r="Q505" s="319"/>
    </row>
    <row r="506" spans="1:17" ht="13">
      <c r="A506" s="319"/>
      <c r="B506" s="319"/>
      <c r="C506" s="319"/>
      <c r="D506" s="319"/>
      <c r="E506" s="319"/>
      <c r="F506" s="319"/>
      <c r="G506" s="319"/>
      <c r="H506" s="319"/>
      <c r="I506" s="319"/>
      <c r="J506" s="319"/>
      <c r="K506" s="319"/>
      <c r="L506" s="319"/>
      <c r="M506" s="319"/>
      <c r="N506" s="319"/>
      <c r="O506" s="319"/>
      <c r="P506" s="319"/>
      <c r="Q506" s="319"/>
    </row>
    <row r="507" spans="1:17" ht="13">
      <c r="A507" s="319"/>
      <c r="B507" s="319"/>
      <c r="C507" s="319"/>
      <c r="D507" s="319"/>
      <c r="E507" s="319"/>
      <c r="F507" s="319"/>
      <c r="G507" s="319"/>
      <c r="H507" s="319"/>
      <c r="I507" s="319"/>
      <c r="J507" s="319"/>
      <c r="K507" s="319"/>
      <c r="L507" s="319"/>
      <c r="M507" s="319"/>
      <c r="N507" s="319"/>
      <c r="O507" s="319"/>
      <c r="P507" s="319"/>
      <c r="Q507" s="319"/>
    </row>
    <row r="508" spans="1:17" ht="13">
      <c r="A508" s="319"/>
      <c r="B508" s="319"/>
      <c r="C508" s="319"/>
      <c r="D508" s="319"/>
      <c r="E508" s="319"/>
      <c r="F508" s="319"/>
      <c r="G508" s="319"/>
      <c r="H508" s="319"/>
      <c r="I508" s="319"/>
      <c r="J508" s="319"/>
      <c r="K508" s="319"/>
      <c r="L508" s="319"/>
      <c r="M508" s="319"/>
      <c r="N508" s="319"/>
      <c r="O508" s="319"/>
      <c r="P508" s="319"/>
      <c r="Q508" s="319"/>
    </row>
    <row r="509" spans="1:17" ht="13">
      <c r="A509" s="319"/>
      <c r="B509" s="319"/>
      <c r="C509" s="319"/>
      <c r="D509" s="319"/>
      <c r="E509" s="319"/>
      <c r="F509" s="319"/>
      <c r="G509" s="319"/>
      <c r="H509" s="319"/>
      <c r="I509" s="319"/>
      <c r="J509" s="319"/>
      <c r="K509" s="319"/>
      <c r="L509" s="319"/>
      <c r="M509" s="319"/>
      <c r="N509" s="319"/>
      <c r="O509" s="319"/>
      <c r="P509" s="319"/>
      <c r="Q509" s="319"/>
    </row>
    <row r="510" spans="1:17" ht="13">
      <c r="A510" s="319"/>
      <c r="B510" s="319"/>
      <c r="C510" s="319"/>
      <c r="D510" s="319"/>
      <c r="E510" s="319"/>
      <c r="F510" s="319"/>
      <c r="G510" s="319"/>
      <c r="H510" s="319"/>
      <c r="I510" s="319"/>
      <c r="J510" s="319"/>
      <c r="K510" s="319"/>
      <c r="L510" s="319"/>
      <c r="M510" s="319"/>
      <c r="N510" s="319"/>
      <c r="O510" s="319"/>
      <c r="P510" s="319"/>
      <c r="Q510" s="319"/>
    </row>
    <row r="511" spans="1:17" ht="13">
      <c r="A511" s="319"/>
      <c r="B511" s="319"/>
      <c r="C511" s="319"/>
      <c r="D511" s="319"/>
      <c r="E511" s="319"/>
      <c r="F511" s="319"/>
      <c r="G511" s="319"/>
      <c r="H511" s="319"/>
      <c r="I511" s="319"/>
      <c r="J511" s="319"/>
      <c r="K511" s="319"/>
      <c r="L511" s="319"/>
      <c r="M511" s="319"/>
      <c r="N511" s="319"/>
      <c r="O511" s="319"/>
      <c r="P511" s="319"/>
      <c r="Q511" s="319"/>
    </row>
    <row r="512" spans="1:17" ht="13">
      <c r="A512" s="319"/>
      <c r="B512" s="319"/>
      <c r="C512" s="319"/>
      <c r="D512" s="319"/>
      <c r="E512" s="319"/>
      <c r="F512" s="319"/>
      <c r="G512" s="319"/>
      <c r="H512" s="319"/>
      <c r="I512" s="319"/>
      <c r="J512" s="319"/>
      <c r="K512" s="319"/>
      <c r="L512" s="319"/>
      <c r="M512" s="319"/>
      <c r="N512" s="319"/>
      <c r="O512" s="319"/>
      <c r="P512" s="319"/>
      <c r="Q512" s="319"/>
    </row>
    <row r="513" spans="1:17" ht="13">
      <c r="A513" s="319"/>
      <c r="B513" s="319"/>
      <c r="C513" s="319"/>
      <c r="D513" s="319"/>
      <c r="E513" s="319"/>
      <c r="F513" s="319"/>
      <c r="G513" s="319"/>
      <c r="H513" s="319"/>
      <c r="I513" s="319"/>
      <c r="J513" s="319"/>
      <c r="K513" s="319"/>
      <c r="L513" s="319"/>
      <c r="M513" s="319"/>
      <c r="N513" s="319"/>
      <c r="O513" s="319"/>
      <c r="P513" s="319"/>
      <c r="Q513" s="319"/>
    </row>
    <row r="514" spans="1:17" ht="13">
      <c r="A514" s="319"/>
      <c r="B514" s="319"/>
      <c r="C514" s="319"/>
      <c r="D514" s="319"/>
      <c r="E514" s="319"/>
      <c r="F514" s="319"/>
      <c r="G514" s="319"/>
      <c r="H514" s="319"/>
      <c r="I514" s="319"/>
      <c r="J514" s="319"/>
      <c r="K514" s="319"/>
      <c r="L514" s="319"/>
      <c r="M514" s="319"/>
      <c r="N514" s="319"/>
      <c r="O514" s="319"/>
      <c r="P514" s="319"/>
      <c r="Q514" s="319"/>
    </row>
    <row r="515" spans="1:17" ht="13">
      <c r="A515" s="319"/>
      <c r="B515" s="319"/>
      <c r="C515" s="319"/>
      <c r="D515" s="319"/>
      <c r="E515" s="319"/>
      <c r="F515" s="319"/>
      <c r="G515" s="319"/>
      <c r="H515" s="319"/>
      <c r="I515" s="319"/>
      <c r="J515" s="319"/>
      <c r="K515" s="319"/>
      <c r="L515" s="319"/>
      <c r="M515" s="319"/>
      <c r="N515" s="319"/>
      <c r="O515" s="319"/>
      <c r="P515" s="319"/>
      <c r="Q515" s="319"/>
    </row>
    <row r="516" spans="1:17" ht="13">
      <c r="A516" s="319"/>
      <c r="B516" s="319"/>
      <c r="C516" s="319"/>
      <c r="D516" s="319"/>
      <c r="E516" s="319"/>
      <c r="F516" s="319"/>
      <c r="G516" s="319"/>
      <c r="H516" s="319"/>
      <c r="I516" s="319"/>
      <c r="J516" s="319"/>
      <c r="K516" s="319"/>
      <c r="L516" s="319"/>
      <c r="M516" s="319"/>
      <c r="N516" s="319"/>
      <c r="O516" s="319"/>
      <c r="P516" s="319"/>
      <c r="Q516" s="319"/>
    </row>
    <row r="517" spans="1:17" ht="13">
      <c r="A517" s="319"/>
      <c r="B517" s="319"/>
      <c r="C517" s="319"/>
      <c r="D517" s="319"/>
      <c r="E517" s="319"/>
      <c r="F517" s="319"/>
      <c r="G517" s="319"/>
      <c r="H517" s="319"/>
      <c r="I517" s="319"/>
      <c r="J517" s="319"/>
      <c r="K517" s="319"/>
      <c r="L517" s="319"/>
      <c r="M517" s="319"/>
      <c r="N517" s="319"/>
      <c r="O517" s="319"/>
      <c r="P517" s="319"/>
      <c r="Q517" s="319"/>
    </row>
    <row r="518" spans="1:17" ht="13">
      <c r="A518" s="319"/>
      <c r="B518" s="319"/>
      <c r="C518" s="319"/>
      <c r="D518" s="319"/>
      <c r="E518" s="319"/>
      <c r="F518" s="319"/>
      <c r="G518" s="319"/>
      <c r="H518" s="319"/>
      <c r="I518" s="319"/>
      <c r="J518" s="319"/>
      <c r="K518" s="319"/>
      <c r="L518" s="319"/>
      <c r="M518" s="319"/>
      <c r="N518" s="319"/>
      <c r="O518" s="319"/>
      <c r="P518" s="319"/>
      <c r="Q518" s="319"/>
    </row>
    <row r="519" spans="1:17" ht="13">
      <c r="A519" s="319"/>
      <c r="B519" s="319"/>
      <c r="C519" s="319"/>
      <c r="D519" s="319"/>
      <c r="E519" s="319"/>
      <c r="F519" s="319"/>
      <c r="G519" s="319"/>
      <c r="H519" s="319"/>
      <c r="I519" s="319"/>
      <c r="J519" s="319"/>
      <c r="K519" s="319"/>
      <c r="L519" s="319"/>
      <c r="M519" s="319"/>
      <c r="N519" s="319"/>
      <c r="O519" s="319"/>
      <c r="P519" s="319"/>
      <c r="Q519" s="319"/>
    </row>
    <row r="520" spans="1:17" ht="13">
      <c r="A520" s="319"/>
      <c r="B520" s="319"/>
      <c r="C520" s="319"/>
      <c r="D520" s="319"/>
      <c r="E520" s="319"/>
      <c r="F520" s="319"/>
      <c r="G520" s="319"/>
      <c r="H520" s="319"/>
      <c r="I520" s="319"/>
      <c r="J520" s="319"/>
      <c r="K520" s="319"/>
      <c r="L520" s="319"/>
      <c r="M520" s="319"/>
      <c r="N520" s="319"/>
      <c r="O520" s="319"/>
      <c r="P520" s="319"/>
      <c r="Q520" s="319"/>
    </row>
    <row r="521" spans="1:17" ht="13">
      <c r="A521" s="319"/>
      <c r="B521" s="319"/>
      <c r="C521" s="319"/>
      <c r="D521" s="319"/>
      <c r="E521" s="319"/>
      <c r="F521" s="319"/>
      <c r="G521" s="319"/>
      <c r="H521" s="319"/>
      <c r="I521" s="319"/>
      <c r="J521" s="319"/>
      <c r="K521" s="319"/>
      <c r="L521" s="319"/>
      <c r="M521" s="319"/>
      <c r="N521" s="319"/>
      <c r="O521" s="319"/>
      <c r="P521" s="319"/>
      <c r="Q521" s="319"/>
    </row>
    <row r="522" spans="1:17" ht="13">
      <c r="A522" s="319"/>
      <c r="B522" s="319"/>
      <c r="C522" s="319"/>
      <c r="D522" s="319"/>
      <c r="E522" s="319"/>
      <c r="F522" s="319"/>
      <c r="G522" s="319"/>
      <c r="H522" s="319"/>
      <c r="I522" s="319"/>
      <c r="J522" s="319"/>
      <c r="K522" s="319"/>
      <c r="L522" s="319"/>
      <c r="M522" s="319"/>
      <c r="N522" s="319"/>
      <c r="O522" s="319"/>
      <c r="P522" s="319"/>
      <c r="Q522" s="319"/>
    </row>
    <row r="523" spans="1:17" ht="13">
      <c r="A523" s="319"/>
      <c r="B523" s="319"/>
      <c r="C523" s="319"/>
      <c r="D523" s="319"/>
      <c r="E523" s="319"/>
      <c r="F523" s="319"/>
      <c r="G523" s="319"/>
      <c r="H523" s="319"/>
      <c r="I523" s="319"/>
      <c r="J523" s="319"/>
      <c r="K523" s="319"/>
      <c r="L523" s="319"/>
      <c r="M523" s="319"/>
      <c r="N523" s="319"/>
      <c r="O523" s="319"/>
      <c r="P523" s="319"/>
      <c r="Q523" s="319"/>
    </row>
    <row r="524" spans="1:17" ht="13">
      <c r="A524" s="319"/>
      <c r="B524" s="319"/>
      <c r="C524" s="319"/>
      <c r="D524" s="319"/>
      <c r="E524" s="319"/>
      <c r="F524" s="319"/>
      <c r="G524" s="319"/>
      <c r="H524" s="319"/>
      <c r="I524" s="319"/>
      <c r="J524" s="319"/>
      <c r="K524" s="319"/>
      <c r="L524" s="319"/>
      <c r="M524" s="319"/>
      <c r="N524" s="319"/>
      <c r="O524" s="319"/>
      <c r="P524" s="319"/>
      <c r="Q524" s="319"/>
    </row>
    <row r="525" spans="1:17" ht="13">
      <c r="A525" s="319"/>
      <c r="B525" s="319"/>
      <c r="C525" s="319"/>
      <c r="D525" s="319"/>
      <c r="E525" s="319"/>
      <c r="F525" s="319"/>
      <c r="G525" s="319"/>
      <c r="H525" s="319"/>
      <c r="I525" s="319"/>
      <c r="J525" s="319"/>
      <c r="K525" s="319"/>
      <c r="L525" s="319"/>
      <c r="M525" s="319"/>
      <c r="N525" s="319"/>
      <c r="O525" s="319"/>
      <c r="P525" s="319"/>
      <c r="Q525" s="319"/>
    </row>
    <row r="526" spans="1:17" ht="13">
      <c r="A526" s="319"/>
      <c r="B526" s="319"/>
      <c r="C526" s="319"/>
      <c r="D526" s="319"/>
      <c r="E526" s="319"/>
      <c r="F526" s="319"/>
      <c r="G526" s="319"/>
      <c r="H526" s="319"/>
      <c r="I526" s="319"/>
      <c r="J526" s="319"/>
      <c r="K526" s="319"/>
      <c r="L526" s="319"/>
      <c r="M526" s="319"/>
      <c r="N526" s="319"/>
      <c r="O526" s="319"/>
      <c r="P526" s="319"/>
      <c r="Q526" s="319"/>
    </row>
    <row r="527" spans="1:17" ht="13">
      <c r="A527" s="319"/>
      <c r="B527" s="319"/>
      <c r="C527" s="319"/>
      <c r="D527" s="319"/>
      <c r="E527" s="319"/>
      <c r="F527" s="319"/>
      <c r="G527" s="319"/>
      <c r="H527" s="319"/>
      <c r="I527" s="319"/>
      <c r="J527" s="319"/>
      <c r="K527" s="319"/>
      <c r="L527" s="319"/>
      <c r="M527" s="319"/>
      <c r="N527" s="319"/>
      <c r="O527" s="319"/>
      <c r="P527" s="319"/>
      <c r="Q527" s="319"/>
    </row>
    <row r="528" spans="1:17" ht="13">
      <c r="A528" s="319"/>
      <c r="B528" s="319"/>
      <c r="C528" s="319"/>
      <c r="D528" s="319"/>
      <c r="E528" s="319"/>
      <c r="F528" s="319"/>
      <c r="G528" s="319"/>
      <c r="H528" s="319"/>
      <c r="I528" s="319"/>
      <c r="J528" s="319"/>
      <c r="K528" s="319"/>
      <c r="L528" s="319"/>
      <c r="M528" s="319"/>
      <c r="N528" s="319"/>
      <c r="O528" s="319"/>
      <c r="P528" s="319"/>
      <c r="Q528" s="319"/>
    </row>
    <row r="529" spans="1:17" ht="13">
      <c r="A529" s="319"/>
      <c r="B529" s="319"/>
      <c r="C529" s="319"/>
      <c r="D529" s="319"/>
      <c r="E529" s="319"/>
      <c r="F529" s="319"/>
      <c r="G529" s="319"/>
      <c r="H529" s="319"/>
      <c r="I529" s="319"/>
      <c r="J529" s="319"/>
      <c r="K529" s="319"/>
      <c r="L529" s="319"/>
      <c r="M529" s="319"/>
      <c r="N529" s="319"/>
      <c r="O529" s="319"/>
      <c r="P529" s="319"/>
      <c r="Q529" s="319"/>
    </row>
    <row r="530" spans="1:17" ht="13">
      <c r="A530" s="319"/>
      <c r="B530" s="319"/>
      <c r="C530" s="319"/>
      <c r="D530" s="319"/>
      <c r="E530" s="319"/>
      <c r="F530" s="319"/>
      <c r="G530" s="319"/>
      <c r="H530" s="319"/>
      <c r="I530" s="319"/>
      <c r="J530" s="319"/>
      <c r="K530" s="319"/>
      <c r="L530" s="319"/>
      <c r="M530" s="319"/>
      <c r="N530" s="319"/>
      <c r="O530" s="319"/>
      <c r="P530" s="319"/>
      <c r="Q530" s="319"/>
    </row>
    <row r="531" spans="1:17" ht="13">
      <c r="A531" s="319"/>
      <c r="B531" s="319"/>
      <c r="C531" s="319"/>
      <c r="D531" s="319"/>
      <c r="E531" s="319"/>
      <c r="F531" s="319"/>
      <c r="G531" s="319"/>
      <c r="H531" s="319"/>
      <c r="I531" s="319"/>
      <c r="J531" s="319"/>
      <c r="K531" s="319"/>
      <c r="L531" s="319"/>
      <c r="M531" s="319"/>
      <c r="N531" s="319"/>
      <c r="O531" s="319"/>
      <c r="P531" s="319"/>
      <c r="Q531" s="319"/>
    </row>
    <row r="532" spans="1:17" ht="13">
      <c r="A532" s="319"/>
      <c r="B532" s="319"/>
      <c r="C532" s="319"/>
      <c r="D532" s="319"/>
      <c r="E532" s="319"/>
      <c r="F532" s="319"/>
      <c r="G532" s="319"/>
      <c r="H532" s="319"/>
      <c r="I532" s="319"/>
      <c r="J532" s="319"/>
      <c r="K532" s="319"/>
      <c r="L532" s="319"/>
      <c r="M532" s="319"/>
      <c r="N532" s="319"/>
      <c r="O532" s="319"/>
      <c r="P532" s="319"/>
      <c r="Q532" s="319"/>
    </row>
    <row r="533" spans="1:17" ht="13">
      <c r="A533" s="319"/>
      <c r="B533" s="319"/>
      <c r="C533" s="319"/>
      <c r="D533" s="319"/>
      <c r="E533" s="319"/>
      <c r="F533" s="319"/>
      <c r="G533" s="319"/>
      <c r="H533" s="319"/>
      <c r="I533" s="319"/>
      <c r="J533" s="319"/>
      <c r="K533" s="319"/>
      <c r="L533" s="319"/>
      <c r="M533" s="319"/>
      <c r="N533" s="319"/>
      <c r="O533" s="319"/>
      <c r="P533" s="319"/>
      <c r="Q533" s="319"/>
    </row>
    <row r="534" spans="1:17" ht="13">
      <c r="A534" s="319"/>
      <c r="B534" s="319"/>
      <c r="C534" s="319"/>
      <c r="D534" s="319"/>
      <c r="E534" s="319"/>
      <c r="F534" s="319"/>
      <c r="G534" s="319"/>
      <c r="H534" s="319"/>
      <c r="I534" s="319"/>
      <c r="J534" s="319"/>
      <c r="K534" s="319"/>
      <c r="L534" s="319"/>
      <c r="M534" s="319"/>
      <c r="N534" s="319"/>
      <c r="O534" s="319"/>
      <c r="P534" s="319"/>
      <c r="Q534" s="319"/>
    </row>
    <row r="535" spans="1:17" ht="13">
      <c r="A535" s="319"/>
      <c r="B535" s="319"/>
      <c r="C535" s="319"/>
      <c r="D535" s="319"/>
      <c r="E535" s="319"/>
      <c r="F535" s="319"/>
      <c r="G535" s="319"/>
      <c r="H535" s="319"/>
      <c r="I535" s="319"/>
      <c r="J535" s="319"/>
      <c r="K535" s="319"/>
      <c r="L535" s="319"/>
      <c r="M535" s="319"/>
      <c r="N535" s="319"/>
      <c r="O535" s="319"/>
      <c r="P535" s="319"/>
      <c r="Q535" s="319"/>
    </row>
    <row r="536" spans="1:17" ht="13">
      <c r="A536" s="319"/>
      <c r="B536" s="319"/>
      <c r="C536" s="319"/>
      <c r="D536" s="319"/>
      <c r="E536" s="319"/>
      <c r="F536" s="319"/>
      <c r="G536" s="319"/>
      <c r="H536" s="319"/>
      <c r="I536" s="319"/>
      <c r="J536" s="319"/>
      <c r="K536" s="319"/>
      <c r="L536" s="319"/>
      <c r="M536" s="319"/>
      <c r="N536" s="319"/>
      <c r="O536" s="319"/>
      <c r="P536" s="319"/>
      <c r="Q536" s="319"/>
    </row>
    <row r="537" spans="1:17" ht="13">
      <c r="A537" s="319"/>
      <c r="B537" s="319"/>
      <c r="C537" s="319"/>
      <c r="D537" s="319"/>
      <c r="E537" s="319"/>
      <c r="F537" s="319"/>
      <c r="G537" s="319"/>
      <c r="H537" s="319"/>
      <c r="I537" s="319"/>
      <c r="J537" s="319"/>
      <c r="K537" s="319"/>
      <c r="L537" s="319"/>
      <c r="M537" s="319"/>
      <c r="N537" s="319"/>
      <c r="O537" s="319"/>
      <c r="P537" s="319"/>
      <c r="Q537" s="319"/>
    </row>
    <row r="538" spans="1:17" ht="13">
      <c r="A538" s="319"/>
      <c r="B538" s="319"/>
      <c r="C538" s="319"/>
      <c r="D538" s="319"/>
      <c r="E538" s="319"/>
      <c r="F538" s="319"/>
      <c r="G538" s="319"/>
      <c r="H538" s="319"/>
      <c r="I538" s="319"/>
      <c r="J538" s="319"/>
      <c r="K538" s="319"/>
      <c r="L538" s="319"/>
      <c r="M538" s="319"/>
      <c r="N538" s="319"/>
      <c r="O538" s="319"/>
      <c r="P538" s="319"/>
      <c r="Q538" s="319"/>
    </row>
    <row r="539" spans="1:17" ht="13">
      <c r="A539" s="319"/>
      <c r="B539" s="319"/>
      <c r="C539" s="319"/>
      <c r="D539" s="319"/>
      <c r="E539" s="319"/>
      <c r="F539" s="319"/>
      <c r="G539" s="319"/>
      <c r="H539" s="319"/>
      <c r="I539" s="319"/>
      <c r="J539" s="319"/>
      <c r="K539" s="319"/>
      <c r="L539" s="319"/>
      <c r="M539" s="319"/>
      <c r="N539" s="319"/>
      <c r="O539" s="319"/>
      <c r="P539" s="319"/>
      <c r="Q539" s="319"/>
    </row>
    <row r="540" spans="1:17" ht="13">
      <c r="A540" s="319"/>
      <c r="B540" s="319"/>
      <c r="C540" s="319"/>
      <c r="D540" s="319"/>
      <c r="E540" s="319"/>
      <c r="F540" s="319"/>
      <c r="G540" s="319"/>
      <c r="H540" s="319"/>
      <c r="I540" s="319"/>
      <c r="J540" s="319"/>
      <c r="K540" s="319"/>
      <c r="L540" s="319"/>
      <c r="M540" s="319"/>
      <c r="N540" s="319"/>
      <c r="O540" s="319"/>
      <c r="P540" s="319"/>
      <c r="Q540" s="319"/>
    </row>
    <row r="541" spans="1:17" ht="13">
      <c r="A541" s="319"/>
      <c r="B541" s="319"/>
      <c r="C541" s="319"/>
      <c r="D541" s="319"/>
      <c r="E541" s="319"/>
      <c r="F541" s="319"/>
      <c r="G541" s="319"/>
      <c r="H541" s="319"/>
      <c r="I541" s="319"/>
      <c r="J541" s="319"/>
      <c r="K541" s="319"/>
      <c r="L541" s="319"/>
      <c r="M541" s="319"/>
      <c r="N541" s="319"/>
      <c r="O541" s="319"/>
      <c r="P541" s="319"/>
      <c r="Q541" s="319"/>
    </row>
    <row r="542" spans="1:17" ht="13">
      <c r="A542" s="319"/>
      <c r="B542" s="319"/>
      <c r="C542" s="319"/>
      <c r="D542" s="319"/>
      <c r="E542" s="319"/>
      <c r="F542" s="319"/>
      <c r="G542" s="319"/>
      <c r="H542" s="319"/>
      <c r="I542" s="319"/>
      <c r="J542" s="319"/>
      <c r="K542" s="319"/>
      <c r="L542" s="319"/>
      <c r="M542" s="319"/>
      <c r="N542" s="319"/>
      <c r="O542" s="319"/>
      <c r="P542" s="319"/>
      <c r="Q542" s="319"/>
    </row>
    <row r="543" spans="1:17" ht="13">
      <c r="A543" s="319"/>
      <c r="B543" s="319"/>
      <c r="C543" s="319"/>
      <c r="D543" s="319"/>
      <c r="E543" s="319"/>
      <c r="F543" s="319"/>
      <c r="G543" s="319"/>
      <c r="H543" s="319"/>
      <c r="I543" s="319"/>
      <c r="J543" s="319"/>
      <c r="K543" s="319"/>
      <c r="L543" s="319"/>
      <c r="M543" s="319"/>
      <c r="N543" s="319"/>
      <c r="O543" s="319"/>
      <c r="P543" s="319"/>
      <c r="Q543" s="319"/>
    </row>
    <row r="544" spans="1:17" ht="13">
      <c r="A544" s="319"/>
      <c r="B544" s="319"/>
      <c r="C544" s="319"/>
      <c r="D544" s="319"/>
      <c r="E544" s="319"/>
      <c r="F544" s="319"/>
      <c r="G544" s="319"/>
      <c r="H544" s="319"/>
      <c r="I544" s="319"/>
      <c r="J544" s="319"/>
      <c r="K544" s="319"/>
      <c r="L544" s="319"/>
      <c r="M544" s="319"/>
      <c r="N544" s="319"/>
      <c r="O544" s="319"/>
      <c r="P544" s="319"/>
      <c r="Q544" s="319"/>
    </row>
    <row r="545" spans="1:17" ht="13">
      <c r="A545" s="319"/>
      <c r="B545" s="319"/>
      <c r="C545" s="319"/>
      <c r="D545" s="319"/>
      <c r="E545" s="319"/>
      <c r="F545" s="319"/>
      <c r="G545" s="319"/>
      <c r="H545" s="319"/>
      <c r="I545" s="319"/>
      <c r="J545" s="319"/>
      <c r="K545" s="319"/>
      <c r="L545" s="319"/>
      <c r="M545" s="319"/>
      <c r="N545" s="319"/>
      <c r="O545" s="319"/>
      <c r="P545" s="319"/>
      <c r="Q545" s="319"/>
    </row>
    <row r="546" spans="1:17" ht="13">
      <c r="A546" s="319"/>
      <c r="B546" s="319"/>
      <c r="C546" s="319"/>
      <c r="D546" s="319"/>
      <c r="E546" s="319"/>
      <c r="F546" s="319"/>
      <c r="G546" s="319"/>
      <c r="H546" s="319"/>
      <c r="I546" s="319"/>
      <c r="J546" s="319"/>
      <c r="K546" s="319"/>
      <c r="L546" s="319"/>
      <c r="M546" s="319"/>
      <c r="N546" s="319"/>
      <c r="O546" s="319"/>
      <c r="P546" s="319"/>
      <c r="Q546" s="319"/>
    </row>
    <row r="547" spans="1:17" ht="13">
      <c r="A547" s="319"/>
      <c r="B547" s="319"/>
      <c r="C547" s="319"/>
      <c r="D547" s="319"/>
      <c r="E547" s="319"/>
      <c r="F547" s="319"/>
      <c r="G547" s="319"/>
      <c r="H547" s="319"/>
      <c r="I547" s="319"/>
      <c r="J547" s="319"/>
      <c r="K547" s="319"/>
      <c r="L547" s="319"/>
      <c r="M547" s="319"/>
      <c r="N547" s="319"/>
      <c r="O547" s="319"/>
      <c r="P547" s="319"/>
      <c r="Q547" s="319"/>
    </row>
    <row r="548" spans="1:17" ht="13">
      <c r="A548" s="319"/>
      <c r="B548" s="319"/>
      <c r="C548" s="319"/>
      <c r="D548" s="319"/>
      <c r="E548" s="319"/>
      <c r="F548" s="319"/>
      <c r="G548" s="319"/>
      <c r="H548" s="319"/>
      <c r="I548" s="319"/>
      <c r="J548" s="319"/>
      <c r="K548" s="319"/>
      <c r="L548" s="319"/>
      <c r="M548" s="319"/>
      <c r="N548" s="319"/>
      <c r="O548" s="319"/>
      <c r="P548" s="319"/>
      <c r="Q548" s="319"/>
    </row>
    <row r="549" spans="1:17" ht="13">
      <c r="A549" s="319"/>
      <c r="B549" s="319"/>
      <c r="C549" s="319"/>
      <c r="D549" s="319"/>
      <c r="E549" s="319"/>
      <c r="F549" s="319"/>
      <c r="G549" s="319"/>
      <c r="H549" s="319"/>
      <c r="I549" s="319"/>
      <c r="J549" s="319"/>
      <c r="K549" s="319"/>
      <c r="L549" s="319"/>
      <c r="M549" s="319"/>
      <c r="N549" s="319"/>
      <c r="O549" s="319"/>
      <c r="P549" s="319"/>
      <c r="Q549" s="319"/>
    </row>
    <row r="550" spans="1:17" ht="13">
      <c r="A550" s="319"/>
      <c r="B550" s="319"/>
      <c r="C550" s="319"/>
      <c r="D550" s="319"/>
      <c r="E550" s="319"/>
      <c r="F550" s="319"/>
      <c r="G550" s="319"/>
      <c r="H550" s="319"/>
      <c r="I550" s="319"/>
      <c r="J550" s="319"/>
      <c r="K550" s="319"/>
      <c r="L550" s="319"/>
      <c r="M550" s="319"/>
      <c r="N550" s="319"/>
      <c r="O550" s="319"/>
      <c r="P550" s="319"/>
      <c r="Q550" s="319"/>
    </row>
    <row r="551" spans="1:17" ht="13">
      <c r="A551" s="319"/>
      <c r="B551" s="319"/>
      <c r="C551" s="319"/>
      <c r="D551" s="319"/>
      <c r="E551" s="319"/>
      <c r="F551" s="319"/>
      <c r="G551" s="319"/>
      <c r="H551" s="319"/>
      <c r="I551" s="319"/>
      <c r="J551" s="319"/>
      <c r="K551" s="319"/>
      <c r="L551" s="319"/>
      <c r="M551" s="319"/>
      <c r="N551" s="319"/>
      <c r="O551" s="319"/>
      <c r="P551" s="319"/>
      <c r="Q551" s="319"/>
    </row>
    <row r="552" spans="1:17" ht="13">
      <c r="A552" s="319"/>
      <c r="B552" s="319"/>
      <c r="C552" s="319"/>
      <c r="D552" s="319"/>
      <c r="E552" s="319"/>
      <c r="F552" s="319"/>
      <c r="G552" s="319"/>
      <c r="H552" s="319"/>
      <c r="I552" s="319"/>
      <c r="J552" s="319"/>
      <c r="K552" s="319"/>
      <c r="L552" s="319"/>
      <c r="M552" s="319"/>
      <c r="N552" s="319"/>
      <c r="O552" s="319"/>
      <c r="P552" s="319"/>
      <c r="Q552" s="319"/>
    </row>
    <row r="553" spans="1:17" ht="13">
      <c r="A553" s="319"/>
      <c r="B553" s="319"/>
      <c r="C553" s="319"/>
      <c r="D553" s="319"/>
      <c r="E553" s="319"/>
      <c r="F553" s="319"/>
      <c r="G553" s="319"/>
      <c r="H553" s="319"/>
      <c r="I553" s="319"/>
      <c r="J553" s="319"/>
      <c r="K553" s="319"/>
      <c r="L553" s="319"/>
      <c r="M553" s="319"/>
      <c r="N553" s="319"/>
      <c r="O553" s="319"/>
      <c r="P553" s="319"/>
      <c r="Q553" s="319"/>
    </row>
    <row r="554" spans="1:17" ht="13">
      <c r="A554" s="319"/>
      <c r="B554" s="319"/>
      <c r="C554" s="319"/>
      <c r="D554" s="319"/>
      <c r="E554" s="319"/>
      <c r="F554" s="319"/>
      <c r="G554" s="319"/>
      <c r="H554" s="319"/>
      <c r="I554" s="319"/>
      <c r="J554" s="319"/>
      <c r="K554" s="319"/>
      <c r="L554" s="319"/>
      <c r="M554" s="319"/>
      <c r="N554" s="319"/>
      <c r="O554" s="319"/>
      <c r="P554" s="319"/>
      <c r="Q554" s="319"/>
    </row>
    <row r="555" spans="1:17" ht="13">
      <c r="A555" s="319"/>
      <c r="B555" s="319"/>
      <c r="C555" s="319"/>
      <c r="D555" s="319"/>
      <c r="E555" s="319"/>
      <c r="F555" s="319"/>
      <c r="G555" s="319"/>
      <c r="H555" s="319"/>
      <c r="I555" s="319"/>
      <c r="J555" s="319"/>
      <c r="K555" s="319"/>
      <c r="L555" s="319"/>
      <c r="M555" s="319"/>
      <c r="N555" s="319"/>
      <c r="O555" s="319"/>
      <c r="P555" s="319"/>
      <c r="Q555" s="319"/>
    </row>
    <row r="556" spans="1:17" ht="13">
      <c r="A556" s="319"/>
      <c r="B556" s="319"/>
      <c r="C556" s="319"/>
      <c r="D556" s="319"/>
      <c r="E556" s="319"/>
      <c r="F556" s="319"/>
      <c r="G556" s="319"/>
      <c r="H556" s="319"/>
      <c r="I556" s="319"/>
      <c r="J556" s="319"/>
      <c r="K556" s="319"/>
      <c r="L556" s="319"/>
      <c r="M556" s="319"/>
      <c r="N556" s="319"/>
      <c r="O556" s="319"/>
      <c r="P556" s="319"/>
      <c r="Q556" s="319"/>
    </row>
    <row r="557" spans="1:17" ht="13">
      <c r="A557" s="319"/>
      <c r="B557" s="319"/>
      <c r="C557" s="319"/>
      <c r="D557" s="319"/>
      <c r="E557" s="319"/>
      <c r="F557" s="319"/>
      <c r="G557" s="319"/>
      <c r="H557" s="319"/>
      <c r="I557" s="319"/>
      <c r="J557" s="319"/>
      <c r="K557" s="319"/>
      <c r="L557" s="319"/>
      <c r="M557" s="319"/>
      <c r="N557" s="319"/>
      <c r="O557" s="319"/>
      <c r="P557" s="319"/>
      <c r="Q557" s="319"/>
    </row>
    <row r="558" spans="1:17" ht="13">
      <c r="A558" s="319"/>
      <c r="B558" s="319"/>
      <c r="C558" s="319"/>
      <c r="D558" s="319"/>
      <c r="E558" s="319"/>
      <c r="F558" s="319"/>
      <c r="G558" s="319"/>
      <c r="H558" s="319"/>
      <c r="I558" s="319"/>
      <c r="J558" s="319"/>
      <c r="K558" s="319"/>
      <c r="L558" s="319"/>
      <c r="M558" s="319"/>
      <c r="N558" s="319"/>
      <c r="O558" s="319"/>
      <c r="P558" s="319"/>
      <c r="Q558" s="319"/>
    </row>
    <row r="559" spans="1:17" ht="13">
      <c r="A559" s="319"/>
      <c r="B559" s="319"/>
      <c r="C559" s="319"/>
      <c r="D559" s="319"/>
      <c r="E559" s="319"/>
      <c r="F559" s="319"/>
      <c r="G559" s="319"/>
      <c r="H559" s="319"/>
      <c r="I559" s="319"/>
      <c r="J559" s="319"/>
      <c r="K559" s="319"/>
      <c r="L559" s="319"/>
      <c r="M559" s="319"/>
      <c r="N559" s="319"/>
      <c r="O559" s="319"/>
      <c r="P559" s="319"/>
      <c r="Q559" s="319"/>
    </row>
    <row r="560" spans="1:17" ht="13">
      <c r="A560" s="319"/>
      <c r="B560" s="319"/>
      <c r="C560" s="319"/>
      <c r="D560" s="319"/>
      <c r="E560" s="319"/>
      <c r="F560" s="319"/>
      <c r="G560" s="319"/>
      <c r="H560" s="319"/>
      <c r="I560" s="319"/>
      <c r="J560" s="319"/>
      <c r="K560" s="319"/>
      <c r="L560" s="319"/>
      <c r="M560" s="319"/>
      <c r="N560" s="319"/>
      <c r="O560" s="319"/>
      <c r="P560" s="319"/>
      <c r="Q560" s="319"/>
    </row>
    <row r="561" spans="1:17" ht="13">
      <c r="A561" s="319"/>
      <c r="B561" s="319"/>
      <c r="C561" s="319"/>
      <c r="D561" s="319"/>
      <c r="E561" s="319"/>
      <c r="F561" s="319"/>
      <c r="G561" s="319"/>
      <c r="H561" s="319"/>
      <c r="I561" s="319"/>
      <c r="J561" s="319"/>
      <c r="K561" s="319"/>
      <c r="L561" s="319"/>
      <c r="M561" s="319"/>
      <c r="N561" s="319"/>
      <c r="O561" s="319"/>
      <c r="P561" s="319"/>
      <c r="Q561" s="319"/>
    </row>
    <row r="562" spans="1:17" ht="13">
      <c r="A562" s="319"/>
      <c r="B562" s="319"/>
      <c r="C562" s="319"/>
      <c r="D562" s="319"/>
      <c r="E562" s="319"/>
      <c r="F562" s="319"/>
      <c r="G562" s="319"/>
      <c r="H562" s="319"/>
      <c r="I562" s="319"/>
      <c r="J562" s="319"/>
      <c r="K562" s="319"/>
      <c r="L562" s="319"/>
      <c r="M562" s="319"/>
      <c r="N562" s="319"/>
      <c r="O562" s="319"/>
      <c r="P562" s="319"/>
      <c r="Q562" s="319"/>
    </row>
    <row r="563" spans="1:17" ht="13">
      <c r="A563" s="319"/>
      <c r="B563" s="319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</row>
    <row r="564" spans="1:17" ht="13">
      <c r="A564" s="319"/>
      <c r="B564" s="319"/>
      <c r="C564" s="319"/>
      <c r="D564" s="319"/>
      <c r="E564" s="319"/>
      <c r="F564" s="319"/>
      <c r="G564" s="319"/>
      <c r="H564" s="319"/>
      <c r="I564" s="319"/>
      <c r="J564" s="319"/>
      <c r="K564" s="319"/>
      <c r="L564" s="319"/>
      <c r="M564" s="319"/>
      <c r="N564" s="319"/>
      <c r="O564" s="319"/>
      <c r="P564" s="319"/>
      <c r="Q564" s="319"/>
    </row>
    <row r="565" spans="1:17" ht="13">
      <c r="A565" s="319"/>
      <c r="B565" s="319"/>
      <c r="C565" s="319"/>
      <c r="D565" s="319"/>
      <c r="E565" s="319"/>
      <c r="F565" s="319"/>
      <c r="G565" s="319"/>
      <c r="H565" s="319"/>
      <c r="I565" s="319"/>
      <c r="J565" s="319"/>
      <c r="K565" s="319"/>
      <c r="L565" s="319"/>
      <c r="M565" s="319"/>
      <c r="N565" s="319"/>
      <c r="O565" s="319"/>
      <c r="P565" s="319"/>
      <c r="Q565" s="319"/>
    </row>
    <row r="566" spans="1:17" ht="13">
      <c r="A566" s="319"/>
      <c r="B566" s="319"/>
      <c r="C566" s="319"/>
      <c r="D566" s="319"/>
      <c r="E566" s="319"/>
      <c r="F566" s="319"/>
      <c r="G566" s="319"/>
      <c r="H566" s="319"/>
      <c r="I566" s="319"/>
      <c r="J566" s="319"/>
      <c r="K566" s="319"/>
      <c r="L566" s="319"/>
      <c r="M566" s="319"/>
      <c r="N566" s="319"/>
      <c r="O566" s="319"/>
      <c r="P566" s="319"/>
      <c r="Q566" s="319"/>
    </row>
    <row r="567" spans="1:17" ht="13">
      <c r="A567" s="319"/>
      <c r="B567" s="319"/>
      <c r="C567" s="319"/>
      <c r="D567" s="319"/>
      <c r="E567" s="319"/>
      <c r="F567" s="319"/>
      <c r="G567" s="319"/>
      <c r="H567" s="319"/>
      <c r="I567" s="319"/>
      <c r="J567" s="319"/>
      <c r="K567" s="319"/>
      <c r="L567" s="319"/>
      <c r="M567" s="319"/>
      <c r="N567" s="319"/>
      <c r="O567" s="319"/>
      <c r="P567" s="319"/>
      <c r="Q567" s="319"/>
    </row>
    <row r="568" spans="1:17" ht="13">
      <c r="A568" s="319"/>
      <c r="B568" s="319"/>
      <c r="C568" s="319"/>
      <c r="D568" s="319"/>
      <c r="E568" s="319"/>
      <c r="F568" s="319"/>
      <c r="G568" s="319"/>
      <c r="H568" s="319"/>
      <c r="I568" s="319"/>
      <c r="J568" s="319"/>
      <c r="K568" s="319"/>
      <c r="L568" s="319"/>
      <c r="M568" s="319"/>
      <c r="N568" s="319"/>
      <c r="O568" s="319"/>
      <c r="P568" s="319"/>
      <c r="Q568" s="319"/>
    </row>
    <row r="569" spans="1:17" ht="13">
      <c r="A569" s="319"/>
      <c r="B569" s="319"/>
      <c r="C569" s="319"/>
      <c r="D569" s="319"/>
      <c r="E569" s="319"/>
      <c r="F569" s="319"/>
      <c r="G569" s="319"/>
      <c r="H569" s="319"/>
      <c r="I569" s="319"/>
      <c r="J569" s="319"/>
      <c r="K569" s="319"/>
      <c r="L569" s="319"/>
      <c r="M569" s="319"/>
      <c r="N569" s="319"/>
      <c r="O569" s="319"/>
      <c r="P569" s="319"/>
      <c r="Q569" s="319"/>
    </row>
    <row r="570" spans="1:17" ht="13">
      <c r="A570" s="319"/>
      <c r="B570" s="319"/>
      <c r="C570" s="319"/>
      <c r="D570" s="319"/>
      <c r="E570" s="319"/>
      <c r="F570" s="319"/>
      <c r="G570" s="319"/>
      <c r="H570" s="319"/>
      <c r="I570" s="319"/>
      <c r="J570" s="319"/>
      <c r="K570" s="319"/>
      <c r="L570" s="319"/>
      <c r="M570" s="319"/>
      <c r="N570" s="319"/>
      <c r="O570" s="319"/>
      <c r="P570" s="319"/>
      <c r="Q570" s="319"/>
    </row>
    <row r="571" spans="1:17" ht="13">
      <c r="A571" s="319"/>
      <c r="B571" s="319"/>
      <c r="C571" s="319"/>
      <c r="D571" s="319"/>
      <c r="E571" s="319"/>
      <c r="F571" s="319"/>
      <c r="G571" s="319"/>
      <c r="H571" s="319"/>
      <c r="I571" s="319"/>
      <c r="J571" s="319"/>
      <c r="K571" s="319"/>
      <c r="L571" s="319"/>
      <c r="M571" s="319"/>
      <c r="N571" s="319"/>
      <c r="O571" s="319"/>
      <c r="P571" s="319"/>
      <c r="Q571" s="319"/>
    </row>
    <row r="572" spans="1:17" ht="13">
      <c r="A572" s="319"/>
      <c r="B572" s="319"/>
      <c r="C572" s="319"/>
      <c r="D572" s="319"/>
      <c r="E572" s="319"/>
      <c r="F572" s="319"/>
      <c r="G572" s="319"/>
      <c r="H572" s="319"/>
      <c r="I572" s="319"/>
      <c r="J572" s="319"/>
      <c r="K572" s="319"/>
      <c r="L572" s="319"/>
      <c r="M572" s="319"/>
      <c r="N572" s="319"/>
      <c r="O572" s="319"/>
      <c r="P572" s="319"/>
      <c r="Q572" s="319"/>
    </row>
    <row r="573" spans="1:17" ht="13">
      <c r="A573" s="319"/>
      <c r="B573" s="319"/>
      <c r="C573" s="319"/>
      <c r="D573" s="319"/>
      <c r="E573" s="319"/>
      <c r="F573" s="319"/>
      <c r="G573" s="319"/>
      <c r="H573" s="319"/>
      <c r="I573" s="319"/>
      <c r="J573" s="319"/>
      <c r="K573" s="319"/>
      <c r="L573" s="319"/>
      <c r="M573" s="319"/>
      <c r="N573" s="319"/>
      <c r="O573" s="319"/>
      <c r="P573" s="319"/>
      <c r="Q573" s="319"/>
    </row>
    <row r="574" spans="1:17" ht="13">
      <c r="A574" s="319"/>
      <c r="B574" s="319"/>
      <c r="C574" s="319"/>
      <c r="D574" s="319"/>
      <c r="E574" s="319"/>
      <c r="F574" s="319"/>
      <c r="G574" s="319"/>
      <c r="H574" s="319"/>
      <c r="I574" s="319"/>
      <c r="J574" s="319"/>
      <c r="K574" s="319"/>
      <c r="L574" s="319"/>
      <c r="M574" s="319"/>
      <c r="N574" s="319"/>
      <c r="O574" s="319"/>
      <c r="P574" s="319"/>
      <c r="Q574" s="319"/>
    </row>
    <row r="575" spans="1:17" ht="13">
      <c r="A575" s="319"/>
      <c r="B575" s="319"/>
      <c r="C575" s="319"/>
      <c r="D575" s="319"/>
      <c r="E575" s="319"/>
      <c r="F575" s="319"/>
      <c r="G575" s="319"/>
      <c r="H575" s="319"/>
      <c r="I575" s="319"/>
      <c r="J575" s="319"/>
      <c r="K575" s="319"/>
      <c r="L575" s="319"/>
      <c r="M575" s="319"/>
      <c r="N575" s="319"/>
      <c r="O575" s="319"/>
      <c r="P575" s="319"/>
      <c r="Q575" s="319"/>
    </row>
    <row r="576" spans="1:17" ht="13">
      <c r="A576" s="319"/>
      <c r="B576" s="319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</row>
    <row r="577" spans="1:17" ht="13">
      <c r="A577" s="319"/>
      <c r="B577" s="319"/>
      <c r="C577" s="319"/>
      <c r="D577" s="319"/>
      <c r="E577" s="319"/>
      <c r="F577" s="319"/>
      <c r="G577" s="319"/>
      <c r="H577" s="319"/>
      <c r="I577" s="319"/>
      <c r="J577" s="319"/>
      <c r="K577" s="319"/>
      <c r="L577" s="319"/>
      <c r="M577" s="319"/>
      <c r="N577" s="319"/>
      <c r="O577" s="319"/>
      <c r="P577" s="319"/>
      <c r="Q577" s="319"/>
    </row>
    <row r="578" spans="1:17" ht="13">
      <c r="A578" s="319"/>
      <c r="B578" s="319"/>
      <c r="C578" s="319"/>
      <c r="D578" s="319"/>
      <c r="E578" s="319"/>
      <c r="F578" s="319"/>
      <c r="G578" s="319"/>
      <c r="H578" s="319"/>
      <c r="I578" s="319"/>
      <c r="J578" s="319"/>
      <c r="K578" s="319"/>
      <c r="L578" s="319"/>
      <c r="M578" s="319"/>
      <c r="N578" s="319"/>
      <c r="O578" s="319"/>
      <c r="P578" s="319"/>
      <c r="Q578" s="319"/>
    </row>
    <row r="579" spans="1:17" ht="13">
      <c r="A579" s="319"/>
      <c r="B579" s="319"/>
      <c r="C579" s="319"/>
      <c r="D579" s="319"/>
      <c r="E579" s="319"/>
      <c r="F579" s="319"/>
      <c r="G579" s="319"/>
      <c r="H579" s="319"/>
      <c r="I579" s="319"/>
      <c r="J579" s="319"/>
      <c r="K579" s="319"/>
      <c r="L579" s="319"/>
      <c r="M579" s="319"/>
      <c r="N579" s="319"/>
      <c r="O579" s="319"/>
      <c r="P579" s="319"/>
      <c r="Q579" s="319"/>
    </row>
    <row r="580" spans="1:17" ht="13">
      <c r="A580" s="319"/>
      <c r="B580" s="319"/>
      <c r="C580" s="319"/>
      <c r="D580" s="319"/>
      <c r="E580" s="319"/>
      <c r="F580" s="319"/>
      <c r="G580" s="319"/>
      <c r="H580" s="319"/>
      <c r="I580" s="319"/>
      <c r="J580" s="319"/>
      <c r="K580" s="319"/>
      <c r="L580" s="319"/>
      <c r="M580" s="319"/>
      <c r="N580" s="319"/>
      <c r="O580" s="319"/>
      <c r="P580" s="319"/>
      <c r="Q580" s="319"/>
    </row>
    <row r="581" spans="1:17" ht="13">
      <c r="A581" s="319"/>
      <c r="B581" s="319"/>
      <c r="C581" s="319"/>
      <c r="D581" s="319"/>
      <c r="E581" s="319"/>
      <c r="F581" s="319"/>
      <c r="G581" s="319"/>
      <c r="H581" s="319"/>
      <c r="I581" s="319"/>
      <c r="J581" s="319"/>
      <c r="K581" s="319"/>
      <c r="L581" s="319"/>
      <c r="M581" s="319"/>
      <c r="N581" s="319"/>
      <c r="O581" s="319"/>
      <c r="P581" s="319"/>
      <c r="Q581" s="319"/>
    </row>
    <row r="582" spans="1:17" ht="13">
      <c r="A582" s="319"/>
      <c r="B582" s="319"/>
      <c r="C582" s="319"/>
      <c r="D582" s="319"/>
      <c r="E582" s="319"/>
      <c r="F582" s="319"/>
      <c r="G582" s="319"/>
      <c r="H582" s="319"/>
      <c r="I582" s="319"/>
      <c r="J582" s="319"/>
      <c r="K582" s="319"/>
      <c r="L582" s="319"/>
      <c r="M582" s="319"/>
      <c r="N582" s="319"/>
      <c r="O582" s="319"/>
      <c r="P582" s="319"/>
      <c r="Q582" s="319"/>
    </row>
    <row r="583" spans="1:17" ht="13">
      <c r="A583" s="319"/>
      <c r="B583" s="319"/>
      <c r="C583" s="319"/>
      <c r="D583" s="319"/>
      <c r="E583" s="319"/>
      <c r="F583" s="319"/>
      <c r="G583" s="319"/>
      <c r="H583" s="319"/>
      <c r="I583" s="319"/>
      <c r="J583" s="319"/>
      <c r="K583" s="319"/>
      <c r="L583" s="319"/>
      <c r="M583" s="319"/>
      <c r="N583" s="319"/>
      <c r="O583" s="319"/>
      <c r="P583" s="319"/>
      <c r="Q583" s="319"/>
    </row>
    <row r="584" spans="1:17" ht="13">
      <c r="A584" s="319"/>
      <c r="B584" s="319"/>
      <c r="C584" s="319"/>
      <c r="D584" s="319"/>
      <c r="E584" s="319"/>
      <c r="F584" s="319"/>
      <c r="G584" s="319"/>
      <c r="H584" s="319"/>
      <c r="I584" s="319"/>
      <c r="J584" s="319"/>
      <c r="K584" s="319"/>
      <c r="L584" s="319"/>
      <c r="M584" s="319"/>
      <c r="N584" s="319"/>
      <c r="O584" s="319"/>
      <c r="P584" s="319"/>
      <c r="Q584" s="319"/>
    </row>
    <row r="585" spans="1:17" ht="13">
      <c r="A585" s="319"/>
      <c r="B585" s="319"/>
      <c r="C585" s="319"/>
      <c r="D585" s="319"/>
      <c r="E585" s="319"/>
      <c r="F585" s="319"/>
      <c r="G585" s="319"/>
      <c r="H585" s="319"/>
      <c r="I585" s="319"/>
      <c r="J585" s="319"/>
      <c r="K585" s="319"/>
      <c r="L585" s="319"/>
      <c r="M585" s="319"/>
      <c r="N585" s="319"/>
      <c r="O585" s="319"/>
      <c r="P585" s="319"/>
      <c r="Q585" s="319"/>
    </row>
    <row r="586" spans="1:17" ht="13">
      <c r="A586" s="319"/>
      <c r="B586" s="319"/>
      <c r="C586" s="319"/>
      <c r="D586" s="319"/>
      <c r="E586" s="319"/>
      <c r="F586" s="319"/>
      <c r="G586" s="319"/>
      <c r="H586" s="319"/>
      <c r="I586" s="319"/>
      <c r="J586" s="319"/>
      <c r="K586" s="319"/>
      <c r="L586" s="319"/>
      <c r="M586" s="319"/>
      <c r="N586" s="319"/>
      <c r="O586" s="319"/>
      <c r="P586" s="319"/>
      <c r="Q586" s="319"/>
    </row>
    <row r="587" spans="1:17" ht="13">
      <c r="A587" s="319"/>
      <c r="B587" s="319"/>
      <c r="C587" s="319"/>
      <c r="D587" s="319"/>
      <c r="E587" s="319"/>
      <c r="F587" s="319"/>
      <c r="G587" s="319"/>
      <c r="H587" s="319"/>
      <c r="I587" s="319"/>
      <c r="J587" s="319"/>
      <c r="K587" s="319"/>
      <c r="L587" s="319"/>
      <c r="M587" s="319"/>
      <c r="N587" s="319"/>
      <c r="O587" s="319"/>
      <c r="P587" s="319"/>
      <c r="Q587" s="319"/>
    </row>
    <row r="588" spans="1:17" ht="13">
      <c r="A588" s="319"/>
      <c r="B588" s="319"/>
      <c r="C588" s="319"/>
      <c r="D588" s="319"/>
      <c r="E588" s="319"/>
      <c r="F588" s="319"/>
      <c r="G588" s="319"/>
      <c r="H588" s="319"/>
      <c r="I588" s="319"/>
      <c r="J588" s="319"/>
      <c r="K588" s="319"/>
      <c r="L588" s="319"/>
      <c r="M588" s="319"/>
      <c r="N588" s="319"/>
      <c r="O588" s="319"/>
      <c r="P588" s="319"/>
      <c r="Q588" s="319"/>
    </row>
    <row r="589" spans="1:17" ht="13">
      <c r="A589" s="319"/>
      <c r="B589" s="319"/>
      <c r="C589" s="319"/>
      <c r="D589" s="319"/>
      <c r="E589" s="319"/>
      <c r="F589" s="319"/>
      <c r="G589" s="319"/>
      <c r="H589" s="319"/>
      <c r="I589" s="319"/>
      <c r="J589" s="319"/>
      <c r="K589" s="319"/>
      <c r="L589" s="319"/>
      <c r="M589" s="319"/>
      <c r="N589" s="319"/>
      <c r="O589" s="319"/>
      <c r="P589" s="319"/>
      <c r="Q589" s="319"/>
    </row>
    <row r="590" spans="1:17" ht="13">
      <c r="A590" s="319"/>
      <c r="B590" s="319"/>
      <c r="C590" s="319"/>
      <c r="D590" s="319"/>
      <c r="E590" s="319"/>
      <c r="F590" s="319"/>
      <c r="G590" s="319"/>
      <c r="H590" s="319"/>
      <c r="I590" s="319"/>
      <c r="J590" s="319"/>
      <c r="K590" s="319"/>
      <c r="L590" s="319"/>
      <c r="M590" s="319"/>
      <c r="N590" s="319"/>
      <c r="O590" s="319"/>
      <c r="P590" s="319"/>
      <c r="Q590" s="319"/>
    </row>
    <row r="591" spans="1:17" ht="13">
      <c r="A591" s="319"/>
      <c r="B591" s="319"/>
      <c r="C591" s="319"/>
      <c r="D591" s="319"/>
      <c r="E591" s="319"/>
      <c r="F591" s="319"/>
      <c r="G591" s="319"/>
      <c r="H591" s="319"/>
      <c r="I591" s="319"/>
      <c r="J591" s="319"/>
      <c r="K591" s="319"/>
      <c r="L591" s="319"/>
      <c r="M591" s="319"/>
      <c r="N591" s="319"/>
      <c r="O591" s="319"/>
      <c r="P591" s="319"/>
      <c r="Q591" s="319"/>
    </row>
    <row r="592" spans="1:17" ht="13">
      <c r="A592" s="319"/>
      <c r="B592" s="319"/>
      <c r="C592" s="319"/>
      <c r="D592" s="319"/>
      <c r="E592" s="319"/>
      <c r="F592" s="319"/>
      <c r="G592" s="319"/>
      <c r="H592" s="319"/>
      <c r="I592" s="319"/>
      <c r="J592" s="319"/>
      <c r="K592" s="319"/>
      <c r="L592" s="319"/>
      <c r="M592" s="319"/>
      <c r="N592" s="319"/>
      <c r="O592" s="319"/>
      <c r="P592" s="319"/>
      <c r="Q592" s="319"/>
    </row>
    <row r="593" spans="1:17" ht="13">
      <c r="A593" s="319"/>
      <c r="B593" s="319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</row>
    <row r="594" spans="1:17" ht="13">
      <c r="A594" s="319"/>
      <c r="B594" s="319"/>
      <c r="C594" s="319"/>
      <c r="D594" s="319"/>
      <c r="E594" s="319"/>
      <c r="F594" s="319"/>
      <c r="G594" s="319"/>
      <c r="H594" s="319"/>
      <c r="I594" s="319"/>
      <c r="J594" s="319"/>
      <c r="K594" s="319"/>
      <c r="L594" s="319"/>
      <c r="M594" s="319"/>
      <c r="N594" s="319"/>
      <c r="O594" s="319"/>
      <c r="P594" s="319"/>
      <c r="Q594" s="319"/>
    </row>
    <row r="595" spans="1:17" ht="13">
      <c r="A595" s="319"/>
      <c r="B595" s="319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</row>
    <row r="596" spans="1:17" ht="13">
      <c r="A596" s="319"/>
      <c r="B596" s="319"/>
      <c r="C596" s="319"/>
      <c r="D596" s="319"/>
      <c r="E596" s="319"/>
      <c r="F596" s="319"/>
      <c r="G596" s="319"/>
      <c r="H596" s="319"/>
      <c r="I596" s="319"/>
      <c r="J596" s="319"/>
      <c r="K596" s="319"/>
      <c r="L596" s="319"/>
      <c r="M596" s="319"/>
      <c r="N596" s="319"/>
      <c r="O596" s="319"/>
      <c r="P596" s="319"/>
      <c r="Q596" s="319"/>
    </row>
    <row r="597" spans="1:17" ht="13">
      <c r="A597" s="319"/>
      <c r="B597" s="319"/>
      <c r="C597" s="319"/>
      <c r="D597" s="319"/>
      <c r="E597" s="319"/>
      <c r="F597" s="319"/>
      <c r="G597" s="319"/>
      <c r="H597" s="319"/>
      <c r="I597" s="319"/>
      <c r="J597" s="319"/>
      <c r="K597" s="319"/>
      <c r="L597" s="319"/>
      <c r="M597" s="319"/>
      <c r="N597" s="319"/>
      <c r="O597" s="319"/>
      <c r="P597" s="319"/>
      <c r="Q597" s="319"/>
    </row>
    <row r="598" spans="1:17" ht="13">
      <c r="A598" s="319"/>
      <c r="B598" s="319"/>
      <c r="C598" s="319"/>
      <c r="D598" s="319"/>
      <c r="E598" s="319"/>
      <c r="F598" s="319"/>
      <c r="G598" s="319"/>
      <c r="H598" s="319"/>
      <c r="I598" s="319"/>
      <c r="J598" s="319"/>
      <c r="K598" s="319"/>
      <c r="L598" s="319"/>
      <c r="M598" s="319"/>
      <c r="N598" s="319"/>
      <c r="O598" s="319"/>
      <c r="P598" s="319"/>
      <c r="Q598" s="319"/>
    </row>
    <row r="599" spans="1:17" ht="13">
      <c r="A599" s="319"/>
      <c r="B599" s="319"/>
      <c r="C599" s="319"/>
      <c r="D599" s="319"/>
      <c r="E599" s="319"/>
      <c r="F599" s="319"/>
      <c r="G599" s="319"/>
      <c r="H599" s="319"/>
      <c r="I599" s="319"/>
      <c r="J599" s="319"/>
      <c r="K599" s="319"/>
      <c r="L599" s="319"/>
      <c r="M599" s="319"/>
      <c r="N599" s="319"/>
      <c r="O599" s="319"/>
      <c r="P599" s="319"/>
      <c r="Q599" s="319"/>
    </row>
    <row r="600" spans="1:17" ht="13">
      <c r="A600" s="319"/>
      <c r="B600" s="319"/>
      <c r="C600" s="319"/>
      <c r="D600" s="319"/>
      <c r="E600" s="319"/>
      <c r="F600" s="319"/>
      <c r="G600" s="319"/>
      <c r="H600" s="319"/>
      <c r="I600" s="319"/>
      <c r="J600" s="319"/>
      <c r="K600" s="319"/>
      <c r="L600" s="319"/>
      <c r="M600" s="319"/>
      <c r="N600" s="319"/>
      <c r="O600" s="319"/>
      <c r="P600" s="319"/>
      <c r="Q600" s="319"/>
    </row>
    <row r="601" spans="1:17" ht="13">
      <c r="A601" s="319"/>
      <c r="B601" s="319"/>
      <c r="C601" s="319"/>
      <c r="D601" s="319"/>
      <c r="E601" s="319"/>
      <c r="F601" s="319"/>
      <c r="G601" s="319"/>
      <c r="H601" s="319"/>
      <c r="I601" s="319"/>
      <c r="J601" s="319"/>
      <c r="K601" s="319"/>
      <c r="L601" s="319"/>
      <c r="M601" s="319"/>
      <c r="N601" s="319"/>
      <c r="O601" s="319"/>
      <c r="P601" s="319"/>
      <c r="Q601" s="319"/>
    </row>
    <row r="602" spans="1:17" ht="13">
      <c r="A602" s="319"/>
      <c r="B602" s="319"/>
      <c r="C602" s="319"/>
      <c r="D602" s="319"/>
      <c r="E602" s="319"/>
      <c r="F602" s="319"/>
      <c r="G602" s="319"/>
      <c r="H602" s="319"/>
      <c r="I602" s="319"/>
      <c r="J602" s="319"/>
      <c r="K602" s="319"/>
      <c r="L602" s="319"/>
      <c r="M602" s="319"/>
      <c r="N602" s="319"/>
      <c r="O602" s="319"/>
      <c r="P602" s="319"/>
      <c r="Q602" s="319"/>
    </row>
    <row r="603" spans="1:17" ht="13">
      <c r="A603" s="319"/>
      <c r="B603" s="319"/>
      <c r="C603" s="319"/>
      <c r="D603" s="319"/>
      <c r="E603" s="319"/>
      <c r="F603" s="319"/>
      <c r="G603" s="319"/>
      <c r="H603" s="319"/>
      <c r="I603" s="319"/>
      <c r="J603" s="319"/>
      <c r="K603" s="319"/>
      <c r="L603" s="319"/>
      <c r="M603" s="319"/>
      <c r="N603" s="319"/>
      <c r="O603" s="319"/>
      <c r="P603" s="319"/>
      <c r="Q603" s="319"/>
    </row>
    <row r="604" spans="1:17" ht="13">
      <c r="A604" s="319"/>
      <c r="B604" s="319"/>
      <c r="C604" s="319"/>
      <c r="D604" s="319"/>
      <c r="E604" s="319"/>
      <c r="F604" s="319"/>
      <c r="G604" s="319"/>
      <c r="H604" s="319"/>
      <c r="I604" s="319"/>
      <c r="J604" s="319"/>
      <c r="K604" s="319"/>
      <c r="L604" s="319"/>
      <c r="M604" s="319"/>
      <c r="N604" s="319"/>
      <c r="O604" s="319"/>
      <c r="P604" s="319"/>
      <c r="Q604" s="319"/>
    </row>
    <row r="605" spans="1:17" ht="13">
      <c r="A605" s="319"/>
      <c r="B605" s="319"/>
      <c r="C605" s="319"/>
      <c r="D605" s="319"/>
      <c r="E605" s="319"/>
      <c r="F605" s="319"/>
      <c r="G605" s="319"/>
      <c r="H605" s="319"/>
      <c r="I605" s="319"/>
      <c r="J605" s="319"/>
      <c r="K605" s="319"/>
      <c r="L605" s="319"/>
      <c r="M605" s="319"/>
      <c r="N605" s="319"/>
      <c r="O605" s="319"/>
      <c r="P605" s="319"/>
      <c r="Q605" s="319"/>
    </row>
    <row r="606" spans="1:17" ht="13">
      <c r="A606" s="319"/>
      <c r="B606" s="319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</row>
    <row r="607" spans="1:17" ht="13">
      <c r="A607" s="319"/>
      <c r="B607" s="319"/>
      <c r="C607" s="319"/>
      <c r="D607" s="319"/>
      <c r="E607" s="319"/>
      <c r="F607" s="319"/>
      <c r="G607" s="319"/>
      <c r="H607" s="319"/>
      <c r="I607" s="319"/>
      <c r="J607" s="319"/>
      <c r="K607" s="319"/>
      <c r="L607" s="319"/>
      <c r="M607" s="319"/>
      <c r="N607" s="319"/>
      <c r="O607" s="319"/>
      <c r="P607" s="319"/>
      <c r="Q607" s="319"/>
    </row>
    <row r="608" spans="1:17" ht="13">
      <c r="A608" s="319"/>
      <c r="B608" s="319"/>
      <c r="C608" s="319"/>
      <c r="D608" s="319"/>
      <c r="E608" s="319"/>
      <c r="F608" s="319"/>
      <c r="G608" s="319"/>
      <c r="H608" s="319"/>
      <c r="I608" s="319"/>
      <c r="J608" s="319"/>
      <c r="K608" s="319"/>
      <c r="L608" s="319"/>
      <c r="M608" s="319"/>
      <c r="N608" s="319"/>
      <c r="O608" s="319"/>
      <c r="P608" s="319"/>
      <c r="Q608" s="319"/>
    </row>
    <row r="609" spans="1:17" ht="13">
      <c r="A609" s="319"/>
      <c r="B609" s="319"/>
      <c r="C609" s="319"/>
      <c r="D609" s="319"/>
      <c r="E609" s="319"/>
      <c r="F609" s="319"/>
      <c r="G609" s="319"/>
      <c r="H609" s="319"/>
      <c r="I609" s="319"/>
      <c r="J609" s="319"/>
      <c r="K609" s="319"/>
      <c r="L609" s="319"/>
      <c r="M609" s="319"/>
      <c r="N609" s="319"/>
      <c r="O609" s="319"/>
      <c r="P609" s="319"/>
      <c r="Q609" s="319"/>
    </row>
    <row r="610" spans="1:17" ht="13">
      <c r="A610" s="319"/>
      <c r="B610" s="319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</row>
    <row r="611" spans="1:17" ht="13">
      <c r="A611" s="319"/>
      <c r="B611" s="319"/>
      <c r="C611" s="319"/>
      <c r="D611" s="319"/>
      <c r="E611" s="319"/>
      <c r="F611" s="319"/>
      <c r="G611" s="319"/>
      <c r="H611" s="319"/>
      <c r="I611" s="319"/>
      <c r="J611" s="319"/>
      <c r="K611" s="319"/>
      <c r="L611" s="319"/>
      <c r="M611" s="319"/>
      <c r="N611" s="319"/>
      <c r="O611" s="319"/>
      <c r="P611" s="319"/>
      <c r="Q611" s="319"/>
    </row>
    <row r="612" spans="1:17" ht="13">
      <c r="A612" s="319"/>
      <c r="B612" s="319"/>
      <c r="C612" s="319"/>
      <c r="D612" s="319"/>
      <c r="E612" s="319"/>
      <c r="F612" s="319"/>
      <c r="G612" s="319"/>
      <c r="H612" s="319"/>
      <c r="I612" s="319"/>
      <c r="J612" s="319"/>
      <c r="K612" s="319"/>
      <c r="L612" s="319"/>
      <c r="M612" s="319"/>
      <c r="N612" s="319"/>
      <c r="O612" s="319"/>
      <c r="P612" s="319"/>
      <c r="Q612" s="319"/>
    </row>
    <row r="613" spans="1:17" ht="13">
      <c r="A613" s="319"/>
      <c r="B613" s="319"/>
      <c r="C613" s="319"/>
      <c r="D613" s="319"/>
      <c r="E613" s="319"/>
      <c r="F613" s="319"/>
      <c r="G613" s="319"/>
      <c r="H613" s="319"/>
      <c r="I613" s="319"/>
      <c r="J613" s="319"/>
      <c r="K613" s="319"/>
      <c r="L613" s="319"/>
      <c r="M613" s="319"/>
      <c r="N613" s="319"/>
      <c r="O613" s="319"/>
      <c r="P613" s="319"/>
      <c r="Q613" s="319"/>
    </row>
    <row r="614" spans="1:17" ht="13">
      <c r="A614" s="319"/>
      <c r="B614" s="319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</row>
    <row r="615" spans="1:17" ht="13">
      <c r="A615" s="319"/>
      <c r="B615" s="319"/>
      <c r="C615" s="319"/>
      <c r="D615" s="319"/>
      <c r="E615" s="319"/>
      <c r="F615" s="319"/>
      <c r="G615" s="319"/>
      <c r="H615" s="319"/>
      <c r="I615" s="319"/>
      <c r="J615" s="319"/>
      <c r="K615" s="319"/>
      <c r="L615" s="319"/>
      <c r="M615" s="319"/>
      <c r="N615" s="319"/>
      <c r="O615" s="319"/>
      <c r="P615" s="319"/>
      <c r="Q615" s="319"/>
    </row>
    <row r="616" spans="1:17" ht="13">
      <c r="A616" s="319"/>
      <c r="B616" s="319"/>
      <c r="C616" s="319"/>
      <c r="D616" s="319"/>
      <c r="E616" s="319"/>
      <c r="F616" s="319"/>
      <c r="G616" s="319"/>
      <c r="H616" s="319"/>
      <c r="I616" s="319"/>
      <c r="J616" s="319"/>
      <c r="K616" s="319"/>
      <c r="L616" s="319"/>
      <c r="M616" s="319"/>
      <c r="N616" s="319"/>
      <c r="O616" s="319"/>
      <c r="P616" s="319"/>
      <c r="Q616" s="319"/>
    </row>
    <row r="617" spans="1:17" ht="13">
      <c r="A617" s="319"/>
      <c r="B617" s="319"/>
      <c r="C617" s="319"/>
      <c r="D617" s="319"/>
      <c r="E617" s="319"/>
      <c r="F617" s="319"/>
      <c r="G617" s="319"/>
      <c r="H617" s="319"/>
      <c r="I617" s="319"/>
      <c r="J617" s="319"/>
      <c r="K617" s="319"/>
      <c r="L617" s="319"/>
      <c r="M617" s="319"/>
      <c r="N617" s="319"/>
      <c r="O617" s="319"/>
      <c r="P617" s="319"/>
      <c r="Q617" s="319"/>
    </row>
    <row r="618" spans="1:17" ht="13">
      <c r="A618" s="319"/>
      <c r="B618" s="319"/>
      <c r="C618" s="319"/>
      <c r="D618" s="319"/>
      <c r="E618" s="319"/>
      <c r="F618" s="319"/>
      <c r="G618" s="319"/>
      <c r="H618" s="319"/>
      <c r="I618" s="319"/>
      <c r="J618" s="319"/>
      <c r="K618" s="319"/>
      <c r="L618" s="319"/>
      <c r="M618" s="319"/>
      <c r="N618" s="319"/>
      <c r="O618" s="319"/>
      <c r="P618" s="319"/>
      <c r="Q618" s="319"/>
    </row>
    <row r="619" spans="1:17" ht="13">
      <c r="A619" s="319"/>
      <c r="B619" s="319"/>
      <c r="C619" s="319"/>
      <c r="D619" s="319"/>
      <c r="E619" s="319"/>
      <c r="F619" s="319"/>
      <c r="G619" s="319"/>
      <c r="H619" s="319"/>
      <c r="I619" s="319"/>
      <c r="J619" s="319"/>
      <c r="K619" s="319"/>
      <c r="L619" s="319"/>
      <c r="M619" s="319"/>
      <c r="N619" s="319"/>
      <c r="O619" s="319"/>
      <c r="P619" s="319"/>
      <c r="Q619" s="319"/>
    </row>
    <row r="620" spans="1:17" ht="13">
      <c r="A620" s="319"/>
      <c r="B620" s="319"/>
      <c r="C620" s="319"/>
      <c r="D620" s="319"/>
      <c r="E620" s="319"/>
      <c r="F620" s="319"/>
      <c r="G620" s="319"/>
      <c r="H620" s="319"/>
      <c r="I620" s="319"/>
      <c r="J620" s="319"/>
      <c r="K620" s="319"/>
      <c r="L620" s="319"/>
      <c r="M620" s="319"/>
      <c r="N620" s="319"/>
      <c r="O620" s="319"/>
      <c r="P620" s="319"/>
      <c r="Q620" s="319"/>
    </row>
    <row r="621" spans="1:17" ht="13">
      <c r="A621" s="319"/>
      <c r="B621" s="319"/>
      <c r="C621" s="319"/>
      <c r="D621" s="319"/>
      <c r="E621" s="319"/>
      <c r="F621" s="319"/>
      <c r="G621" s="319"/>
      <c r="H621" s="319"/>
      <c r="I621" s="319"/>
      <c r="J621" s="319"/>
      <c r="K621" s="319"/>
      <c r="L621" s="319"/>
      <c r="M621" s="319"/>
      <c r="N621" s="319"/>
      <c r="O621" s="319"/>
      <c r="P621" s="319"/>
      <c r="Q621" s="319"/>
    </row>
    <row r="622" spans="1:17" ht="13">
      <c r="A622" s="319"/>
      <c r="B622" s="319"/>
      <c r="C622" s="319"/>
      <c r="D622" s="319"/>
      <c r="E622" s="319"/>
      <c r="F622" s="319"/>
      <c r="G622" s="319"/>
      <c r="H622" s="319"/>
      <c r="I622" s="319"/>
      <c r="J622" s="319"/>
      <c r="K622" s="319"/>
      <c r="L622" s="319"/>
      <c r="M622" s="319"/>
      <c r="N622" s="319"/>
      <c r="O622" s="319"/>
      <c r="P622" s="319"/>
      <c r="Q622" s="319"/>
    </row>
    <row r="623" spans="1:17" ht="13">
      <c r="A623" s="319"/>
      <c r="B623" s="319"/>
      <c r="C623" s="319"/>
      <c r="D623" s="319"/>
      <c r="E623" s="319"/>
      <c r="F623" s="319"/>
      <c r="G623" s="319"/>
      <c r="H623" s="319"/>
      <c r="I623" s="319"/>
      <c r="J623" s="319"/>
      <c r="K623" s="319"/>
      <c r="L623" s="319"/>
      <c r="M623" s="319"/>
      <c r="N623" s="319"/>
      <c r="O623" s="319"/>
      <c r="P623" s="319"/>
      <c r="Q623" s="319"/>
    </row>
    <row r="624" spans="1:17" ht="13">
      <c r="A624" s="319"/>
      <c r="B624" s="319"/>
      <c r="C624" s="319"/>
      <c r="D624" s="319"/>
      <c r="E624" s="319"/>
      <c r="F624" s="319"/>
      <c r="G624" s="319"/>
      <c r="H624" s="319"/>
      <c r="I624" s="319"/>
      <c r="J624" s="319"/>
      <c r="K624" s="319"/>
      <c r="L624" s="319"/>
      <c r="M624" s="319"/>
      <c r="N624" s="319"/>
      <c r="O624" s="319"/>
      <c r="P624" s="319"/>
      <c r="Q624" s="319"/>
    </row>
    <row r="625" spans="1:17" ht="13">
      <c r="A625" s="319"/>
      <c r="B625" s="319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</row>
    <row r="626" spans="1:17" ht="13">
      <c r="A626" s="319"/>
      <c r="B626" s="319"/>
      <c r="C626" s="319"/>
      <c r="D626" s="319"/>
      <c r="E626" s="319"/>
      <c r="F626" s="319"/>
      <c r="G626" s="319"/>
      <c r="H626" s="319"/>
      <c r="I626" s="319"/>
      <c r="J626" s="319"/>
      <c r="K626" s="319"/>
      <c r="L626" s="319"/>
      <c r="M626" s="319"/>
      <c r="N626" s="319"/>
      <c r="O626" s="319"/>
      <c r="P626" s="319"/>
      <c r="Q626" s="319"/>
    </row>
    <row r="627" spans="1:17" ht="13">
      <c r="A627" s="319"/>
      <c r="B627" s="319"/>
      <c r="C627" s="319"/>
      <c r="D627" s="319"/>
      <c r="E627" s="319"/>
      <c r="F627" s="319"/>
      <c r="G627" s="319"/>
      <c r="H627" s="319"/>
      <c r="I627" s="319"/>
      <c r="J627" s="319"/>
      <c r="K627" s="319"/>
      <c r="L627" s="319"/>
      <c r="M627" s="319"/>
      <c r="N627" s="319"/>
      <c r="O627" s="319"/>
      <c r="P627" s="319"/>
      <c r="Q627" s="319"/>
    </row>
    <row r="628" spans="1:17" ht="13">
      <c r="A628" s="319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</row>
    <row r="629" spans="1:17" ht="13">
      <c r="A629" s="319"/>
      <c r="B629" s="319"/>
      <c r="C629" s="319"/>
      <c r="D629" s="319"/>
      <c r="E629" s="319"/>
      <c r="F629" s="319"/>
      <c r="G629" s="319"/>
      <c r="H629" s="319"/>
      <c r="I629" s="319"/>
      <c r="J629" s="319"/>
      <c r="K629" s="319"/>
      <c r="L629" s="319"/>
      <c r="M629" s="319"/>
      <c r="N629" s="319"/>
      <c r="O629" s="319"/>
      <c r="P629" s="319"/>
      <c r="Q629" s="319"/>
    </row>
    <row r="630" spans="1:17" ht="13">
      <c r="A630" s="319"/>
      <c r="B630" s="319"/>
      <c r="C630" s="319"/>
      <c r="D630" s="319"/>
      <c r="E630" s="319"/>
      <c r="F630" s="319"/>
      <c r="G630" s="319"/>
      <c r="H630" s="319"/>
      <c r="I630" s="319"/>
      <c r="J630" s="319"/>
      <c r="K630" s="319"/>
      <c r="L630" s="319"/>
      <c r="M630" s="319"/>
      <c r="N630" s="319"/>
      <c r="O630" s="319"/>
      <c r="P630" s="319"/>
      <c r="Q630" s="319"/>
    </row>
    <row r="631" spans="1:17" ht="13">
      <c r="A631" s="319"/>
      <c r="B631" s="319"/>
      <c r="C631" s="319"/>
      <c r="D631" s="319"/>
      <c r="E631" s="319"/>
      <c r="F631" s="319"/>
      <c r="G631" s="319"/>
      <c r="H631" s="319"/>
      <c r="I631" s="319"/>
      <c r="J631" s="319"/>
      <c r="K631" s="319"/>
      <c r="L631" s="319"/>
      <c r="M631" s="319"/>
      <c r="N631" s="319"/>
      <c r="O631" s="319"/>
      <c r="P631" s="319"/>
      <c r="Q631" s="319"/>
    </row>
    <row r="632" spans="1:17" ht="13">
      <c r="A632" s="319"/>
      <c r="B632" s="319"/>
      <c r="C632" s="319"/>
      <c r="D632" s="319"/>
      <c r="E632" s="319"/>
      <c r="F632" s="319"/>
      <c r="G632" s="319"/>
      <c r="H632" s="319"/>
      <c r="I632" s="319"/>
      <c r="J632" s="319"/>
      <c r="K632" s="319"/>
      <c r="L632" s="319"/>
      <c r="M632" s="319"/>
      <c r="N632" s="319"/>
      <c r="O632" s="319"/>
      <c r="P632" s="319"/>
      <c r="Q632" s="319"/>
    </row>
    <row r="633" spans="1:17" ht="13">
      <c r="A633" s="319"/>
      <c r="B633" s="319"/>
      <c r="C633" s="319"/>
      <c r="D633" s="319"/>
      <c r="E633" s="319"/>
      <c r="F633" s="319"/>
      <c r="G633" s="319"/>
      <c r="H633" s="319"/>
      <c r="I633" s="319"/>
      <c r="J633" s="319"/>
      <c r="K633" s="319"/>
      <c r="L633" s="319"/>
      <c r="M633" s="319"/>
      <c r="N633" s="319"/>
      <c r="O633" s="319"/>
      <c r="P633" s="319"/>
      <c r="Q633" s="319"/>
    </row>
    <row r="634" spans="1:17" ht="13">
      <c r="A634" s="319"/>
      <c r="B634" s="319"/>
      <c r="C634" s="319"/>
      <c r="D634" s="319"/>
      <c r="E634" s="319"/>
      <c r="F634" s="319"/>
      <c r="G634" s="319"/>
      <c r="H634" s="319"/>
      <c r="I634" s="319"/>
      <c r="J634" s="319"/>
      <c r="K634" s="319"/>
      <c r="L634" s="319"/>
      <c r="M634" s="319"/>
      <c r="N634" s="319"/>
      <c r="O634" s="319"/>
      <c r="P634" s="319"/>
      <c r="Q634" s="319"/>
    </row>
    <row r="635" spans="1:17" ht="13">
      <c r="A635" s="319"/>
      <c r="B635" s="319"/>
      <c r="C635" s="319"/>
      <c r="D635" s="319"/>
      <c r="E635" s="319"/>
      <c r="F635" s="319"/>
      <c r="G635" s="319"/>
      <c r="H635" s="319"/>
      <c r="I635" s="319"/>
      <c r="J635" s="319"/>
      <c r="K635" s="319"/>
      <c r="L635" s="319"/>
      <c r="M635" s="319"/>
      <c r="N635" s="319"/>
      <c r="O635" s="319"/>
      <c r="P635" s="319"/>
      <c r="Q635" s="319"/>
    </row>
    <row r="636" spans="1:17" ht="13">
      <c r="A636" s="319"/>
      <c r="B636" s="319"/>
      <c r="C636" s="319"/>
      <c r="D636" s="319"/>
      <c r="E636" s="319"/>
      <c r="F636" s="319"/>
      <c r="G636" s="319"/>
      <c r="H636" s="319"/>
      <c r="I636" s="319"/>
      <c r="J636" s="319"/>
      <c r="K636" s="319"/>
      <c r="L636" s="319"/>
      <c r="M636" s="319"/>
      <c r="N636" s="319"/>
      <c r="O636" s="319"/>
      <c r="P636" s="319"/>
      <c r="Q636" s="319"/>
    </row>
    <row r="637" spans="1:17" ht="13">
      <c r="A637" s="319"/>
      <c r="B637" s="319"/>
      <c r="C637" s="319"/>
      <c r="D637" s="319"/>
      <c r="E637" s="319"/>
      <c r="F637" s="319"/>
      <c r="G637" s="319"/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</row>
    <row r="638" spans="1:17" ht="13">
      <c r="A638" s="319"/>
      <c r="B638" s="319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</row>
    <row r="639" spans="1:17" ht="13">
      <c r="A639" s="319"/>
      <c r="B639" s="319"/>
      <c r="C639" s="319"/>
      <c r="D639" s="319"/>
      <c r="E639" s="319"/>
      <c r="F639" s="319"/>
      <c r="G639" s="319"/>
      <c r="H639" s="319"/>
      <c r="I639" s="319"/>
      <c r="J639" s="319"/>
      <c r="K639" s="319"/>
      <c r="L639" s="319"/>
      <c r="M639" s="319"/>
      <c r="N639" s="319"/>
      <c r="O639" s="319"/>
      <c r="P639" s="319"/>
      <c r="Q639" s="319"/>
    </row>
    <row r="640" spans="1:17" ht="13">
      <c r="A640" s="319"/>
      <c r="B640" s="319"/>
      <c r="C640" s="319"/>
      <c r="D640" s="319"/>
      <c r="E640" s="319"/>
      <c r="F640" s="319"/>
      <c r="G640" s="319"/>
      <c r="H640" s="319"/>
      <c r="I640" s="319"/>
      <c r="J640" s="319"/>
      <c r="K640" s="319"/>
      <c r="L640" s="319"/>
      <c r="M640" s="319"/>
      <c r="N640" s="319"/>
      <c r="O640" s="319"/>
      <c r="P640" s="319"/>
      <c r="Q640" s="319"/>
    </row>
    <row r="641" spans="1:17" ht="13">
      <c r="A641" s="319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</row>
    <row r="642" spans="1:17" ht="13">
      <c r="A642" s="319"/>
      <c r="B642" s="319"/>
      <c r="C642" s="319"/>
      <c r="D642" s="319"/>
      <c r="E642" s="319"/>
      <c r="F642" s="319"/>
      <c r="G642" s="319"/>
      <c r="H642" s="319"/>
      <c r="I642" s="319"/>
      <c r="J642" s="319"/>
      <c r="K642" s="319"/>
      <c r="L642" s="319"/>
      <c r="M642" s="319"/>
      <c r="N642" s="319"/>
      <c r="O642" s="319"/>
      <c r="P642" s="319"/>
      <c r="Q642" s="319"/>
    </row>
    <row r="643" spans="1:17" ht="13">
      <c r="A643" s="319"/>
      <c r="B643" s="319"/>
      <c r="C643" s="319"/>
      <c r="D643" s="319"/>
      <c r="E643" s="319"/>
      <c r="F643" s="319"/>
      <c r="G643" s="319"/>
      <c r="H643" s="319"/>
      <c r="I643" s="319"/>
      <c r="J643" s="319"/>
      <c r="K643" s="319"/>
      <c r="L643" s="319"/>
      <c r="M643" s="319"/>
      <c r="N643" s="319"/>
      <c r="O643" s="319"/>
      <c r="P643" s="319"/>
      <c r="Q643" s="319"/>
    </row>
    <row r="644" spans="1:17" ht="13">
      <c r="A644" s="319"/>
      <c r="B644" s="319"/>
      <c r="C644" s="319"/>
      <c r="D644" s="319"/>
      <c r="E644" s="319"/>
      <c r="F644" s="319"/>
      <c r="G644" s="319"/>
      <c r="H644" s="319"/>
      <c r="I644" s="319"/>
      <c r="J644" s="319"/>
      <c r="K644" s="319"/>
      <c r="L644" s="319"/>
      <c r="M644" s="319"/>
      <c r="N644" s="319"/>
      <c r="O644" s="319"/>
      <c r="P644" s="319"/>
      <c r="Q644" s="319"/>
    </row>
    <row r="645" spans="1:17" ht="13">
      <c r="A645" s="319"/>
      <c r="B645" s="319"/>
      <c r="C645" s="319"/>
      <c r="D645" s="319"/>
      <c r="E645" s="319"/>
      <c r="F645" s="319"/>
      <c r="G645" s="319"/>
      <c r="H645" s="319"/>
      <c r="I645" s="319"/>
      <c r="J645" s="319"/>
      <c r="K645" s="319"/>
      <c r="L645" s="319"/>
      <c r="M645" s="319"/>
      <c r="N645" s="319"/>
      <c r="O645" s="319"/>
      <c r="P645" s="319"/>
      <c r="Q645" s="319"/>
    </row>
    <row r="646" spans="1:17" ht="13">
      <c r="A646" s="319"/>
      <c r="B646" s="319"/>
      <c r="C646" s="319"/>
      <c r="D646" s="319"/>
      <c r="E646" s="319"/>
      <c r="F646" s="319"/>
      <c r="G646" s="319"/>
      <c r="H646" s="319"/>
      <c r="I646" s="319"/>
      <c r="J646" s="319"/>
      <c r="K646" s="319"/>
      <c r="L646" s="319"/>
      <c r="M646" s="319"/>
      <c r="N646" s="319"/>
      <c r="O646" s="319"/>
      <c r="P646" s="319"/>
      <c r="Q646" s="319"/>
    </row>
    <row r="647" spans="1:17" ht="13">
      <c r="A647" s="319"/>
      <c r="B647" s="319"/>
      <c r="C647" s="319"/>
      <c r="D647" s="319"/>
      <c r="E647" s="319"/>
      <c r="F647" s="319"/>
      <c r="G647" s="319"/>
      <c r="H647" s="319"/>
      <c r="I647" s="319"/>
      <c r="J647" s="319"/>
      <c r="K647" s="319"/>
      <c r="L647" s="319"/>
      <c r="M647" s="319"/>
      <c r="N647" s="319"/>
      <c r="O647" s="319"/>
      <c r="P647" s="319"/>
      <c r="Q647" s="319"/>
    </row>
    <row r="648" spans="1:17" ht="13">
      <c r="A648" s="319"/>
      <c r="B648" s="319"/>
      <c r="C648" s="319"/>
      <c r="D648" s="319"/>
      <c r="E648" s="319"/>
      <c r="F648" s="319"/>
      <c r="G648" s="319"/>
      <c r="H648" s="319"/>
      <c r="I648" s="319"/>
      <c r="J648" s="319"/>
      <c r="K648" s="319"/>
      <c r="L648" s="319"/>
      <c r="M648" s="319"/>
      <c r="N648" s="319"/>
      <c r="O648" s="319"/>
      <c r="P648" s="319"/>
      <c r="Q648" s="319"/>
    </row>
    <row r="649" spans="1:17" ht="13">
      <c r="A649" s="319"/>
      <c r="B649" s="319"/>
      <c r="C649" s="319"/>
      <c r="D649" s="319"/>
      <c r="E649" s="319"/>
      <c r="F649" s="319"/>
      <c r="G649" s="319"/>
      <c r="H649" s="319"/>
      <c r="I649" s="319"/>
      <c r="J649" s="319"/>
      <c r="K649" s="319"/>
      <c r="L649" s="319"/>
      <c r="M649" s="319"/>
      <c r="N649" s="319"/>
      <c r="O649" s="319"/>
      <c r="P649" s="319"/>
      <c r="Q649" s="319"/>
    </row>
    <row r="650" spans="1:17" ht="13">
      <c r="A650" s="319"/>
      <c r="B650" s="319"/>
      <c r="C650" s="319"/>
      <c r="D650" s="319"/>
      <c r="E650" s="319"/>
      <c r="F650" s="319"/>
      <c r="G650" s="319"/>
      <c r="H650" s="319"/>
      <c r="I650" s="319"/>
      <c r="J650" s="319"/>
      <c r="K650" s="319"/>
      <c r="L650" s="319"/>
      <c r="M650" s="319"/>
      <c r="N650" s="319"/>
      <c r="O650" s="319"/>
      <c r="P650" s="319"/>
      <c r="Q650" s="319"/>
    </row>
    <row r="651" spans="1:17" ht="13">
      <c r="A651" s="319"/>
      <c r="B651" s="319"/>
      <c r="C651" s="319"/>
      <c r="D651" s="319"/>
      <c r="E651" s="319"/>
      <c r="F651" s="319"/>
      <c r="G651" s="319"/>
      <c r="H651" s="319"/>
      <c r="I651" s="319"/>
      <c r="J651" s="319"/>
      <c r="K651" s="319"/>
      <c r="L651" s="319"/>
      <c r="M651" s="319"/>
      <c r="N651" s="319"/>
      <c r="O651" s="319"/>
      <c r="P651" s="319"/>
      <c r="Q651" s="319"/>
    </row>
    <row r="652" spans="1:17" ht="13">
      <c r="A652" s="319"/>
      <c r="B652" s="319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</row>
    <row r="653" spans="1:17" ht="13">
      <c r="A653" s="319"/>
      <c r="B653" s="319"/>
      <c r="C653" s="319"/>
      <c r="D653" s="319"/>
      <c r="E653" s="319"/>
      <c r="F653" s="319"/>
      <c r="G653" s="319"/>
      <c r="H653" s="319"/>
      <c r="I653" s="319"/>
      <c r="J653" s="319"/>
      <c r="K653" s="319"/>
      <c r="L653" s="319"/>
      <c r="M653" s="319"/>
      <c r="N653" s="319"/>
      <c r="O653" s="319"/>
      <c r="P653" s="319"/>
      <c r="Q653" s="319"/>
    </row>
    <row r="654" spans="1:17" ht="13">
      <c r="A654" s="319"/>
      <c r="B654" s="319"/>
      <c r="C654" s="319"/>
      <c r="D654" s="319"/>
      <c r="E654" s="319"/>
      <c r="F654" s="319"/>
      <c r="G654" s="319"/>
      <c r="H654" s="319"/>
      <c r="I654" s="319"/>
      <c r="J654" s="319"/>
      <c r="K654" s="319"/>
      <c r="L654" s="319"/>
      <c r="M654" s="319"/>
      <c r="N654" s="319"/>
      <c r="O654" s="319"/>
      <c r="P654" s="319"/>
      <c r="Q654" s="319"/>
    </row>
    <row r="655" spans="1:17" ht="13">
      <c r="A655" s="319"/>
      <c r="B655" s="319"/>
      <c r="C655" s="319"/>
      <c r="D655" s="319"/>
      <c r="E655" s="319"/>
      <c r="F655" s="319"/>
      <c r="G655" s="319"/>
      <c r="H655" s="319"/>
      <c r="I655" s="319"/>
      <c r="J655" s="319"/>
      <c r="K655" s="319"/>
      <c r="L655" s="319"/>
      <c r="M655" s="319"/>
      <c r="N655" s="319"/>
      <c r="O655" s="319"/>
      <c r="P655" s="319"/>
      <c r="Q655" s="319"/>
    </row>
    <row r="656" spans="1:17" ht="13">
      <c r="A656" s="319"/>
      <c r="B656" s="319"/>
      <c r="C656" s="319"/>
      <c r="D656" s="319"/>
      <c r="E656" s="319"/>
      <c r="F656" s="319"/>
      <c r="G656" s="319"/>
      <c r="H656" s="319"/>
      <c r="I656" s="319"/>
      <c r="J656" s="319"/>
      <c r="K656" s="319"/>
      <c r="L656" s="319"/>
      <c r="M656" s="319"/>
      <c r="N656" s="319"/>
      <c r="O656" s="319"/>
      <c r="P656" s="319"/>
      <c r="Q656" s="319"/>
    </row>
    <row r="657" spans="3:17" ht="13">
      <c r="C657" s="319"/>
      <c r="D657" s="319"/>
      <c r="J657" s="104"/>
      <c r="K657" s="32"/>
      <c r="Q657" s="32"/>
    </row>
    <row r="658" spans="3:17" ht="13">
      <c r="C658" s="319"/>
      <c r="D658" s="319"/>
      <c r="J658" s="104"/>
      <c r="K658" s="32"/>
      <c r="Q658" s="32"/>
    </row>
    <row r="659" spans="3:17" ht="13">
      <c r="C659" s="319"/>
      <c r="D659" s="319"/>
      <c r="J659" s="104"/>
      <c r="K659" s="32"/>
      <c r="Q659" s="32"/>
    </row>
    <row r="660" spans="3:17" ht="13">
      <c r="C660" s="319"/>
      <c r="D660" s="319"/>
      <c r="J660" s="104"/>
      <c r="K660" s="32"/>
      <c r="Q660" s="32"/>
    </row>
    <row r="661" spans="3:17" ht="13">
      <c r="C661" s="319"/>
      <c r="D661" s="319"/>
      <c r="J661" s="104"/>
      <c r="K661" s="32"/>
      <c r="Q661" s="32"/>
    </row>
    <row r="662" spans="3:17" ht="13">
      <c r="C662" s="319"/>
      <c r="D662" s="319"/>
      <c r="J662" s="104"/>
      <c r="K662" s="32"/>
      <c r="Q662" s="32"/>
    </row>
    <row r="663" spans="3:17" ht="13">
      <c r="C663" s="319"/>
      <c r="D663" s="319"/>
      <c r="J663" s="104"/>
      <c r="K663" s="32"/>
      <c r="Q663" s="32"/>
    </row>
    <row r="664" spans="3:17" ht="13">
      <c r="C664" s="319"/>
      <c r="D664" s="319"/>
      <c r="J664" s="104"/>
      <c r="K664" s="32"/>
      <c r="Q664" s="32"/>
    </row>
    <row r="665" spans="3:17" ht="13">
      <c r="C665" s="319"/>
      <c r="D665" s="319"/>
      <c r="J665" s="104"/>
      <c r="K665" s="32"/>
      <c r="Q665" s="32"/>
    </row>
    <row r="666" spans="3:17" ht="13">
      <c r="C666" s="319"/>
      <c r="D666" s="319"/>
      <c r="J666" s="104"/>
      <c r="K666" s="32"/>
      <c r="Q666" s="32"/>
    </row>
    <row r="667" spans="3:17" ht="13">
      <c r="C667" s="319"/>
      <c r="D667" s="319"/>
      <c r="J667" s="104"/>
      <c r="K667" s="32"/>
      <c r="Q667" s="32"/>
    </row>
    <row r="668" spans="3:17" ht="13">
      <c r="C668" s="319"/>
      <c r="D668" s="319"/>
      <c r="J668" s="104"/>
      <c r="K668" s="32"/>
      <c r="Q668" s="32"/>
    </row>
    <row r="669" spans="3:17" ht="13">
      <c r="C669" s="319"/>
      <c r="D669" s="319"/>
      <c r="J669" s="104"/>
      <c r="K669" s="32"/>
      <c r="Q669" s="32"/>
    </row>
    <row r="670" spans="3:17" ht="13">
      <c r="C670" s="319"/>
      <c r="D670" s="319"/>
      <c r="J670" s="104"/>
      <c r="K670" s="32"/>
      <c r="Q670" s="32"/>
    </row>
    <row r="671" spans="3:17" ht="13">
      <c r="C671" s="319"/>
      <c r="D671" s="319"/>
      <c r="J671" s="104"/>
      <c r="K671" s="32"/>
      <c r="Q671" s="32"/>
    </row>
    <row r="672" spans="3:17" ht="13">
      <c r="C672" s="319"/>
      <c r="D672" s="319"/>
      <c r="J672" s="104"/>
      <c r="K672" s="32"/>
      <c r="Q672" s="32"/>
    </row>
    <row r="673" spans="3:17" ht="13">
      <c r="C673" s="319"/>
      <c r="D673" s="319"/>
      <c r="J673" s="104"/>
      <c r="K673" s="32"/>
      <c r="Q673" s="32"/>
    </row>
    <row r="674" spans="3:17" ht="13">
      <c r="C674" s="319"/>
      <c r="D674" s="319"/>
      <c r="J674" s="104"/>
      <c r="K674" s="32"/>
      <c r="Q674" s="32"/>
    </row>
    <row r="675" spans="3:17" ht="13">
      <c r="C675" s="319"/>
      <c r="D675" s="319"/>
      <c r="J675" s="104"/>
      <c r="K675" s="32"/>
      <c r="Q675" s="32"/>
    </row>
    <row r="676" spans="3:17" ht="13">
      <c r="C676" s="319"/>
      <c r="D676" s="319"/>
      <c r="J676" s="104"/>
      <c r="K676" s="32"/>
      <c r="Q676" s="32"/>
    </row>
    <row r="677" spans="3:17" ht="13">
      <c r="C677" s="319"/>
      <c r="D677" s="319"/>
      <c r="J677" s="104"/>
      <c r="K677" s="32"/>
      <c r="Q677" s="32"/>
    </row>
    <row r="678" spans="3:17" ht="13">
      <c r="C678" s="319"/>
      <c r="D678" s="319"/>
      <c r="J678" s="104"/>
      <c r="K678" s="32"/>
      <c r="Q678" s="32"/>
    </row>
    <row r="679" spans="3:17" ht="13">
      <c r="C679" s="319"/>
      <c r="D679" s="319"/>
      <c r="J679" s="104"/>
      <c r="K679" s="32"/>
      <c r="Q679" s="32"/>
    </row>
    <row r="680" spans="3:17" ht="13">
      <c r="C680" s="319"/>
      <c r="D680" s="319"/>
      <c r="J680" s="104"/>
      <c r="K680" s="32"/>
      <c r="Q680" s="32"/>
    </row>
    <row r="681" spans="3:17" ht="13">
      <c r="C681" s="319"/>
      <c r="D681" s="319"/>
      <c r="J681" s="104"/>
      <c r="K681" s="32"/>
      <c r="Q681" s="32"/>
    </row>
    <row r="682" spans="3:17" ht="13">
      <c r="C682" s="319"/>
      <c r="D682" s="319"/>
      <c r="J682" s="104"/>
      <c r="K682" s="32"/>
      <c r="Q682" s="32"/>
    </row>
    <row r="683" spans="3:17" ht="13">
      <c r="C683" s="319"/>
      <c r="D683" s="319"/>
      <c r="J683" s="104"/>
      <c r="K683" s="32"/>
      <c r="Q683" s="32"/>
    </row>
    <row r="684" spans="3:17" ht="13">
      <c r="C684" s="319"/>
      <c r="D684" s="319"/>
      <c r="J684" s="104"/>
      <c r="K684" s="32"/>
      <c r="Q684" s="32"/>
    </row>
    <row r="685" spans="3:17" ht="13">
      <c r="C685" s="319"/>
      <c r="D685" s="319"/>
      <c r="J685" s="104"/>
      <c r="K685" s="32"/>
      <c r="Q685" s="32"/>
    </row>
    <row r="686" spans="3:17" ht="13">
      <c r="C686" s="319"/>
      <c r="D686" s="319"/>
      <c r="J686" s="104"/>
      <c r="K686" s="32"/>
      <c r="Q686" s="32"/>
    </row>
    <row r="687" spans="3:17" ht="13">
      <c r="C687" s="319"/>
      <c r="D687" s="319"/>
      <c r="J687" s="104"/>
      <c r="K687" s="32"/>
      <c r="Q687" s="32"/>
    </row>
    <row r="688" spans="3:17" ht="13">
      <c r="C688" s="319"/>
      <c r="D688" s="319"/>
      <c r="J688" s="104"/>
      <c r="K688" s="32"/>
      <c r="Q688" s="32"/>
    </row>
    <row r="689" spans="3:17" ht="13">
      <c r="C689" s="319"/>
      <c r="D689" s="319"/>
      <c r="J689" s="104"/>
      <c r="K689" s="32"/>
      <c r="Q689" s="32"/>
    </row>
    <row r="690" spans="3:17" ht="13">
      <c r="C690" s="319"/>
      <c r="D690" s="319"/>
      <c r="J690" s="104"/>
      <c r="K690" s="32"/>
      <c r="Q690" s="32"/>
    </row>
    <row r="691" spans="3:17" ht="13">
      <c r="C691" s="319"/>
      <c r="D691" s="319"/>
      <c r="J691" s="104"/>
      <c r="K691" s="32"/>
      <c r="Q691" s="32"/>
    </row>
    <row r="692" spans="3:17" ht="13">
      <c r="C692" s="319"/>
      <c r="D692" s="319"/>
      <c r="J692" s="104"/>
      <c r="K692" s="32"/>
      <c r="Q692" s="32"/>
    </row>
    <row r="693" spans="3:17" ht="13">
      <c r="C693" s="319"/>
      <c r="D693" s="319"/>
      <c r="J693" s="104"/>
      <c r="K693" s="32"/>
      <c r="Q693" s="32"/>
    </row>
    <row r="694" spans="3:17" ht="13">
      <c r="C694" s="319"/>
      <c r="D694" s="319"/>
      <c r="J694" s="104"/>
      <c r="K694" s="32"/>
      <c r="Q694" s="32"/>
    </row>
    <row r="695" spans="3:17" ht="13">
      <c r="C695" s="319"/>
      <c r="D695" s="319"/>
      <c r="J695" s="104"/>
      <c r="K695" s="32"/>
      <c r="Q695" s="32"/>
    </row>
    <row r="696" spans="3:17" ht="13">
      <c r="C696" s="319"/>
      <c r="D696" s="319"/>
      <c r="J696" s="104"/>
      <c r="K696" s="32"/>
      <c r="Q696" s="32"/>
    </row>
    <row r="697" spans="3:17" ht="13">
      <c r="C697" s="319"/>
      <c r="D697" s="319"/>
      <c r="J697" s="104"/>
      <c r="K697" s="32"/>
      <c r="Q697" s="32"/>
    </row>
    <row r="698" spans="3:17" ht="13">
      <c r="C698" s="319"/>
      <c r="D698" s="319"/>
      <c r="J698" s="104"/>
      <c r="K698" s="32"/>
      <c r="Q698" s="32"/>
    </row>
    <row r="699" spans="3:17" ht="13">
      <c r="C699" s="319"/>
      <c r="D699" s="319"/>
      <c r="J699" s="104"/>
      <c r="K699" s="32"/>
      <c r="Q699" s="32"/>
    </row>
    <row r="700" spans="3:17" ht="13">
      <c r="C700" s="319"/>
      <c r="D700" s="319"/>
      <c r="J700" s="104"/>
      <c r="K700" s="32"/>
      <c r="Q700" s="32"/>
    </row>
    <row r="701" spans="3:17" ht="13">
      <c r="C701" s="319"/>
      <c r="D701" s="319"/>
      <c r="J701" s="104"/>
      <c r="K701" s="32"/>
      <c r="Q701" s="32"/>
    </row>
    <row r="702" spans="3:17" ht="13">
      <c r="C702" s="319"/>
      <c r="D702" s="319"/>
      <c r="J702" s="104"/>
      <c r="K702" s="32"/>
      <c r="Q702" s="32"/>
    </row>
    <row r="703" spans="3:17" ht="13">
      <c r="C703" s="319"/>
      <c r="D703" s="319"/>
      <c r="J703" s="104"/>
      <c r="K703" s="32"/>
      <c r="Q703" s="32"/>
    </row>
    <row r="704" spans="3:17" ht="13">
      <c r="C704" s="319"/>
      <c r="D704" s="319"/>
      <c r="J704" s="104"/>
      <c r="K704" s="32"/>
      <c r="Q704" s="32"/>
    </row>
    <row r="705" spans="3:17" ht="13">
      <c r="C705" s="319"/>
      <c r="D705" s="319"/>
      <c r="J705" s="104"/>
      <c r="K705" s="32"/>
      <c r="Q705" s="32"/>
    </row>
    <row r="706" spans="3:17" ht="13">
      <c r="C706" s="319"/>
      <c r="D706" s="319"/>
      <c r="J706" s="104"/>
      <c r="K706" s="32"/>
      <c r="Q706" s="32"/>
    </row>
    <row r="707" spans="3:17" ht="13">
      <c r="C707" s="319"/>
      <c r="D707" s="319"/>
      <c r="J707" s="104"/>
      <c r="K707" s="32"/>
      <c r="Q707" s="32"/>
    </row>
    <row r="708" spans="3:17" ht="13">
      <c r="C708" s="319"/>
      <c r="D708" s="319"/>
      <c r="J708" s="104"/>
      <c r="K708" s="32"/>
      <c r="Q708" s="32"/>
    </row>
    <row r="709" spans="3:17" ht="13">
      <c r="C709" s="319"/>
      <c r="D709" s="319"/>
      <c r="J709" s="104"/>
      <c r="K709" s="32"/>
      <c r="Q709" s="32"/>
    </row>
    <row r="710" spans="3:17" ht="13">
      <c r="C710" s="319"/>
      <c r="D710" s="319"/>
      <c r="J710" s="104"/>
      <c r="K710" s="32"/>
      <c r="Q710" s="32"/>
    </row>
    <row r="711" spans="3:17" ht="13">
      <c r="C711" s="319"/>
      <c r="D711" s="319"/>
      <c r="J711" s="104"/>
      <c r="K711" s="32"/>
      <c r="Q711" s="32"/>
    </row>
    <row r="712" spans="3:17" ht="13">
      <c r="C712" s="319"/>
      <c r="D712" s="319"/>
      <c r="J712" s="104"/>
      <c r="K712" s="32"/>
      <c r="Q712" s="32"/>
    </row>
    <row r="713" spans="3:17" ht="13">
      <c r="C713" s="319"/>
      <c r="D713" s="319"/>
      <c r="J713" s="104"/>
      <c r="K713" s="32"/>
      <c r="Q713" s="32"/>
    </row>
    <row r="714" spans="3:17" ht="13">
      <c r="C714" s="319"/>
      <c r="D714" s="319"/>
      <c r="J714" s="104"/>
      <c r="K714" s="32"/>
      <c r="Q714" s="32"/>
    </row>
    <row r="715" spans="3:17" ht="13">
      <c r="C715" s="319"/>
      <c r="D715" s="319"/>
      <c r="J715" s="104"/>
      <c r="K715" s="32"/>
      <c r="Q715" s="32"/>
    </row>
    <row r="716" spans="3:17" ht="13">
      <c r="C716" s="319"/>
      <c r="D716" s="319"/>
      <c r="J716" s="104"/>
      <c r="K716" s="32"/>
      <c r="Q716" s="32"/>
    </row>
    <row r="717" spans="3:17" ht="13">
      <c r="C717" s="319"/>
      <c r="D717" s="319"/>
      <c r="J717" s="104"/>
      <c r="K717" s="32"/>
      <c r="Q717" s="32"/>
    </row>
    <row r="718" spans="3:17" ht="13">
      <c r="C718" s="319"/>
      <c r="D718" s="319"/>
      <c r="J718" s="104"/>
      <c r="K718" s="32"/>
      <c r="Q718" s="32"/>
    </row>
    <row r="719" spans="3:17" ht="13">
      <c r="C719" s="319"/>
      <c r="D719" s="319"/>
      <c r="J719" s="104"/>
      <c r="K719" s="32"/>
      <c r="Q719" s="32"/>
    </row>
    <row r="720" spans="3:17" ht="13">
      <c r="C720" s="319"/>
      <c r="D720" s="319"/>
      <c r="J720" s="104"/>
      <c r="K720" s="32"/>
      <c r="Q720" s="32"/>
    </row>
    <row r="721" spans="3:17" ht="13">
      <c r="C721" s="319"/>
      <c r="D721" s="319"/>
      <c r="J721" s="104"/>
      <c r="K721" s="32"/>
      <c r="Q721" s="32"/>
    </row>
    <row r="722" spans="3:17" ht="13">
      <c r="C722" s="319"/>
      <c r="D722" s="319"/>
      <c r="J722" s="104"/>
      <c r="K722" s="32"/>
      <c r="Q722" s="32"/>
    </row>
    <row r="723" spans="3:17" ht="13">
      <c r="C723" s="319"/>
      <c r="D723" s="319"/>
      <c r="J723" s="104"/>
      <c r="K723" s="32"/>
      <c r="Q723" s="32"/>
    </row>
    <row r="724" spans="3:17" ht="13">
      <c r="C724" s="319"/>
      <c r="D724" s="319"/>
      <c r="J724" s="104"/>
      <c r="K724" s="32"/>
      <c r="Q724" s="32"/>
    </row>
    <row r="725" spans="3:17" ht="13">
      <c r="C725" s="319"/>
      <c r="D725" s="319"/>
      <c r="J725" s="104"/>
      <c r="K725" s="32"/>
      <c r="Q725" s="32"/>
    </row>
    <row r="726" spans="3:17" ht="13">
      <c r="C726" s="319"/>
      <c r="D726" s="319"/>
      <c r="J726" s="104"/>
      <c r="K726" s="32"/>
      <c r="Q726" s="32"/>
    </row>
    <row r="727" spans="3:17" ht="13">
      <c r="C727" s="319"/>
      <c r="D727" s="319"/>
      <c r="J727" s="104"/>
      <c r="K727" s="32"/>
      <c r="Q727" s="32"/>
    </row>
    <row r="728" spans="3:17" ht="13">
      <c r="C728" s="319"/>
      <c r="D728" s="319"/>
      <c r="J728" s="104"/>
      <c r="K728" s="32"/>
      <c r="Q728" s="32"/>
    </row>
    <row r="729" spans="3:17" ht="13">
      <c r="C729" s="319"/>
      <c r="D729" s="319"/>
      <c r="J729" s="104"/>
      <c r="K729" s="32"/>
      <c r="Q729" s="32"/>
    </row>
    <row r="730" spans="3:17" ht="13">
      <c r="C730" s="319"/>
      <c r="D730" s="319"/>
      <c r="J730" s="104"/>
      <c r="K730" s="32"/>
      <c r="Q730" s="32"/>
    </row>
    <row r="731" spans="3:17" ht="13">
      <c r="C731" s="319"/>
      <c r="D731" s="319"/>
      <c r="J731" s="104"/>
      <c r="K731" s="32"/>
      <c r="Q731" s="32"/>
    </row>
    <row r="732" spans="3:17" ht="13">
      <c r="C732" s="319"/>
      <c r="D732" s="319"/>
      <c r="J732" s="104"/>
      <c r="K732" s="32"/>
      <c r="Q732" s="32"/>
    </row>
    <row r="733" spans="3:17" ht="13">
      <c r="C733" s="319"/>
      <c r="D733" s="319"/>
      <c r="J733" s="104"/>
      <c r="K733" s="32"/>
      <c r="Q733" s="32"/>
    </row>
    <row r="734" spans="3:17" ht="13">
      <c r="C734" s="319"/>
      <c r="D734" s="319"/>
      <c r="J734" s="104"/>
      <c r="K734" s="32"/>
      <c r="Q734" s="32"/>
    </row>
    <row r="735" spans="3:17" ht="13">
      <c r="C735" s="319"/>
      <c r="D735" s="319"/>
      <c r="J735" s="104"/>
      <c r="K735" s="32"/>
      <c r="Q735" s="32"/>
    </row>
    <row r="736" spans="3:17" ht="13">
      <c r="C736" s="319"/>
      <c r="D736" s="319"/>
      <c r="J736" s="104"/>
      <c r="K736" s="32"/>
      <c r="Q736" s="32"/>
    </row>
    <row r="737" spans="3:17" ht="13">
      <c r="C737" s="319"/>
      <c r="D737" s="319"/>
      <c r="J737" s="104"/>
      <c r="K737" s="32"/>
      <c r="Q737" s="32"/>
    </row>
    <row r="738" spans="3:17" ht="13">
      <c r="C738" s="319"/>
      <c r="D738" s="319"/>
      <c r="J738" s="104"/>
      <c r="K738" s="32"/>
      <c r="Q738" s="32"/>
    </row>
    <row r="739" spans="3:17" ht="13">
      <c r="C739" s="319"/>
      <c r="D739" s="319"/>
      <c r="J739" s="104"/>
      <c r="K739" s="32"/>
      <c r="Q739" s="32"/>
    </row>
    <row r="740" spans="3:17" ht="13">
      <c r="C740" s="319"/>
      <c r="D740" s="319"/>
      <c r="J740" s="104"/>
      <c r="K740" s="32"/>
      <c r="Q740" s="32"/>
    </row>
    <row r="741" spans="3:17" ht="13">
      <c r="C741" s="319"/>
      <c r="D741" s="319"/>
      <c r="J741" s="104"/>
      <c r="K741" s="32"/>
      <c r="Q741" s="32"/>
    </row>
    <row r="742" spans="3:17" ht="13">
      <c r="C742" s="319"/>
      <c r="D742" s="319"/>
      <c r="J742" s="104"/>
      <c r="K742" s="32"/>
      <c r="Q742" s="32"/>
    </row>
    <row r="743" spans="3:17" ht="13">
      <c r="C743" s="103"/>
      <c r="D743" s="103"/>
      <c r="J743" s="104"/>
      <c r="K743" s="32"/>
      <c r="Q743" s="32"/>
    </row>
    <row r="744" spans="3:17" ht="13">
      <c r="C744" s="103"/>
      <c r="D744" s="103"/>
      <c r="J744" s="104"/>
      <c r="K744" s="32"/>
      <c r="Q744" s="32"/>
    </row>
    <row r="745" spans="3:17" ht="13">
      <c r="C745" s="103"/>
      <c r="D745" s="103"/>
      <c r="J745" s="104"/>
      <c r="K745" s="32"/>
      <c r="Q745" s="32"/>
    </row>
    <row r="746" spans="3:17" ht="13">
      <c r="C746" s="103"/>
      <c r="D746" s="103"/>
      <c r="J746" s="104"/>
      <c r="K746" s="32"/>
      <c r="Q746" s="32"/>
    </row>
    <row r="747" spans="3:17" ht="13">
      <c r="C747" s="103"/>
      <c r="D747" s="103"/>
      <c r="J747" s="104"/>
      <c r="K747" s="32"/>
      <c r="Q747" s="32"/>
    </row>
    <row r="748" spans="3:17" ht="13">
      <c r="C748" s="103"/>
      <c r="D748" s="103"/>
      <c r="J748" s="104"/>
      <c r="K748" s="32"/>
      <c r="Q748" s="32"/>
    </row>
    <row r="749" spans="3:17" ht="13">
      <c r="C749" s="103"/>
      <c r="D749" s="103"/>
      <c r="J749" s="104"/>
      <c r="K749" s="32"/>
      <c r="Q749" s="32"/>
    </row>
    <row r="750" spans="3:17" ht="13">
      <c r="C750" s="103"/>
      <c r="D750" s="103"/>
      <c r="J750" s="104"/>
      <c r="K750" s="32"/>
      <c r="Q750" s="32"/>
    </row>
    <row r="751" spans="3:17" ht="13">
      <c r="C751" s="103"/>
      <c r="D751" s="103"/>
      <c r="J751" s="104"/>
      <c r="K751" s="32"/>
      <c r="Q751" s="32"/>
    </row>
    <row r="752" spans="3:17" ht="13">
      <c r="C752" s="103"/>
      <c r="D752" s="103"/>
      <c r="J752" s="104"/>
      <c r="K752" s="32"/>
      <c r="Q752" s="32"/>
    </row>
    <row r="753" spans="3:17" ht="13">
      <c r="C753" s="103"/>
      <c r="D753" s="103"/>
      <c r="J753" s="104"/>
      <c r="K753" s="32"/>
      <c r="Q753" s="32"/>
    </row>
    <row r="754" spans="3:17" ht="13">
      <c r="C754" s="103"/>
      <c r="D754" s="103"/>
      <c r="J754" s="104"/>
      <c r="K754" s="32"/>
      <c r="Q754" s="32"/>
    </row>
    <row r="755" spans="3:17" ht="13">
      <c r="C755" s="103"/>
      <c r="D755" s="103"/>
      <c r="J755" s="104"/>
      <c r="K755" s="32"/>
      <c r="Q755" s="32"/>
    </row>
    <row r="756" spans="3:17" ht="13">
      <c r="C756" s="103"/>
      <c r="D756" s="103"/>
      <c r="J756" s="104"/>
      <c r="K756" s="32"/>
      <c r="Q756" s="32"/>
    </row>
    <row r="757" spans="3:17" ht="13">
      <c r="C757" s="103"/>
      <c r="D757" s="103"/>
      <c r="J757" s="104"/>
      <c r="K757" s="32"/>
      <c r="Q757" s="32"/>
    </row>
    <row r="758" spans="3:17" ht="13">
      <c r="C758" s="103"/>
      <c r="D758" s="103"/>
      <c r="J758" s="104"/>
      <c r="K758" s="32"/>
      <c r="Q758" s="32"/>
    </row>
    <row r="759" spans="3:17" ht="13">
      <c r="C759" s="103"/>
      <c r="D759" s="103"/>
      <c r="J759" s="104"/>
      <c r="K759" s="32"/>
      <c r="Q759" s="32"/>
    </row>
    <row r="760" spans="3:17" ht="13">
      <c r="C760" s="103"/>
      <c r="D760" s="103"/>
      <c r="J760" s="104"/>
      <c r="K760" s="32"/>
      <c r="Q760" s="32"/>
    </row>
    <row r="761" spans="3:17" ht="13">
      <c r="C761" s="103"/>
      <c r="D761" s="103"/>
      <c r="J761" s="104"/>
      <c r="K761" s="32"/>
      <c r="Q761" s="32"/>
    </row>
    <row r="762" spans="3:17" ht="13">
      <c r="C762" s="103"/>
      <c r="D762" s="103"/>
      <c r="J762" s="104"/>
      <c r="K762" s="32"/>
      <c r="Q762" s="32"/>
    </row>
    <row r="763" spans="3:17" ht="13">
      <c r="C763" s="103"/>
      <c r="D763" s="103"/>
      <c r="J763" s="104"/>
      <c r="K763" s="32"/>
      <c r="Q763" s="32"/>
    </row>
    <row r="764" spans="3:17" ht="13">
      <c r="C764" s="103"/>
      <c r="D764" s="103"/>
      <c r="J764" s="104"/>
      <c r="K764" s="32"/>
      <c r="Q764" s="32"/>
    </row>
    <row r="765" spans="3:17" ht="13">
      <c r="C765" s="103"/>
      <c r="D765" s="103"/>
      <c r="J765" s="104"/>
      <c r="K765" s="32"/>
      <c r="Q765" s="32"/>
    </row>
    <row r="766" spans="3:17" ht="13">
      <c r="C766" s="103"/>
      <c r="D766" s="103"/>
      <c r="J766" s="104"/>
      <c r="K766" s="32"/>
      <c r="Q766" s="32"/>
    </row>
    <row r="767" spans="3:17" ht="13">
      <c r="C767" s="103"/>
      <c r="D767" s="103"/>
      <c r="J767" s="104"/>
      <c r="K767" s="32"/>
      <c r="Q767" s="32"/>
    </row>
    <row r="768" spans="3:17" ht="13">
      <c r="C768" s="103"/>
      <c r="D768" s="103"/>
      <c r="J768" s="104"/>
      <c r="K768" s="32"/>
      <c r="Q768" s="32"/>
    </row>
    <row r="769" spans="3:17" ht="13">
      <c r="C769" s="103"/>
      <c r="D769" s="103"/>
      <c r="J769" s="104"/>
      <c r="K769" s="32"/>
      <c r="Q769" s="32"/>
    </row>
    <row r="770" spans="3:17" ht="13">
      <c r="C770" s="103"/>
      <c r="D770" s="103"/>
      <c r="J770" s="104"/>
      <c r="K770" s="32"/>
      <c r="Q770" s="32"/>
    </row>
    <row r="771" spans="3:17" ht="13">
      <c r="C771" s="103"/>
      <c r="D771" s="103"/>
      <c r="J771" s="104"/>
      <c r="K771" s="32"/>
      <c r="Q771" s="32"/>
    </row>
    <row r="772" spans="3:17" ht="13">
      <c r="C772" s="103"/>
      <c r="D772" s="103"/>
      <c r="J772" s="104"/>
      <c r="K772" s="32"/>
      <c r="Q772" s="32"/>
    </row>
    <row r="773" spans="3:17" ht="13">
      <c r="C773" s="103"/>
      <c r="D773" s="103"/>
      <c r="J773" s="104"/>
      <c r="K773" s="32"/>
      <c r="Q773" s="32"/>
    </row>
    <row r="774" spans="3:17" ht="13">
      <c r="C774" s="103"/>
      <c r="D774" s="103"/>
      <c r="J774" s="104"/>
      <c r="K774" s="32"/>
      <c r="Q774" s="32"/>
    </row>
    <row r="775" spans="3:17" ht="13">
      <c r="C775" s="103"/>
      <c r="D775" s="103"/>
      <c r="J775" s="104"/>
      <c r="K775" s="32"/>
      <c r="Q775" s="32"/>
    </row>
    <row r="776" spans="3:17" ht="13">
      <c r="C776" s="103"/>
      <c r="D776" s="103"/>
      <c r="J776" s="104"/>
      <c r="K776" s="32"/>
      <c r="Q776" s="32"/>
    </row>
    <row r="777" spans="3:17" ht="13">
      <c r="C777" s="103"/>
      <c r="D777" s="103"/>
      <c r="J777" s="104"/>
      <c r="K777" s="32"/>
      <c r="Q777" s="32"/>
    </row>
    <row r="778" spans="3:17" ht="13">
      <c r="C778" s="103"/>
      <c r="D778" s="103"/>
      <c r="J778" s="104"/>
      <c r="K778" s="32"/>
      <c r="Q778" s="32"/>
    </row>
    <row r="779" spans="3:17" ht="13">
      <c r="C779" s="103"/>
      <c r="D779" s="103"/>
      <c r="J779" s="104"/>
      <c r="K779" s="32"/>
      <c r="Q779" s="32"/>
    </row>
    <row r="780" spans="3:17" ht="13">
      <c r="C780" s="103"/>
      <c r="D780" s="103"/>
      <c r="J780" s="104"/>
      <c r="K780" s="32"/>
      <c r="Q780" s="32"/>
    </row>
    <row r="781" spans="3:17" ht="13">
      <c r="C781" s="103"/>
      <c r="D781" s="103"/>
      <c r="J781" s="104"/>
      <c r="K781" s="32"/>
      <c r="Q781" s="32"/>
    </row>
    <row r="782" spans="3:17" ht="13">
      <c r="C782" s="103"/>
      <c r="D782" s="103"/>
      <c r="J782" s="104"/>
      <c r="K782" s="32"/>
      <c r="Q782" s="32"/>
    </row>
    <row r="783" spans="3:17" ht="13">
      <c r="C783" s="103"/>
      <c r="D783" s="103"/>
      <c r="J783" s="104"/>
      <c r="K783" s="32"/>
      <c r="Q783" s="32"/>
    </row>
    <row r="784" spans="3:17" ht="13">
      <c r="C784" s="103"/>
      <c r="D784" s="103"/>
      <c r="J784" s="104"/>
      <c r="K784" s="32"/>
      <c r="Q784" s="32"/>
    </row>
    <row r="785" spans="3:17" ht="13">
      <c r="C785" s="103"/>
      <c r="D785" s="103"/>
      <c r="J785" s="104"/>
      <c r="K785" s="32"/>
      <c r="Q785" s="32"/>
    </row>
    <row r="786" spans="3:17" ht="13">
      <c r="C786" s="103"/>
      <c r="D786" s="103"/>
      <c r="J786" s="104"/>
      <c r="K786" s="32"/>
      <c r="Q786" s="32"/>
    </row>
    <row r="787" spans="3:17" ht="13">
      <c r="C787" s="103"/>
      <c r="D787" s="103"/>
      <c r="J787" s="104"/>
      <c r="K787" s="32"/>
      <c r="Q787" s="32"/>
    </row>
    <row r="788" spans="3:17" ht="13">
      <c r="C788" s="103"/>
      <c r="D788" s="103"/>
      <c r="J788" s="104"/>
      <c r="K788" s="32"/>
      <c r="Q788" s="32"/>
    </row>
    <row r="789" spans="3:17" ht="13">
      <c r="C789" s="103"/>
      <c r="D789" s="103"/>
      <c r="J789" s="104"/>
      <c r="K789" s="32"/>
      <c r="Q789" s="32"/>
    </row>
    <row r="790" spans="3:17" ht="13">
      <c r="C790" s="103"/>
      <c r="D790" s="103"/>
      <c r="J790" s="104"/>
      <c r="K790" s="32"/>
      <c r="Q790" s="32"/>
    </row>
    <row r="791" spans="3:17" ht="13">
      <c r="C791" s="103"/>
      <c r="D791" s="103"/>
      <c r="J791" s="104"/>
      <c r="K791" s="32"/>
      <c r="Q791" s="32"/>
    </row>
    <row r="792" spans="3:17" ht="13">
      <c r="C792" s="103"/>
      <c r="D792" s="103"/>
      <c r="J792" s="104"/>
      <c r="K792" s="32"/>
      <c r="Q792" s="32"/>
    </row>
    <row r="793" spans="3:17" ht="13">
      <c r="C793" s="103"/>
      <c r="D793" s="103"/>
      <c r="J793" s="104"/>
      <c r="K793" s="32"/>
      <c r="Q793" s="32"/>
    </row>
    <row r="794" spans="3:17" ht="13">
      <c r="C794" s="103"/>
      <c r="D794" s="103"/>
      <c r="J794" s="104"/>
      <c r="K794" s="32"/>
      <c r="Q794" s="32"/>
    </row>
    <row r="795" spans="3:17" ht="13">
      <c r="C795" s="103"/>
      <c r="D795" s="103"/>
      <c r="J795" s="104"/>
      <c r="K795" s="32"/>
      <c r="Q795" s="32"/>
    </row>
    <row r="796" spans="3:17" ht="13">
      <c r="C796" s="103"/>
      <c r="D796" s="103"/>
      <c r="J796" s="104"/>
      <c r="K796" s="32"/>
      <c r="Q796" s="32"/>
    </row>
    <row r="797" spans="3:17" ht="13">
      <c r="C797" s="103"/>
      <c r="D797" s="103"/>
      <c r="J797" s="104"/>
      <c r="K797" s="32"/>
      <c r="Q797" s="32"/>
    </row>
    <row r="798" spans="3:17" ht="13">
      <c r="C798" s="103"/>
      <c r="D798" s="103"/>
      <c r="J798" s="104"/>
      <c r="K798" s="32"/>
      <c r="Q798" s="32"/>
    </row>
    <row r="799" spans="3:17" ht="13">
      <c r="C799" s="103"/>
      <c r="D799" s="103"/>
      <c r="J799" s="104"/>
      <c r="K799" s="32"/>
      <c r="Q799" s="32"/>
    </row>
    <row r="800" spans="3:17" ht="13">
      <c r="C800" s="103"/>
      <c r="D800" s="103"/>
      <c r="J800" s="104"/>
      <c r="K800" s="32"/>
      <c r="Q800" s="32"/>
    </row>
    <row r="801" spans="3:17" ht="13">
      <c r="C801" s="103"/>
      <c r="D801" s="103"/>
      <c r="J801" s="104"/>
      <c r="K801" s="32"/>
      <c r="Q801" s="32"/>
    </row>
    <row r="802" spans="3:17" ht="13">
      <c r="C802" s="103"/>
      <c r="D802" s="103"/>
      <c r="J802" s="104"/>
      <c r="K802" s="32"/>
      <c r="Q802" s="32"/>
    </row>
    <row r="803" spans="3:17" ht="13">
      <c r="C803" s="103"/>
      <c r="D803" s="103"/>
      <c r="J803" s="104"/>
      <c r="K803" s="32"/>
      <c r="Q803" s="32"/>
    </row>
    <row r="804" spans="3:17" ht="13">
      <c r="C804" s="103"/>
      <c r="D804" s="103"/>
      <c r="J804" s="104"/>
      <c r="K804" s="32"/>
      <c r="Q804" s="32"/>
    </row>
    <row r="805" spans="3:17" ht="13">
      <c r="C805" s="103"/>
      <c r="D805" s="103"/>
      <c r="J805" s="104"/>
      <c r="K805" s="32"/>
      <c r="Q805" s="32"/>
    </row>
    <row r="806" spans="3:17" ht="13">
      <c r="C806" s="103"/>
      <c r="D806" s="103"/>
      <c r="J806" s="104"/>
      <c r="K806" s="32"/>
      <c r="Q806" s="32"/>
    </row>
    <row r="807" spans="3:17" ht="13">
      <c r="C807" s="103"/>
      <c r="D807" s="103"/>
      <c r="J807" s="104"/>
      <c r="K807" s="32"/>
      <c r="Q807" s="32"/>
    </row>
    <row r="808" spans="3:17" ht="13">
      <c r="C808" s="103"/>
      <c r="D808" s="103"/>
      <c r="J808" s="104"/>
      <c r="K808" s="32"/>
      <c r="Q808" s="32"/>
    </row>
    <row r="809" spans="3:17" ht="13">
      <c r="C809" s="103"/>
      <c r="D809" s="103"/>
      <c r="J809" s="104"/>
      <c r="K809" s="32"/>
      <c r="Q809" s="32"/>
    </row>
    <row r="810" spans="3:17" ht="13">
      <c r="C810" s="103"/>
      <c r="D810" s="103"/>
      <c r="J810" s="104"/>
      <c r="K810" s="32"/>
      <c r="Q810" s="32"/>
    </row>
    <row r="811" spans="3:17" ht="13">
      <c r="C811" s="103"/>
      <c r="D811" s="103"/>
      <c r="J811" s="104"/>
      <c r="K811" s="32"/>
      <c r="Q811" s="32"/>
    </row>
    <row r="812" spans="3:17" ht="13">
      <c r="C812" s="103"/>
      <c r="D812" s="103"/>
      <c r="J812" s="104"/>
      <c r="K812" s="32"/>
      <c r="Q812" s="32"/>
    </row>
    <row r="813" spans="3:17" ht="13">
      <c r="C813" s="103"/>
      <c r="D813" s="103"/>
      <c r="J813" s="104"/>
      <c r="K813" s="32"/>
      <c r="Q813" s="32"/>
    </row>
    <row r="814" spans="3:17" ht="13">
      <c r="C814" s="103"/>
      <c r="D814" s="103"/>
      <c r="J814" s="104"/>
      <c r="K814" s="32"/>
      <c r="Q814" s="32"/>
    </row>
    <row r="815" spans="3:17" ht="13">
      <c r="C815" s="103"/>
      <c r="D815" s="103"/>
      <c r="J815" s="104"/>
      <c r="K815" s="32"/>
      <c r="Q815" s="32"/>
    </row>
    <row r="816" spans="3:17" ht="13">
      <c r="C816" s="103"/>
      <c r="D816" s="103"/>
      <c r="J816" s="104"/>
      <c r="K816" s="32"/>
      <c r="Q816" s="32"/>
    </row>
    <row r="817" spans="3:17" ht="13">
      <c r="C817" s="103"/>
      <c r="D817" s="103"/>
      <c r="J817" s="104"/>
      <c r="K817" s="32"/>
      <c r="Q817" s="32"/>
    </row>
    <row r="818" spans="3:17" ht="13">
      <c r="C818" s="103"/>
      <c r="D818" s="103"/>
      <c r="J818" s="104"/>
      <c r="K818" s="32"/>
      <c r="Q818" s="32"/>
    </row>
    <row r="819" spans="3:17" ht="13">
      <c r="C819" s="103"/>
      <c r="D819" s="103"/>
      <c r="J819" s="104"/>
      <c r="K819" s="32"/>
      <c r="Q819" s="32"/>
    </row>
    <row r="820" spans="3:17" ht="13">
      <c r="C820" s="103"/>
      <c r="D820" s="103"/>
      <c r="J820" s="104"/>
      <c r="K820" s="32"/>
      <c r="Q820" s="32"/>
    </row>
    <row r="821" spans="3:17" ht="13">
      <c r="C821" s="103"/>
      <c r="D821" s="103"/>
      <c r="J821" s="104"/>
      <c r="K821" s="32"/>
      <c r="Q821" s="32"/>
    </row>
    <row r="822" spans="3:17" ht="13">
      <c r="C822" s="103"/>
      <c r="D822" s="103"/>
      <c r="J822" s="104"/>
      <c r="K822" s="32"/>
      <c r="Q822" s="32"/>
    </row>
    <row r="823" spans="3:17" ht="13">
      <c r="C823" s="103"/>
      <c r="D823" s="103"/>
      <c r="J823" s="104"/>
      <c r="K823" s="32"/>
      <c r="Q823" s="32"/>
    </row>
    <row r="824" spans="3:17" ht="13">
      <c r="C824" s="103"/>
      <c r="D824" s="103"/>
      <c r="J824" s="104"/>
      <c r="K824" s="32"/>
      <c r="Q824" s="32"/>
    </row>
    <row r="825" spans="3:17" ht="13">
      <c r="C825" s="103"/>
      <c r="D825" s="103"/>
      <c r="J825" s="104"/>
      <c r="K825" s="32"/>
      <c r="Q825" s="32"/>
    </row>
    <row r="826" spans="3:17" ht="13">
      <c r="C826" s="103"/>
      <c r="D826" s="103"/>
      <c r="J826" s="104"/>
      <c r="K826" s="32"/>
      <c r="Q826" s="32"/>
    </row>
    <row r="827" spans="3:17" ht="13">
      <c r="C827" s="103"/>
      <c r="D827" s="103"/>
      <c r="J827" s="104"/>
      <c r="K827" s="32"/>
      <c r="Q827" s="32"/>
    </row>
    <row r="828" spans="3:17" ht="13">
      <c r="C828" s="103"/>
      <c r="D828" s="103"/>
      <c r="J828" s="104"/>
      <c r="K828" s="32"/>
      <c r="Q828" s="32"/>
    </row>
    <row r="829" spans="3:17" ht="13">
      <c r="C829" s="103"/>
      <c r="D829" s="103"/>
      <c r="J829" s="104"/>
      <c r="K829" s="32"/>
      <c r="Q829" s="32"/>
    </row>
    <row r="830" spans="3:17" ht="13">
      <c r="C830" s="103"/>
      <c r="D830" s="103"/>
      <c r="J830" s="104"/>
      <c r="K830" s="32"/>
      <c r="Q830" s="32"/>
    </row>
    <row r="831" spans="3:17" ht="13">
      <c r="C831" s="103"/>
      <c r="D831" s="103"/>
      <c r="J831" s="104"/>
      <c r="K831" s="32"/>
      <c r="Q831" s="32"/>
    </row>
    <row r="832" spans="3:17" ht="13">
      <c r="C832" s="103"/>
      <c r="D832" s="103"/>
      <c r="J832" s="104"/>
      <c r="K832" s="32"/>
      <c r="Q832" s="32"/>
    </row>
    <row r="833" spans="3:17" ht="13">
      <c r="C833" s="103"/>
      <c r="D833" s="103"/>
      <c r="J833" s="104"/>
      <c r="K833" s="32"/>
      <c r="Q833" s="32"/>
    </row>
    <row r="834" spans="3:17" ht="13">
      <c r="C834" s="103"/>
      <c r="D834" s="103"/>
      <c r="J834" s="104"/>
      <c r="K834" s="32"/>
      <c r="Q834" s="32"/>
    </row>
    <row r="835" spans="3:17" ht="13">
      <c r="C835" s="103"/>
      <c r="D835" s="103"/>
      <c r="J835" s="104"/>
      <c r="K835" s="32"/>
      <c r="Q835" s="32"/>
    </row>
    <row r="836" spans="3:17" ht="13">
      <c r="C836" s="103"/>
      <c r="D836" s="103"/>
      <c r="J836" s="104"/>
      <c r="K836" s="32"/>
      <c r="Q836" s="32"/>
    </row>
    <row r="837" spans="3:17" ht="13">
      <c r="C837" s="103"/>
      <c r="D837" s="103"/>
      <c r="J837" s="104"/>
      <c r="K837" s="32"/>
      <c r="Q837" s="32"/>
    </row>
    <row r="838" spans="3:17" ht="13">
      <c r="C838" s="103"/>
      <c r="D838" s="103"/>
      <c r="J838" s="104"/>
      <c r="K838" s="32"/>
      <c r="Q838" s="32"/>
    </row>
    <row r="839" spans="3:17" ht="13">
      <c r="C839" s="103"/>
      <c r="D839" s="103"/>
      <c r="J839" s="104"/>
      <c r="K839" s="32"/>
      <c r="Q839" s="32"/>
    </row>
    <row r="840" spans="3:17" ht="13">
      <c r="C840" s="103"/>
      <c r="D840" s="103"/>
      <c r="J840" s="104"/>
      <c r="K840" s="32"/>
      <c r="Q840" s="32"/>
    </row>
    <row r="841" spans="3:17" ht="13">
      <c r="C841" s="103"/>
      <c r="D841" s="103"/>
      <c r="J841" s="104"/>
      <c r="K841" s="32"/>
      <c r="Q841" s="32"/>
    </row>
    <row r="842" spans="3:17" ht="13">
      <c r="C842" s="103"/>
      <c r="D842" s="103"/>
      <c r="J842" s="104"/>
      <c r="K842" s="32"/>
      <c r="Q842" s="32"/>
    </row>
    <row r="843" spans="3:17" ht="13">
      <c r="C843" s="103"/>
      <c r="D843" s="103"/>
      <c r="J843" s="104"/>
      <c r="K843" s="32"/>
      <c r="Q843" s="32"/>
    </row>
    <row r="844" spans="3:17" ht="13">
      <c r="C844" s="103"/>
      <c r="D844" s="103"/>
      <c r="J844" s="104"/>
      <c r="K844" s="32"/>
      <c r="Q844" s="32"/>
    </row>
    <row r="845" spans="3:17" ht="13">
      <c r="C845" s="103"/>
      <c r="D845" s="103"/>
      <c r="J845" s="104"/>
      <c r="K845" s="32"/>
      <c r="Q845" s="32"/>
    </row>
    <row r="846" spans="3:17" ht="13">
      <c r="C846" s="103"/>
      <c r="D846" s="103"/>
      <c r="J846" s="104"/>
      <c r="K846" s="32"/>
      <c r="Q846" s="32"/>
    </row>
    <row r="847" spans="3:17" ht="13">
      <c r="C847" s="103"/>
      <c r="D847" s="103"/>
      <c r="J847" s="104"/>
      <c r="K847" s="32"/>
      <c r="Q847" s="32"/>
    </row>
    <row r="848" spans="3:17" ht="13">
      <c r="C848" s="103"/>
      <c r="D848" s="103"/>
      <c r="J848" s="104"/>
      <c r="K848" s="32"/>
      <c r="Q848" s="32"/>
    </row>
    <row r="849" spans="3:17" ht="13">
      <c r="C849" s="103"/>
      <c r="D849" s="103"/>
      <c r="J849" s="104"/>
      <c r="K849" s="32"/>
      <c r="Q849" s="32"/>
    </row>
    <row r="850" spans="3:17" ht="13">
      <c r="C850" s="103"/>
      <c r="D850" s="103"/>
      <c r="J850" s="104"/>
      <c r="K850" s="32"/>
      <c r="Q850" s="32"/>
    </row>
    <row r="851" spans="3:17" ht="13">
      <c r="C851" s="103"/>
      <c r="D851" s="103"/>
      <c r="J851" s="104"/>
      <c r="K851" s="32"/>
      <c r="Q851" s="32"/>
    </row>
    <row r="852" spans="3:17" ht="13">
      <c r="C852" s="103"/>
      <c r="D852" s="103"/>
      <c r="J852" s="104"/>
      <c r="K852" s="32"/>
      <c r="Q852" s="32"/>
    </row>
    <row r="853" spans="3:17" ht="13">
      <c r="C853" s="103"/>
      <c r="D853" s="103"/>
      <c r="J853" s="104"/>
      <c r="K853" s="32"/>
      <c r="Q853" s="32"/>
    </row>
    <row r="854" spans="3:17" ht="13">
      <c r="C854" s="103"/>
      <c r="D854" s="103"/>
      <c r="J854" s="104"/>
      <c r="K854" s="32"/>
      <c r="Q854" s="32"/>
    </row>
    <row r="855" spans="3:17" ht="13">
      <c r="C855" s="103"/>
      <c r="D855" s="103"/>
      <c r="J855" s="104"/>
      <c r="K855" s="32"/>
      <c r="Q855" s="32"/>
    </row>
    <row r="856" spans="3:17" ht="13">
      <c r="C856" s="103"/>
      <c r="D856" s="103"/>
      <c r="J856" s="104"/>
      <c r="K856" s="32"/>
      <c r="Q856" s="32"/>
    </row>
    <row r="857" spans="3:17" ht="13">
      <c r="C857" s="103"/>
      <c r="D857" s="103"/>
      <c r="J857" s="104"/>
      <c r="K857" s="32"/>
      <c r="Q857" s="32"/>
    </row>
    <row r="858" spans="3:17" ht="13">
      <c r="C858" s="103"/>
      <c r="D858" s="103"/>
      <c r="J858" s="104"/>
      <c r="K858" s="32"/>
      <c r="Q858" s="32"/>
    </row>
    <row r="859" spans="3:17" ht="13">
      <c r="C859" s="103"/>
      <c r="D859" s="103"/>
      <c r="J859" s="104"/>
      <c r="K859" s="32"/>
      <c r="Q859" s="32"/>
    </row>
    <row r="860" spans="3:17" ht="13">
      <c r="C860" s="103"/>
      <c r="D860" s="103"/>
      <c r="J860" s="104"/>
      <c r="K860" s="32"/>
      <c r="Q860" s="32"/>
    </row>
    <row r="861" spans="3:17" ht="13">
      <c r="C861" s="103"/>
      <c r="D861" s="103"/>
      <c r="J861" s="104"/>
      <c r="K861" s="32"/>
      <c r="Q861" s="32"/>
    </row>
    <row r="862" spans="3:17" ht="13">
      <c r="C862" s="103"/>
      <c r="D862" s="103"/>
      <c r="J862" s="104"/>
      <c r="K862" s="32"/>
      <c r="Q862" s="32"/>
    </row>
    <row r="863" spans="3:17" ht="13">
      <c r="C863" s="103"/>
      <c r="D863" s="103"/>
      <c r="J863" s="104"/>
      <c r="K863" s="32"/>
      <c r="Q863" s="32"/>
    </row>
    <row r="864" spans="3:17" ht="13">
      <c r="C864" s="103"/>
      <c r="D864" s="103"/>
      <c r="J864" s="104"/>
      <c r="K864" s="32"/>
      <c r="Q864" s="32"/>
    </row>
    <row r="865" spans="3:17" ht="13">
      <c r="C865" s="103"/>
      <c r="D865" s="103"/>
      <c r="J865" s="104"/>
      <c r="K865" s="32"/>
      <c r="Q865" s="32"/>
    </row>
    <row r="866" spans="3:17" ht="13">
      <c r="C866" s="103"/>
      <c r="D866" s="103"/>
      <c r="J866" s="104"/>
      <c r="K866" s="32"/>
      <c r="Q866" s="32"/>
    </row>
    <row r="867" spans="3:17" ht="13">
      <c r="C867" s="103"/>
      <c r="D867" s="103"/>
      <c r="J867" s="104"/>
      <c r="K867" s="32"/>
      <c r="Q867" s="32"/>
    </row>
    <row r="868" spans="3:17" ht="13">
      <c r="C868" s="103"/>
      <c r="D868" s="103"/>
      <c r="J868" s="104"/>
      <c r="K868" s="32"/>
      <c r="Q868" s="32"/>
    </row>
    <row r="869" spans="3:17" ht="13">
      <c r="C869" s="103"/>
      <c r="D869" s="103"/>
      <c r="J869" s="104"/>
      <c r="K869" s="32"/>
      <c r="Q869" s="32"/>
    </row>
    <row r="870" spans="3:17" ht="13">
      <c r="C870" s="103"/>
      <c r="D870" s="103"/>
      <c r="J870" s="104"/>
      <c r="K870" s="32"/>
      <c r="Q870" s="32"/>
    </row>
    <row r="871" spans="3:17" ht="13">
      <c r="C871" s="103"/>
      <c r="D871" s="103"/>
      <c r="J871" s="104"/>
      <c r="K871" s="32"/>
      <c r="Q871" s="32"/>
    </row>
    <row r="872" spans="3:17" ht="13">
      <c r="C872" s="103"/>
      <c r="D872" s="103"/>
      <c r="J872" s="104"/>
      <c r="K872" s="32"/>
      <c r="Q872" s="32"/>
    </row>
    <row r="873" spans="3:17" ht="13">
      <c r="C873" s="103"/>
      <c r="D873" s="103"/>
      <c r="J873" s="104"/>
      <c r="K873" s="32"/>
      <c r="Q873" s="32"/>
    </row>
    <row r="874" spans="3:17" ht="13">
      <c r="C874" s="103"/>
      <c r="D874" s="103"/>
      <c r="J874" s="104"/>
      <c r="K874" s="32"/>
      <c r="Q874" s="32"/>
    </row>
    <row r="875" spans="3:17" ht="13">
      <c r="C875" s="103"/>
      <c r="D875" s="103"/>
      <c r="J875" s="104"/>
      <c r="K875" s="32"/>
      <c r="Q875" s="32"/>
    </row>
    <row r="876" spans="3:17" ht="13">
      <c r="C876" s="103"/>
      <c r="D876" s="103"/>
      <c r="J876" s="104"/>
      <c r="K876" s="32"/>
      <c r="Q876" s="32"/>
    </row>
    <row r="877" spans="3:17" ht="13">
      <c r="C877" s="103"/>
      <c r="D877" s="103"/>
      <c r="J877" s="104"/>
      <c r="K877" s="32"/>
      <c r="Q877" s="32"/>
    </row>
    <row r="878" spans="3:17" ht="13">
      <c r="C878" s="103"/>
      <c r="D878" s="103"/>
      <c r="J878" s="104"/>
      <c r="K878" s="32"/>
      <c r="Q878" s="32"/>
    </row>
    <row r="879" spans="3:17" ht="13">
      <c r="C879" s="103"/>
      <c r="D879" s="103"/>
      <c r="J879" s="104"/>
      <c r="K879" s="32"/>
      <c r="Q879" s="32"/>
    </row>
    <row r="880" spans="3:17" ht="13">
      <c r="C880" s="103"/>
      <c r="D880" s="103"/>
      <c r="J880" s="104"/>
      <c r="K880" s="32"/>
      <c r="Q880" s="32"/>
    </row>
    <row r="881" spans="3:17" ht="13">
      <c r="C881" s="103"/>
      <c r="D881" s="103"/>
      <c r="J881" s="104"/>
      <c r="K881" s="32"/>
      <c r="Q881" s="32"/>
    </row>
    <row r="882" spans="3:17" ht="13">
      <c r="C882" s="103"/>
      <c r="D882" s="103"/>
      <c r="J882" s="104"/>
      <c r="K882" s="32"/>
      <c r="Q882" s="32"/>
    </row>
    <row r="883" spans="3:17" ht="13">
      <c r="C883" s="103"/>
      <c r="D883" s="103"/>
      <c r="J883" s="104"/>
      <c r="K883" s="32"/>
      <c r="Q883" s="32"/>
    </row>
    <row r="884" spans="3:17" ht="13">
      <c r="C884" s="103"/>
      <c r="D884" s="103"/>
      <c r="J884" s="104"/>
      <c r="K884" s="32"/>
      <c r="Q884" s="32"/>
    </row>
    <row r="885" spans="3:17" ht="13">
      <c r="C885" s="103"/>
      <c r="D885" s="103"/>
      <c r="J885" s="104"/>
      <c r="K885" s="32"/>
      <c r="Q885" s="32"/>
    </row>
    <row r="886" spans="3:17" ht="13">
      <c r="C886" s="103"/>
      <c r="D886" s="103"/>
      <c r="J886" s="104"/>
      <c r="K886" s="32"/>
      <c r="Q886" s="32"/>
    </row>
    <row r="887" spans="3:17" ht="13">
      <c r="C887" s="103"/>
      <c r="D887" s="103"/>
      <c r="J887" s="104"/>
      <c r="K887" s="32"/>
      <c r="Q887" s="32"/>
    </row>
    <row r="888" spans="3:17" ht="13">
      <c r="C888" s="103"/>
      <c r="D888" s="103"/>
      <c r="J888" s="104"/>
      <c r="K888" s="32"/>
      <c r="Q888" s="32"/>
    </row>
    <row r="889" spans="3:17" ht="13">
      <c r="C889" s="103"/>
      <c r="D889" s="103"/>
      <c r="J889" s="104"/>
      <c r="K889" s="32"/>
      <c r="Q889" s="32"/>
    </row>
    <row r="890" spans="3:17" ht="13">
      <c r="C890" s="103"/>
      <c r="D890" s="103"/>
      <c r="J890" s="104"/>
      <c r="K890" s="32"/>
      <c r="Q890" s="32"/>
    </row>
    <row r="891" spans="3:17" ht="13">
      <c r="C891" s="103"/>
      <c r="D891" s="103"/>
      <c r="J891" s="104"/>
      <c r="K891" s="32"/>
      <c r="Q891" s="32"/>
    </row>
    <row r="892" spans="3:17" ht="13">
      <c r="C892" s="103"/>
      <c r="D892" s="103"/>
      <c r="J892" s="104"/>
      <c r="K892" s="32"/>
      <c r="Q892" s="32"/>
    </row>
    <row r="893" spans="3:17" ht="13">
      <c r="C893" s="103"/>
      <c r="D893" s="103"/>
      <c r="J893" s="104"/>
      <c r="K893" s="32"/>
      <c r="Q893" s="32"/>
    </row>
    <row r="894" spans="3:17" ht="13">
      <c r="C894" s="103"/>
      <c r="D894" s="103"/>
      <c r="J894" s="104"/>
      <c r="K894" s="32"/>
      <c r="Q894" s="32"/>
    </row>
    <row r="895" spans="3:17" ht="13">
      <c r="C895" s="103"/>
      <c r="D895" s="103"/>
      <c r="J895" s="104"/>
      <c r="K895" s="32"/>
      <c r="Q895" s="32"/>
    </row>
    <row r="896" spans="3:17" ht="13">
      <c r="C896" s="103"/>
      <c r="D896" s="103"/>
      <c r="J896" s="104"/>
      <c r="K896" s="32"/>
      <c r="Q896" s="32"/>
    </row>
    <row r="897" spans="3:17" ht="13">
      <c r="C897" s="103"/>
      <c r="D897" s="103"/>
      <c r="J897" s="104"/>
      <c r="K897" s="32"/>
      <c r="Q897" s="32"/>
    </row>
    <row r="898" spans="3:17" ht="13">
      <c r="C898" s="103"/>
      <c r="D898" s="103"/>
      <c r="J898" s="104"/>
      <c r="K898" s="32"/>
      <c r="Q898" s="32"/>
    </row>
    <row r="899" spans="3:17" ht="13">
      <c r="C899" s="103"/>
      <c r="D899" s="103"/>
      <c r="J899" s="104"/>
      <c r="K899" s="32"/>
      <c r="Q899" s="32"/>
    </row>
    <row r="900" spans="3:17" ht="13">
      <c r="C900" s="103"/>
      <c r="D900" s="103"/>
      <c r="J900" s="104"/>
      <c r="K900" s="32"/>
      <c r="Q900" s="32"/>
    </row>
    <row r="901" spans="3:17" ht="13">
      <c r="C901" s="103"/>
      <c r="D901" s="103"/>
      <c r="J901" s="104"/>
      <c r="K901" s="32"/>
      <c r="Q901" s="32"/>
    </row>
    <row r="902" spans="3:17" ht="13">
      <c r="C902" s="103"/>
      <c r="D902" s="103"/>
      <c r="J902" s="104"/>
      <c r="K902" s="32"/>
      <c r="Q902" s="32"/>
    </row>
    <row r="903" spans="3:17" ht="13">
      <c r="C903" s="103"/>
      <c r="D903" s="103"/>
      <c r="J903" s="104"/>
      <c r="K903" s="32"/>
      <c r="Q903" s="32"/>
    </row>
    <row r="904" spans="3:17" ht="13">
      <c r="C904" s="103"/>
      <c r="D904" s="103"/>
      <c r="J904" s="104"/>
      <c r="K904" s="32"/>
      <c r="Q904" s="32"/>
    </row>
    <row r="905" spans="3:17" ht="13">
      <c r="C905" s="103"/>
      <c r="D905" s="103"/>
      <c r="J905" s="104"/>
      <c r="K905" s="32"/>
      <c r="Q905" s="32"/>
    </row>
    <row r="906" spans="3:17" ht="13">
      <c r="C906" s="103"/>
      <c r="D906" s="103"/>
      <c r="J906" s="104"/>
      <c r="K906" s="32"/>
      <c r="Q906" s="32"/>
    </row>
    <row r="907" spans="3:17" ht="13">
      <c r="C907" s="103"/>
      <c r="D907" s="103"/>
      <c r="J907" s="104"/>
      <c r="K907" s="32"/>
      <c r="Q907" s="32"/>
    </row>
    <row r="908" spans="3:17" ht="13">
      <c r="C908" s="103"/>
      <c r="D908" s="103"/>
      <c r="J908" s="104"/>
      <c r="K908" s="32"/>
      <c r="Q908" s="32"/>
    </row>
    <row r="909" spans="3:17" ht="13">
      <c r="C909" s="103"/>
      <c r="D909" s="103"/>
      <c r="J909" s="104"/>
      <c r="K909" s="32"/>
      <c r="Q909" s="32"/>
    </row>
    <row r="910" spans="3:17" ht="13">
      <c r="C910" s="103"/>
      <c r="D910" s="103"/>
      <c r="J910" s="104"/>
      <c r="K910" s="32"/>
      <c r="Q910" s="32"/>
    </row>
    <row r="911" spans="3:17" ht="13">
      <c r="C911" s="103"/>
      <c r="D911" s="103"/>
      <c r="J911" s="104"/>
      <c r="K911" s="32"/>
      <c r="Q911" s="32"/>
    </row>
    <row r="912" spans="3:17" ht="13">
      <c r="C912" s="103"/>
      <c r="D912" s="103"/>
      <c r="J912" s="104"/>
      <c r="K912" s="32"/>
      <c r="Q912" s="32"/>
    </row>
    <row r="913" spans="3:17" ht="13">
      <c r="C913" s="103"/>
      <c r="D913" s="103"/>
      <c r="J913" s="104"/>
      <c r="K913" s="32"/>
      <c r="Q913" s="32"/>
    </row>
    <row r="914" spans="3:17" ht="13">
      <c r="C914" s="103"/>
      <c r="D914" s="103"/>
      <c r="J914" s="104"/>
      <c r="K914" s="32"/>
      <c r="Q914" s="32"/>
    </row>
    <row r="915" spans="3:17" ht="13">
      <c r="C915" s="103"/>
      <c r="D915" s="103"/>
      <c r="J915" s="104"/>
      <c r="K915" s="32"/>
      <c r="Q915" s="32"/>
    </row>
    <row r="916" spans="3:17" ht="13">
      <c r="C916" s="103"/>
      <c r="D916" s="103"/>
      <c r="J916" s="104"/>
      <c r="K916" s="32"/>
      <c r="Q916" s="32"/>
    </row>
    <row r="917" spans="3:17" ht="13">
      <c r="C917" s="103"/>
      <c r="D917" s="103"/>
      <c r="J917" s="104"/>
      <c r="K917" s="32"/>
      <c r="Q917" s="32"/>
    </row>
    <row r="918" spans="3:17" ht="13">
      <c r="C918" s="103"/>
      <c r="D918" s="103"/>
      <c r="J918" s="104"/>
      <c r="K918" s="32"/>
      <c r="Q918" s="32"/>
    </row>
    <row r="919" spans="3:17" ht="13">
      <c r="C919" s="103"/>
      <c r="D919" s="103"/>
      <c r="J919" s="104"/>
      <c r="K919" s="32"/>
      <c r="Q919" s="32"/>
    </row>
    <row r="920" spans="3:17" ht="13">
      <c r="C920" s="103"/>
      <c r="D920" s="103"/>
      <c r="J920" s="104"/>
      <c r="K920" s="32"/>
      <c r="Q920" s="32"/>
    </row>
    <row r="921" spans="3:17" ht="13">
      <c r="C921" s="103"/>
      <c r="D921" s="103"/>
      <c r="J921" s="104"/>
      <c r="K921" s="32"/>
      <c r="Q921" s="32"/>
    </row>
    <row r="922" spans="3:17" ht="13">
      <c r="C922" s="103"/>
      <c r="D922" s="103"/>
      <c r="J922" s="104"/>
      <c r="K922" s="32"/>
      <c r="Q922" s="32"/>
    </row>
    <row r="923" spans="3:17" ht="13">
      <c r="C923" s="103"/>
      <c r="D923" s="103"/>
      <c r="J923" s="104"/>
      <c r="K923" s="32"/>
      <c r="Q923" s="32"/>
    </row>
    <row r="924" spans="3:17" ht="13">
      <c r="C924" s="103"/>
      <c r="D924" s="103"/>
      <c r="J924" s="104"/>
      <c r="K924" s="32"/>
      <c r="Q924" s="32"/>
    </row>
    <row r="925" spans="3:17" ht="13">
      <c r="C925" s="103"/>
      <c r="D925" s="103"/>
      <c r="J925" s="104"/>
      <c r="K925" s="32"/>
      <c r="Q925" s="32"/>
    </row>
    <row r="926" spans="3:17" ht="13">
      <c r="C926" s="103"/>
      <c r="D926" s="103"/>
      <c r="J926" s="104"/>
      <c r="K926" s="32"/>
      <c r="Q926" s="32"/>
    </row>
    <row r="927" spans="3:17" ht="13">
      <c r="C927" s="103"/>
      <c r="D927" s="103"/>
      <c r="J927" s="104"/>
      <c r="K927" s="32"/>
      <c r="Q927" s="32"/>
    </row>
    <row r="928" spans="3:17" ht="13">
      <c r="C928" s="103"/>
      <c r="D928" s="103"/>
      <c r="J928" s="104"/>
      <c r="K928" s="32"/>
      <c r="Q928" s="32"/>
    </row>
    <row r="929" spans="3:17" ht="13">
      <c r="C929" s="103"/>
      <c r="D929" s="103"/>
      <c r="J929" s="104"/>
      <c r="K929" s="32"/>
      <c r="Q929" s="32"/>
    </row>
    <row r="930" spans="3:17" ht="13">
      <c r="C930" s="103"/>
      <c r="D930" s="103"/>
      <c r="J930" s="104"/>
      <c r="K930" s="32"/>
      <c r="Q930" s="32"/>
    </row>
    <row r="931" spans="3:17" ht="13">
      <c r="C931" s="103"/>
      <c r="D931" s="103"/>
      <c r="J931" s="104"/>
      <c r="K931" s="32"/>
      <c r="Q931" s="32"/>
    </row>
    <row r="932" spans="3:17" ht="13">
      <c r="C932" s="103"/>
      <c r="D932" s="103"/>
      <c r="J932" s="104"/>
      <c r="K932" s="32"/>
      <c r="Q932" s="32"/>
    </row>
    <row r="933" spans="3:17" ht="13">
      <c r="C933" s="103"/>
      <c r="D933" s="103"/>
      <c r="J933" s="104"/>
      <c r="K933" s="32"/>
      <c r="Q933" s="32"/>
    </row>
    <row r="934" spans="3:17" ht="13">
      <c r="C934" s="103"/>
      <c r="D934" s="103"/>
      <c r="J934" s="104"/>
      <c r="K934" s="32"/>
      <c r="Q934" s="32"/>
    </row>
    <row r="935" spans="3:17" ht="13">
      <c r="C935" s="103"/>
      <c r="D935" s="103"/>
      <c r="J935" s="104"/>
      <c r="K935" s="32"/>
      <c r="Q935" s="32"/>
    </row>
    <row r="936" spans="3:17" ht="13">
      <c r="C936" s="103"/>
      <c r="D936" s="103"/>
      <c r="J936" s="104"/>
      <c r="K936" s="32"/>
      <c r="Q936" s="32"/>
    </row>
    <row r="937" spans="3:17" ht="13">
      <c r="C937" s="103"/>
      <c r="D937" s="103"/>
      <c r="J937" s="104"/>
      <c r="K937" s="32"/>
      <c r="Q937" s="32"/>
    </row>
    <row r="938" spans="3:17" ht="13">
      <c r="C938" s="103"/>
      <c r="D938" s="103"/>
      <c r="J938" s="104"/>
      <c r="K938" s="32"/>
      <c r="Q938" s="32"/>
    </row>
    <row r="939" spans="3:17" ht="13">
      <c r="C939" s="103"/>
      <c r="D939" s="103"/>
      <c r="J939" s="104"/>
      <c r="K939" s="32"/>
      <c r="Q939" s="32"/>
    </row>
    <row r="940" spans="3:17" ht="13">
      <c r="C940" s="103"/>
      <c r="D940" s="103"/>
      <c r="J940" s="104"/>
      <c r="K940" s="32"/>
      <c r="Q940" s="32"/>
    </row>
    <row r="941" spans="3:17" ht="13">
      <c r="C941" s="103"/>
      <c r="D941" s="103"/>
      <c r="J941" s="104"/>
      <c r="K941" s="32"/>
      <c r="Q941" s="32"/>
    </row>
    <row r="942" spans="3:17" ht="13">
      <c r="C942" s="103"/>
      <c r="D942" s="103"/>
      <c r="J942" s="104"/>
      <c r="K942" s="32"/>
      <c r="Q942" s="32"/>
    </row>
    <row r="943" spans="3:17" ht="13">
      <c r="C943" s="103"/>
      <c r="D943" s="103"/>
      <c r="J943" s="104"/>
      <c r="K943" s="32"/>
      <c r="Q943" s="32"/>
    </row>
    <row r="944" spans="3:17" ht="13">
      <c r="C944" s="103"/>
      <c r="D944" s="103"/>
      <c r="J944" s="104"/>
      <c r="K944" s="32"/>
      <c r="Q944" s="32"/>
    </row>
    <row r="945" spans="3:17" ht="13">
      <c r="C945" s="103"/>
      <c r="D945" s="103"/>
      <c r="J945" s="104"/>
      <c r="K945" s="32"/>
      <c r="Q945" s="32"/>
    </row>
    <row r="946" spans="3:17" ht="13">
      <c r="C946" s="103"/>
      <c r="D946" s="103"/>
      <c r="J946" s="104"/>
      <c r="K946" s="32"/>
      <c r="Q946" s="32"/>
    </row>
    <row r="947" spans="3:17" ht="13">
      <c r="C947" s="103"/>
      <c r="D947" s="103"/>
      <c r="J947" s="104"/>
      <c r="K947" s="32"/>
      <c r="Q947" s="32"/>
    </row>
    <row r="948" spans="3:17" ht="13">
      <c r="C948" s="103"/>
      <c r="D948" s="103"/>
      <c r="J948" s="104"/>
      <c r="K948" s="32"/>
      <c r="Q948" s="32"/>
    </row>
    <row r="949" spans="3:17" ht="13">
      <c r="C949" s="103"/>
      <c r="D949" s="103"/>
      <c r="J949" s="104"/>
      <c r="K949" s="32"/>
      <c r="Q949" s="32"/>
    </row>
    <row r="950" spans="3:17" ht="13">
      <c r="C950" s="103"/>
      <c r="D950" s="103"/>
      <c r="J950" s="104"/>
      <c r="K950" s="32"/>
      <c r="Q950" s="32"/>
    </row>
    <row r="951" spans="3:17" ht="13">
      <c r="C951" s="103"/>
      <c r="D951" s="103"/>
      <c r="J951" s="104"/>
      <c r="K951" s="32"/>
      <c r="Q951" s="32"/>
    </row>
    <row r="952" spans="3:17" ht="13">
      <c r="C952" s="103"/>
      <c r="D952" s="103"/>
      <c r="J952" s="104"/>
      <c r="K952" s="32"/>
      <c r="Q952" s="32"/>
    </row>
    <row r="953" spans="3:17" ht="13">
      <c r="C953" s="103"/>
      <c r="D953" s="103"/>
      <c r="J953" s="104"/>
      <c r="K953" s="32"/>
      <c r="Q953" s="32"/>
    </row>
    <row r="954" spans="3:17" ht="13">
      <c r="C954" s="103"/>
      <c r="D954" s="103"/>
      <c r="J954" s="104"/>
      <c r="K954" s="32"/>
      <c r="Q954" s="32"/>
    </row>
    <row r="955" spans="3:17" ht="13">
      <c r="C955" s="103"/>
      <c r="D955" s="103"/>
      <c r="J955" s="104"/>
      <c r="K955" s="32"/>
      <c r="Q955" s="32"/>
    </row>
    <row r="956" spans="3:17" ht="13">
      <c r="C956" s="103"/>
      <c r="D956" s="103"/>
      <c r="J956" s="104"/>
      <c r="K956" s="32"/>
      <c r="Q956" s="32"/>
    </row>
    <row r="957" spans="3:17" ht="13">
      <c r="C957" s="103"/>
      <c r="D957" s="103"/>
      <c r="J957" s="104"/>
      <c r="K957" s="32"/>
      <c r="Q957" s="32"/>
    </row>
    <row r="958" spans="3:17" ht="13">
      <c r="C958" s="103"/>
      <c r="D958" s="103"/>
      <c r="J958" s="104"/>
      <c r="K958" s="32"/>
      <c r="Q958" s="32"/>
    </row>
    <row r="959" spans="3:17" ht="13">
      <c r="C959" s="103"/>
      <c r="D959" s="103"/>
      <c r="J959" s="104"/>
      <c r="K959" s="32"/>
      <c r="Q959" s="32"/>
    </row>
    <row r="960" spans="3:17" ht="13">
      <c r="C960" s="103"/>
      <c r="D960" s="103"/>
      <c r="J960" s="104"/>
      <c r="K960" s="32"/>
      <c r="Q960" s="32"/>
    </row>
    <row r="961" spans="3:17" ht="13">
      <c r="C961" s="103"/>
      <c r="D961" s="103"/>
      <c r="J961" s="104"/>
      <c r="K961" s="32"/>
      <c r="Q961" s="32"/>
    </row>
    <row r="962" spans="3:17" ht="13">
      <c r="C962" s="103"/>
      <c r="D962" s="103"/>
      <c r="J962" s="104"/>
      <c r="K962" s="32"/>
      <c r="Q962" s="32"/>
    </row>
    <row r="963" spans="3:17" ht="13">
      <c r="C963" s="103"/>
      <c r="D963" s="103"/>
      <c r="J963" s="104"/>
      <c r="K963" s="32"/>
      <c r="Q963" s="32"/>
    </row>
    <row r="964" spans="3:17" ht="13">
      <c r="C964" s="103"/>
      <c r="D964" s="103"/>
      <c r="J964" s="104"/>
      <c r="K964" s="32"/>
      <c r="Q964" s="32"/>
    </row>
    <row r="965" spans="3:17" ht="13">
      <c r="C965" s="103"/>
      <c r="D965" s="103"/>
      <c r="J965" s="104"/>
      <c r="K965" s="32"/>
      <c r="Q965" s="32"/>
    </row>
    <row r="966" spans="3:17" ht="13">
      <c r="C966" s="103"/>
      <c r="D966" s="103"/>
      <c r="J966" s="104"/>
      <c r="K966" s="32"/>
      <c r="Q966" s="32"/>
    </row>
    <row r="967" spans="3:17" ht="13">
      <c r="C967" s="103"/>
      <c r="D967" s="103"/>
      <c r="J967" s="104"/>
      <c r="K967" s="32"/>
      <c r="Q967" s="32"/>
    </row>
    <row r="968" spans="3:17" ht="13">
      <c r="C968" s="103"/>
      <c r="D968" s="103"/>
      <c r="J968" s="104"/>
      <c r="K968" s="32"/>
      <c r="Q968" s="32"/>
    </row>
    <row r="969" spans="3:17" ht="13">
      <c r="C969" s="103"/>
      <c r="D969" s="103"/>
      <c r="J969" s="104"/>
      <c r="K969" s="32"/>
      <c r="Q969" s="32"/>
    </row>
    <row r="970" spans="3:17" ht="13">
      <c r="C970" s="103"/>
      <c r="D970" s="103"/>
      <c r="J970" s="104"/>
      <c r="K970" s="32"/>
      <c r="Q970" s="32"/>
    </row>
    <row r="971" spans="3:17" ht="13">
      <c r="C971" s="103"/>
      <c r="D971" s="103"/>
      <c r="J971" s="104"/>
      <c r="K971" s="32"/>
      <c r="Q971" s="32"/>
    </row>
    <row r="972" spans="3:17" ht="13">
      <c r="C972" s="103"/>
      <c r="D972" s="103"/>
      <c r="J972" s="104"/>
      <c r="K972" s="32"/>
      <c r="Q972" s="32"/>
    </row>
    <row r="973" spans="3:17" ht="13">
      <c r="C973" s="103"/>
      <c r="D973" s="103"/>
      <c r="J973" s="104"/>
      <c r="K973" s="32"/>
      <c r="Q973" s="32"/>
    </row>
    <row r="974" spans="3:17" ht="13">
      <c r="C974" s="103"/>
      <c r="D974" s="103"/>
      <c r="J974" s="104"/>
      <c r="K974" s="32"/>
      <c r="Q974" s="32"/>
    </row>
    <row r="975" spans="3:17" ht="13">
      <c r="C975" s="103"/>
      <c r="D975" s="103"/>
      <c r="J975" s="104"/>
      <c r="K975" s="32"/>
      <c r="Q975" s="32"/>
    </row>
    <row r="976" spans="3:17" ht="13">
      <c r="C976" s="103"/>
      <c r="D976" s="103"/>
      <c r="J976" s="104"/>
      <c r="K976" s="32"/>
      <c r="Q976" s="32"/>
    </row>
    <row r="977" spans="3:17" ht="13">
      <c r="C977" s="103"/>
      <c r="D977" s="103"/>
      <c r="J977" s="104"/>
      <c r="K977" s="32"/>
      <c r="Q977" s="32"/>
    </row>
    <row r="978" spans="3:17" ht="13">
      <c r="C978" s="103"/>
      <c r="D978" s="103"/>
      <c r="J978" s="104"/>
      <c r="K978" s="32"/>
      <c r="Q978" s="32"/>
    </row>
    <row r="979" spans="3:17" ht="13">
      <c r="C979" s="103"/>
      <c r="D979" s="103"/>
      <c r="J979" s="104"/>
      <c r="K979" s="32"/>
      <c r="Q979" s="32"/>
    </row>
    <row r="980" spans="3:17" ht="13">
      <c r="C980" s="103"/>
      <c r="D980" s="103"/>
      <c r="J980" s="104"/>
      <c r="K980" s="32"/>
      <c r="Q980" s="32"/>
    </row>
    <row r="981" spans="3:17" ht="13">
      <c r="C981" s="103"/>
      <c r="D981" s="103"/>
      <c r="J981" s="104"/>
      <c r="K981" s="32"/>
      <c r="Q981" s="32"/>
    </row>
    <row r="982" spans="3:17" ht="13">
      <c r="C982" s="103"/>
      <c r="D982" s="103"/>
      <c r="J982" s="104"/>
      <c r="K982" s="32"/>
      <c r="Q982" s="32"/>
    </row>
    <row r="983" spans="3:17" ht="13">
      <c r="C983" s="103"/>
      <c r="D983" s="103"/>
      <c r="J983" s="104"/>
      <c r="K983" s="32"/>
      <c r="Q983" s="32"/>
    </row>
    <row r="984" spans="3:17" ht="13">
      <c r="C984" s="103"/>
      <c r="D984" s="103"/>
      <c r="J984" s="104"/>
      <c r="K984" s="32"/>
      <c r="Q984" s="32"/>
    </row>
    <row r="985" spans="3:17" ht="13">
      <c r="C985" s="103"/>
      <c r="D985" s="103"/>
      <c r="J985" s="104"/>
      <c r="K985" s="32"/>
      <c r="Q985" s="32"/>
    </row>
    <row r="986" spans="3:17" ht="13">
      <c r="C986" s="103"/>
      <c r="D986" s="103"/>
      <c r="J986" s="104"/>
      <c r="K986" s="32"/>
      <c r="Q986" s="32"/>
    </row>
    <row r="987" spans="3:17" ht="13">
      <c r="C987" s="103"/>
      <c r="D987" s="103"/>
      <c r="J987" s="104"/>
      <c r="K987" s="32"/>
      <c r="Q987" s="32"/>
    </row>
    <row r="988" spans="3:17" ht="13">
      <c r="C988" s="103"/>
      <c r="D988" s="103"/>
      <c r="J988" s="104"/>
      <c r="K988" s="32"/>
      <c r="Q988" s="32"/>
    </row>
    <row r="989" spans="3:17" ht="13">
      <c r="C989" s="103"/>
      <c r="D989" s="103"/>
      <c r="J989" s="104"/>
      <c r="K989" s="32"/>
      <c r="Q989" s="32"/>
    </row>
    <row r="990" spans="3:17" ht="13">
      <c r="C990" s="103"/>
      <c r="D990" s="103"/>
      <c r="J990" s="104"/>
      <c r="K990" s="32"/>
      <c r="Q990" s="32"/>
    </row>
    <row r="991" spans="3:17" ht="13">
      <c r="C991" s="103"/>
      <c r="D991" s="103"/>
      <c r="J991" s="104"/>
      <c r="K991" s="32"/>
      <c r="Q991" s="32"/>
    </row>
    <row r="992" spans="3:17" ht="13">
      <c r="C992" s="103"/>
      <c r="D992" s="103"/>
      <c r="J992" s="104"/>
      <c r="K992" s="32"/>
      <c r="Q992" s="32"/>
    </row>
    <row r="993" spans="3:17" ht="13">
      <c r="C993" s="103"/>
      <c r="D993" s="103"/>
      <c r="J993" s="104"/>
      <c r="K993" s="32"/>
      <c r="Q993" s="32"/>
    </row>
    <row r="994" spans="3:17" ht="13">
      <c r="C994" s="103"/>
      <c r="D994" s="103"/>
      <c r="J994" s="104"/>
      <c r="K994" s="32"/>
      <c r="Q994" s="32"/>
    </row>
    <row r="995" spans="3:17" ht="13">
      <c r="C995" s="103"/>
      <c r="D995" s="103"/>
      <c r="J995" s="104"/>
      <c r="K995" s="32"/>
      <c r="Q995" s="32"/>
    </row>
    <row r="996" spans="3:17" ht="13">
      <c r="C996" s="103"/>
      <c r="D996" s="103"/>
      <c r="J996" s="104"/>
      <c r="K996" s="32"/>
      <c r="Q996" s="32"/>
    </row>
    <row r="997" spans="3:17" ht="13">
      <c r="C997" s="103"/>
      <c r="D997" s="103"/>
      <c r="J997" s="104"/>
      <c r="K997" s="32"/>
      <c r="Q997" s="32"/>
    </row>
    <row r="998" spans="3:17" ht="13">
      <c r="C998" s="103"/>
      <c r="D998" s="103"/>
      <c r="J998" s="104"/>
      <c r="K998" s="32"/>
      <c r="Q998" s="32"/>
    </row>
    <row r="999" spans="3:17" ht="13">
      <c r="C999" s="103"/>
      <c r="D999" s="103"/>
      <c r="J999" s="104"/>
      <c r="K999" s="32"/>
      <c r="Q999" s="32"/>
    </row>
    <row r="1000" spans="3:17" ht="13">
      <c r="C1000" s="103"/>
      <c r="D1000" s="103"/>
      <c r="J1000" s="104"/>
      <c r="K1000" s="32"/>
      <c r="Q1000" s="32"/>
    </row>
    <row r="1001" spans="3:17" ht="13">
      <c r="C1001" s="103"/>
      <c r="D1001" s="103"/>
      <c r="J1001" s="104"/>
      <c r="K1001" s="32"/>
      <c r="Q1001" s="32"/>
    </row>
    <row r="1002" spans="3:17" ht="13">
      <c r="C1002" s="103"/>
      <c r="D1002" s="103"/>
      <c r="J1002" s="104"/>
      <c r="K1002" s="32"/>
      <c r="Q1002" s="32"/>
    </row>
    <row r="1003" spans="3:17" ht="13">
      <c r="C1003" s="103"/>
      <c r="D1003" s="103"/>
      <c r="J1003" s="104"/>
      <c r="K1003" s="32"/>
      <c r="Q1003" s="32"/>
    </row>
  </sheetData>
  <customSheetViews>
    <customSheetView guid="{CCD90A06-F9A0-47F4-B370-3694B372724D}" filter="1" showAutoFilter="1">
      <pageMargins left="0.7" right="0.7" top="0.75" bottom="0.75" header="0.3" footer="0.3"/>
      <autoFilter ref="F1:F1003" xr:uid="{00000000-0000-0000-0000-000000000000}"/>
    </customSheetView>
  </customSheetViews>
  <mergeCells count="2">
    <mergeCell ref="G1:I1"/>
    <mergeCell ref="L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15"/>
  <sheetViews>
    <sheetView tabSelected="1" workbookViewId="0">
      <selection activeCell="G2" sqref="G2"/>
    </sheetView>
  </sheetViews>
  <sheetFormatPr baseColWidth="10" defaultColWidth="14.5" defaultRowHeight="15.75" customHeight="1"/>
  <cols>
    <col min="5" max="5" width="35" customWidth="1"/>
    <col min="6" max="6" width="13.5" customWidth="1"/>
    <col min="10" max="10" width="21" customWidth="1"/>
  </cols>
  <sheetData>
    <row r="1" spans="1:14" ht="15">
      <c r="A1" s="381"/>
      <c r="B1" s="382"/>
      <c r="C1" s="380" t="s">
        <v>431</v>
      </c>
      <c r="D1" s="380" t="s">
        <v>526</v>
      </c>
      <c r="E1" s="383" t="s">
        <v>754</v>
      </c>
      <c r="F1" s="383" t="s">
        <v>755</v>
      </c>
      <c r="G1" s="380" t="s">
        <v>527</v>
      </c>
      <c r="H1" s="380" t="s">
        <v>528</v>
      </c>
    </row>
    <row r="2" spans="1:14" ht="15">
      <c r="A2" s="384" t="s">
        <v>435</v>
      </c>
      <c r="B2" s="385" t="s">
        <v>67</v>
      </c>
      <c r="C2" s="386">
        <v>6</v>
      </c>
      <c r="D2" s="387">
        <v>18</v>
      </c>
      <c r="E2" s="388">
        <v>8.6104099999999981</v>
      </c>
      <c r="F2" s="387">
        <f>(0.92*D2)</f>
        <v>16.560000000000002</v>
      </c>
      <c r="G2" s="388">
        <f>(E2-E$37)/E$39</f>
        <v>-0.2477798115594376</v>
      </c>
      <c r="H2" s="387">
        <f t="shared" ref="H2:H35" si="0">(E2-F$37)/F$39</f>
        <v>-1.6785189888184426</v>
      </c>
      <c r="I2" s="389"/>
      <c r="J2" s="390"/>
      <c r="K2" s="170"/>
      <c r="L2" s="170"/>
      <c r="M2" s="100"/>
    </row>
    <row r="3" spans="1:14" ht="15">
      <c r="A3" s="384" t="s">
        <v>408</v>
      </c>
      <c r="B3" s="385" t="s">
        <v>409</v>
      </c>
      <c r="C3" s="386">
        <v>7</v>
      </c>
      <c r="D3" s="387">
        <v>18</v>
      </c>
      <c r="E3" s="388">
        <v>13.950666666666667</v>
      </c>
      <c r="F3" s="387">
        <f t="shared" ref="F3:F4" si="1">(0.92*D3)</f>
        <v>16.560000000000002</v>
      </c>
      <c r="G3" s="391">
        <f>(E3-E$37)/E$39</f>
        <v>1.1915310631199816</v>
      </c>
      <c r="H3" s="387">
        <f t="shared" si="0"/>
        <v>-0.9722365720181968</v>
      </c>
      <c r="I3" s="389"/>
      <c r="J3" s="390"/>
      <c r="K3" s="100"/>
      <c r="L3" s="170"/>
      <c r="M3" s="170"/>
    </row>
    <row r="4" spans="1:14" ht="15">
      <c r="A4" s="392" t="s">
        <v>436</v>
      </c>
      <c r="B4" s="393" t="s">
        <v>15</v>
      </c>
      <c r="C4" s="394">
        <v>6</v>
      </c>
      <c r="D4" s="387">
        <v>16.3</v>
      </c>
      <c r="E4" s="388">
        <v>12.537333333333333</v>
      </c>
      <c r="F4" s="387">
        <f t="shared" si="1"/>
        <v>14.996</v>
      </c>
      <c r="G4" s="391">
        <f t="shared" ref="G2:G35" si="2">(E4-E$37)/E$39</f>
        <v>0.81060816686463699</v>
      </c>
      <c r="H4" s="387">
        <f t="shared" si="0"/>
        <v>-1.1591587640996661</v>
      </c>
      <c r="I4" s="389"/>
      <c r="J4" s="390"/>
      <c r="K4" s="100"/>
      <c r="L4" s="170"/>
      <c r="M4" s="170"/>
    </row>
    <row r="5" spans="1:14" ht="15">
      <c r="A5" s="384" t="s">
        <v>437</v>
      </c>
      <c r="B5" s="385" t="s">
        <v>438</v>
      </c>
      <c r="C5" s="386">
        <v>10</v>
      </c>
      <c r="D5" s="387">
        <v>53.5</v>
      </c>
      <c r="E5" s="388">
        <v>5.3066666666666666</v>
      </c>
      <c r="F5" s="387">
        <f>(0.9*D5)</f>
        <v>48.15</v>
      </c>
      <c r="G5" s="388">
        <f t="shared" si="2"/>
        <v>-1.1382077448266206</v>
      </c>
      <c r="H5" s="387">
        <f t="shared" si="0"/>
        <v>-2.115459752456089</v>
      </c>
      <c r="I5" s="389"/>
      <c r="J5" s="389"/>
      <c r="K5" s="145"/>
      <c r="L5" s="177"/>
      <c r="M5" s="177"/>
    </row>
    <row r="6" spans="1:14" ht="15">
      <c r="A6" s="392" t="s">
        <v>439</v>
      </c>
      <c r="B6" s="393" t="s">
        <v>207</v>
      </c>
      <c r="C6" s="393">
        <v>8</v>
      </c>
      <c r="D6" s="387">
        <v>20</v>
      </c>
      <c r="E6" s="388">
        <v>5.3066666666666666</v>
      </c>
      <c r="F6" s="387">
        <f t="shared" ref="F6:F7" si="3">(0.92*D6)</f>
        <v>18.400000000000002</v>
      </c>
      <c r="G6" s="388">
        <f t="shared" si="2"/>
        <v>-1.1382077448266206</v>
      </c>
      <c r="H6" s="387">
        <f t="shared" si="0"/>
        <v>-2.115459752456089</v>
      </c>
      <c r="I6" s="389"/>
      <c r="J6" s="390"/>
      <c r="K6" s="100"/>
      <c r="L6" s="177"/>
      <c r="M6" s="181"/>
    </row>
    <row r="7" spans="1:14" ht="15">
      <c r="A7" s="392" t="s">
        <v>440</v>
      </c>
      <c r="B7" s="393" t="s">
        <v>257</v>
      </c>
      <c r="C7" s="394">
        <v>6</v>
      </c>
      <c r="D7" s="387">
        <v>19</v>
      </c>
      <c r="E7" s="388">
        <v>5.3066666666666666</v>
      </c>
      <c r="F7" s="387">
        <f t="shared" si="3"/>
        <v>17.48</v>
      </c>
      <c r="G7" s="388">
        <f t="shared" si="2"/>
        <v>-1.1382077448266206</v>
      </c>
      <c r="H7" s="387">
        <f t="shared" si="0"/>
        <v>-2.115459752456089</v>
      </c>
      <c r="I7" s="389"/>
      <c r="J7" s="390"/>
      <c r="K7" s="100"/>
      <c r="L7" s="170"/>
      <c r="M7" s="170"/>
    </row>
    <row r="8" spans="1:14" ht="15">
      <c r="A8" s="384" t="s">
        <v>441</v>
      </c>
      <c r="B8" s="385" t="s">
        <v>36</v>
      </c>
      <c r="C8" s="386">
        <v>9</v>
      </c>
      <c r="D8" s="387">
        <v>23.1</v>
      </c>
      <c r="E8" s="388">
        <v>9.1386216666666673</v>
      </c>
      <c r="F8" s="387">
        <v>48.15</v>
      </c>
      <c r="G8" s="388">
        <f t="shared" si="2"/>
        <v>-0.10541571870387374</v>
      </c>
      <c r="H8" s="387">
        <f t="shared" si="0"/>
        <v>-1.608659685080466</v>
      </c>
      <c r="I8" s="389"/>
      <c r="J8" s="395"/>
      <c r="K8" s="183"/>
      <c r="L8" s="184"/>
      <c r="M8" s="184"/>
    </row>
    <row r="9" spans="1:14" ht="15">
      <c r="A9" s="396" t="s">
        <v>442</v>
      </c>
      <c r="B9" s="396" t="s">
        <v>443</v>
      </c>
      <c r="C9" s="388">
        <v>8</v>
      </c>
      <c r="D9" s="387">
        <v>23</v>
      </c>
      <c r="E9" s="388">
        <v>14.452999999999999</v>
      </c>
      <c r="F9" s="387">
        <f t="shared" ref="F9:F10" si="4">(0.92*D9)</f>
        <v>21.16</v>
      </c>
      <c r="G9" s="388">
        <f t="shared" si="2"/>
        <v>1.3269204038409259</v>
      </c>
      <c r="H9" s="387">
        <f t="shared" si="0"/>
        <v>-0.90579984006848602</v>
      </c>
      <c r="I9" s="389"/>
      <c r="J9" s="390"/>
      <c r="K9" s="100"/>
      <c r="L9" s="170"/>
      <c r="M9" s="100"/>
    </row>
    <row r="10" spans="1:14" ht="15">
      <c r="A10" s="387" t="s">
        <v>444</v>
      </c>
      <c r="B10" s="387" t="s">
        <v>59</v>
      </c>
      <c r="C10" s="397">
        <v>8</v>
      </c>
      <c r="D10" s="387">
        <v>29.4</v>
      </c>
      <c r="E10" s="388">
        <v>11.129999999999999</v>
      </c>
      <c r="F10" s="387">
        <f t="shared" si="4"/>
        <v>27.047999999999998</v>
      </c>
      <c r="G10" s="388">
        <f t="shared" si="2"/>
        <v>0.43130239611226318</v>
      </c>
      <c r="H10" s="387">
        <f t="shared" si="0"/>
        <v>-1.3452874185732426</v>
      </c>
      <c r="I10" s="389"/>
      <c r="J10" s="390"/>
      <c r="K10" s="100"/>
      <c r="L10" s="170"/>
      <c r="M10" s="100"/>
    </row>
    <row r="11" spans="1:14" ht="15">
      <c r="A11" s="387" t="s">
        <v>445</v>
      </c>
      <c r="B11" s="387" t="s">
        <v>234</v>
      </c>
      <c r="C11" s="397">
        <v>9</v>
      </c>
      <c r="D11" s="387">
        <v>27.3</v>
      </c>
      <c r="E11" s="388">
        <v>7.6654779999999993</v>
      </c>
      <c r="F11" s="387">
        <f>(0.9*D11)</f>
        <v>24.57</v>
      </c>
      <c r="G11" s="388">
        <f t="shared" si="2"/>
        <v>-0.5024587508549716</v>
      </c>
      <c r="H11" s="387">
        <f t="shared" si="0"/>
        <v>-1.8034921686353718</v>
      </c>
      <c r="I11" s="389"/>
      <c r="J11" s="390"/>
      <c r="K11" s="170"/>
      <c r="L11" s="170"/>
      <c r="M11" s="100"/>
    </row>
    <row r="12" spans="1:14" ht="15">
      <c r="A12" s="387" t="s">
        <v>446</v>
      </c>
      <c r="B12" s="387" t="s">
        <v>248</v>
      </c>
      <c r="C12" s="397">
        <v>7</v>
      </c>
      <c r="D12" s="387">
        <v>26.5</v>
      </c>
      <c r="E12" s="388">
        <v>7.6654779999999993</v>
      </c>
      <c r="F12" s="387">
        <f t="shared" ref="F12:F13" si="5">(0.92*D12)</f>
        <v>24.380000000000003</v>
      </c>
      <c r="G12" s="388">
        <f t="shared" si="2"/>
        <v>-0.5024587508549716</v>
      </c>
      <c r="H12" s="387">
        <f t="shared" si="0"/>
        <v>-1.8034921686353718</v>
      </c>
      <c r="I12" s="389"/>
      <c r="J12" s="390"/>
      <c r="K12" s="100"/>
      <c r="L12" s="170"/>
      <c r="M12" s="191"/>
    </row>
    <row r="13" spans="1:14" ht="15">
      <c r="A13" s="387" t="s">
        <v>447</v>
      </c>
      <c r="B13" s="387" t="s">
        <v>148</v>
      </c>
      <c r="C13" s="397">
        <v>7</v>
      </c>
      <c r="D13" s="387">
        <v>21.4</v>
      </c>
      <c r="E13" s="388">
        <v>7.6654779999999993</v>
      </c>
      <c r="F13" s="387">
        <f t="shared" si="5"/>
        <v>19.687999999999999</v>
      </c>
      <c r="G13" s="388">
        <f t="shared" si="2"/>
        <v>-0.5024587508549716</v>
      </c>
      <c r="H13" s="387">
        <f t="shared" si="0"/>
        <v>-1.8034921686353718</v>
      </c>
      <c r="I13" s="389"/>
      <c r="J13" s="390"/>
      <c r="K13" s="100"/>
      <c r="L13" s="170"/>
      <c r="M13" s="100"/>
    </row>
    <row r="14" spans="1:14" ht="15">
      <c r="A14" s="387" t="s">
        <v>448</v>
      </c>
      <c r="B14" s="387" t="s">
        <v>46</v>
      </c>
      <c r="C14" s="397">
        <v>10</v>
      </c>
      <c r="D14" s="387">
        <v>25.2</v>
      </c>
      <c r="E14" s="388">
        <v>16.903256333333331</v>
      </c>
      <c r="F14" s="387">
        <f>(0.9*D14)</f>
        <v>22.68</v>
      </c>
      <c r="G14" s="388">
        <f t="shared" si="2"/>
        <v>1.9873157380824356</v>
      </c>
      <c r="H14" s="387">
        <f t="shared" si="0"/>
        <v>-0.58173808182213949</v>
      </c>
      <c r="I14" s="389"/>
      <c r="J14" s="390"/>
      <c r="K14" s="100"/>
      <c r="L14" s="145"/>
      <c r="M14" s="55"/>
    </row>
    <row r="15" spans="1:14" ht="15">
      <c r="A15" s="387" t="s">
        <v>449</v>
      </c>
      <c r="B15" s="387" t="s">
        <v>26</v>
      </c>
      <c r="C15" s="397">
        <v>6</v>
      </c>
      <c r="D15" s="387">
        <v>19.100000000000001</v>
      </c>
      <c r="E15" s="388">
        <v>7.9733333333333327</v>
      </c>
      <c r="F15" s="387">
        <f t="shared" ref="F15:F17" si="6">(0.92*D15)</f>
        <v>17.572000000000003</v>
      </c>
      <c r="G15" s="388">
        <f t="shared" si="2"/>
        <v>-0.41948529906181981</v>
      </c>
      <c r="H15" s="387">
        <f t="shared" si="0"/>
        <v>-1.7627763711702977</v>
      </c>
      <c r="I15" s="389"/>
      <c r="J15" s="389"/>
      <c r="K15" s="145"/>
      <c r="L15" s="183"/>
      <c r="M15" s="183"/>
      <c r="N15" s="172"/>
    </row>
    <row r="16" spans="1:14" ht="15">
      <c r="A16" s="387" t="s">
        <v>450</v>
      </c>
      <c r="B16" s="387" t="s">
        <v>375</v>
      </c>
      <c r="C16" s="387">
        <v>8</v>
      </c>
      <c r="D16" s="397">
        <v>23.7</v>
      </c>
      <c r="E16" s="388">
        <v>3.2340113333333336</v>
      </c>
      <c r="F16" s="387">
        <f t="shared" si="6"/>
        <v>21.804000000000002</v>
      </c>
      <c r="G16" s="388">
        <f t="shared" si="2"/>
        <v>-1.6968317112269176</v>
      </c>
      <c r="H16" s="387">
        <f t="shared" si="0"/>
        <v>-2.3895814116560992</v>
      </c>
      <c r="I16" s="389"/>
      <c r="J16" s="390"/>
      <c r="K16" s="100"/>
      <c r="L16" s="177"/>
      <c r="M16" s="177"/>
    </row>
    <row r="17" spans="1:14" ht="15">
      <c r="A17" s="387" t="s">
        <v>451</v>
      </c>
      <c r="B17" s="387" t="s">
        <v>452</v>
      </c>
      <c r="C17" s="387">
        <v>6</v>
      </c>
      <c r="D17" s="397">
        <v>18.100000000000001</v>
      </c>
      <c r="E17" s="388">
        <v>3.2340113333333336</v>
      </c>
      <c r="F17" s="387">
        <f t="shared" si="6"/>
        <v>16.652000000000001</v>
      </c>
      <c r="G17" s="388">
        <f t="shared" si="2"/>
        <v>-1.6968317112269176</v>
      </c>
      <c r="H17" s="387">
        <f t="shared" si="0"/>
        <v>-2.3895814116560992</v>
      </c>
      <c r="I17" s="398"/>
      <c r="J17" s="398"/>
      <c r="K17" s="194"/>
      <c r="L17" s="194"/>
      <c r="M17" s="194"/>
      <c r="N17" s="194"/>
    </row>
    <row r="18" spans="1:14" ht="15">
      <c r="A18" s="388" t="s">
        <v>137</v>
      </c>
      <c r="B18" s="388" t="s">
        <v>138</v>
      </c>
      <c r="C18" s="388">
        <v>10</v>
      </c>
      <c r="D18" s="397">
        <v>24.6</v>
      </c>
      <c r="E18" s="388">
        <v>8.8196666666666683</v>
      </c>
      <c r="F18" s="387">
        <f>(0.9*D18)</f>
        <v>22.14</v>
      </c>
      <c r="G18" s="388">
        <f t="shared" si="2"/>
        <v>-0.1913807628372155</v>
      </c>
      <c r="H18" s="387">
        <f t="shared" si="0"/>
        <v>-1.6508434830347194</v>
      </c>
      <c r="I18" s="398"/>
      <c r="J18" s="398"/>
      <c r="K18" s="194"/>
      <c r="L18" s="194"/>
      <c r="M18" s="194"/>
      <c r="N18" s="194"/>
    </row>
    <row r="19" spans="1:14" ht="15">
      <c r="A19" s="388" t="s">
        <v>454</v>
      </c>
      <c r="B19" s="388" t="s">
        <v>177</v>
      </c>
      <c r="C19" s="388">
        <v>6</v>
      </c>
      <c r="D19" s="397">
        <v>18.100000000000001</v>
      </c>
      <c r="E19" s="388">
        <v>8.8196666666666683</v>
      </c>
      <c r="F19" s="387">
        <f>(0.92*D19)</f>
        <v>16.652000000000001</v>
      </c>
      <c r="G19" s="388">
        <f t="shared" si="2"/>
        <v>-0.1913807628372155</v>
      </c>
      <c r="H19" s="387">
        <f t="shared" si="0"/>
        <v>-1.6508434830347194</v>
      </c>
      <c r="I19" s="399"/>
      <c r="J19" s="400"/>
      <c r="K19" s="195"/>
      <c r="L19" s="195"/>
      <c r="M19" s="195"/>
      <c r="N19" s="195"/>
    </row>
    <row r="20" spans="1:14" ht="15">
      <c r="A20" s="384" t="s">
        <v>455</v>
      </c>
      <c r="B20" s="385" t="s">
        <v>348</v>
      </c>
      <c r="C20" s="388">
        <v>10</v>
      </c>
      <c r="D20" s="397">
        <v>24.6</v>
      </c>
      <c r="E20" s="388">
        <v>8.5193333333333321</v>
      </c>
      <c r="F20" s="387">
        <f t="shared" ref="F20:F21" si="7">(0.9*D20)</f>
        <v>22.14</v>
      </c>
      <c r="G20" s="388">
        <f t="shared" si="2"/>
        <v>-0.272326878291477</v>
      </c>
      <c r="H20" s="387">
        <f t="shared" si="0"/>
        <v>-1.6905644488520322</v>
      </c>
      <c r="I20" s="389"/>
      <c r="J20" s="389"/>
      <c r="K20" s="145"/>
      <c r="L20" s="170"/>
      <c r="M20" s="100"/>
      <c r="N20" s="100"/>
    </row>
    <row r="21" spans="1:14" ht="15">
      <c r="A21" s="392" t="s">
        <v>456</v>
      </c>
      <c r="B21" s="393" t="s">
        <v>362</v>
      </c>
      <c r="C21" s="388">
        <v>9</v>
      </c>
      <c r="D21" s="397">
        <v>22.5</v>
      </c>
      <c r="E21" s="388">
        <v>8.5193333333333321</v>
      </c>
      <c r="F21" s="387">
        <f t="shared" si="7"/>
        <v>20.25</v>
      </c>
      <c r="G21" s="388">
        <f t="shared" si="2"/>
        <v>-0.272326878291477</v>
      </c>
      <c r="H21" s="387">
        <f t="shared" si="0"/>
        <v>-1.6905644488520322</v>
      </c>
      <c r="I21" s="389"/>
      <c r="J21" s="389"/>
      <c r="K21" s="145"/>
      <c r="L21" s="170"/>
      <c r="M21" s="100"/>
      <c r="N21" s="100"/>
    </row>
    <row r="22" spans="1:14" ht="15">
      <c r="A22" s="384" t="s">
        <v>457</v>
      </c>
      <c r="B22" s="385" t="s">
        <v>458</v>
      </c>
      <c r="C22" s="385">
        <v>6</v>
      </c>
      <c r="D22" s="397">
        <v>14.7</v>
      </c>
      <c r="E22" s="388">
        <v>3.8185600000000002</v>
      </c>
      <c r="F22" s="387">
        <f>(0.92*D22)</f>
        <v>13.523999999999999</v>
      </c>
      <c r="G22" s="388">
        <f t="shared" si="2"/>
        <v>-1.5392836184612102</v>
      </c>
      <c r="H22" s="387">
        <f t="shared" si="0"/>
        <v>-2.3122711865488115</v>
      </c>
      <c r="I22" s="395"/>
      <c r="J22" s="395"/>
      <c r="K22" s="183"/>
      <c r="L22" s="170"/>
      <c r="M22" s="100"/>
      <c r="N22" s="100"/>
    </row>
    <row r="23" spans="1:14" ht="15">
      <c r="A23" s="384" t="s">
        <v>459</v>
      </c>
      <c r="B23" s="385" t="s">
        <v>268</v>
      </c>
      <c r="C23" s="385">
        <v>9</v>
      </c>
      <c r="D23" s="397">
        <v>21.5</v>
      </c>
      <c r="E23" s="388">
        <v>8.7843333333333344</v>
      </c>
      <c r="F23" s="387">
        <f>(0.9*D23)</f>
        <v>19.350000000000001</v>
      </c>
      <c r="G23" s="388">
        <f t="shared" si="2"/>
        <v>-0.20090383524359925</v>
      </c>
      <c r="H23" s="387">
        <f t="shared" si="0"/>
        <v>-1.6555165378367562</v>
      </c>
      <c r="I23" s="395"/>
      <c r="J23" s="398"/>
      <c r="K23" s="183"/>
      <c r="L23" s="170"/>
      <c r="M23" s="100"/>
      <c r="N23" s="100"/>
    </row>
    <row r="24" spans="1:14" ht="15">
      <c r="A24" s="392" t="s">
        <v>460</v>
      </c>
      <c r="B24" s="393" t="s">
        <v>75</v>
      </c>
      <c r="C24" s="393">
        <v>8</v>
      </c>
      <c r="D24" s="397">
        <v>17.8</v>
      </c>
      <c r="E24" s="388">
        <v>8.7843333333333344</v>
      </c>
      <c r="F24" s="387">
        <f t="shared" ref="F24:F25" si="8">(0.92*D24)</f>
        <v>16.376000000000001</v>
      </c>
      <c r="G24" s="388">
        <f t="shared" si="2"/>
        <v>-0.20090383524359925</v>
      </c>
      <c r="H24" s="387">
        <f t="shared" si="0"/>
        <v>-1.6555165378367562</v>
      </c>
      <c r="I24" s="389"/>
      <c r="J24" s="395"/>
      <c r="K24" s="183"/>
      <c r="L24" s="170"/>
      <c r="M24" s="100"/>
      <c r="N24" s="100"/>
    </row>
    <row r="25" spans="1:14" ht="15">
      <c r="A25" s="392" t="s">
        <v>461</v>
      </c>
      <c r="B25" s="393" t="s">
        <v>278</v>
      </c>
      <c r="C25" s="393">
        <v>7</v>
      </c>
      <c r="D25" s="397">
        <v>17.600000000000001</v>
      </c>
      <c r="E25" s="388">
        <v>8.7843333333333344</v>
      </c>
      <c r="F25" s="387">
        <f t="shared" si="8"/>
        <v>16.192000000000004</v>
      </c>
      <c r="G25" s="388">
        <f t="shared" si="2"/>
        <v>-0.20090383524359925</v>
      </c>
      <c r="H25" s="387">
        <f t="shared" si="0"/>
        <v>-1.6555165378367562</v>
      </c>
      <c r="I25" s="389"/>
      <c r="J25" s="395"/>
      <c r="K25" s="183"/>
      <c r="L25" s="170"/>
      <c r="M25" s="100"/>
      <c r="N25" s="100"/>
    </row>
    <row r="26" spans="1:14" ht="15">
      <c r="A26" s="384" t="s">
        <v>462</v>
      </c>
      <c r="B26" s="385" t="s">
        <v>330</v>
      </c>
      <c r="C26" s="386">
        <v>11</v>
      </c>
      <c r="D26" s="397">
        <v>25.2</v>
      </c>
      <c r="E26" s="388">
        <v>15.866666666666669</v>
      </c>
      <c r="F26" s="387">
        <f t="shared" ref="F26:F27" si="9">(0.9*D26)</f>
        <v>22.68</v>
      </c>
      <c r="G26" s="388">
        <f t="shared" si="2"/>
        <v>1.7079331404019917</v>
      </c>
      <c r="H26" s="387">
        <f t="shared" si="0"/>
        <v>-0.7188335625643556</v>
      </c>
      <c r="I26" s="389"/>
      <c r="J26" s="389"/>
      <c r="K26" s="145"/>
      <c r="L26" s="170"/>
      <c r="M26" s="100"/>
      <c r="N26" s="100"/>
    </row>
    <row r="27" spans="1:14" ht="15">
      <c r="A27" s="392" t="s">
        <v>463</v>
      </c>
      <c r="B27" s="393" t="s">
        <v>339</v>
      </c>
      <c r="C27" s="394">
        <v>9</v>
      </c>
      <c r="D27" s="397">
        <v>21.2</v>
      </c>
      <c r="E27" s="388">
        <v>15.866666666666669</v>
      </c>
      <c r="F27" s="387">
        <f t="shared" si="9"/>
        <v>19.079999999999998</v>
      </c>
      <c r="G27" s="388">
        <f t="shared" si="2"/>
        <v>1.7079331404019917</v>
      </c>
      <c r="H27" s="387">
        <f t="shared" si="0"/>
        <v>-0.7188335625643556</v>
      </c>
      <c r="I27" s="389"/>
      <c r="J27" s="395"/>
      <c r="K27" s="183"/>
      <c r="L27" s="170"/>
      <c r="M27" s="100"/>
      <c r="N27" s="100"/>
    </row>
    <row r="28" spans="1:14" ht="15">
      <c r="A28" s="392" t="s">
        <v>464</v>
      </c>
      <c r="B28" s="393" t="s">
        <v>104</v>
      </c>
      <c r="C28" s="394">
        <v>7</v>
      </c>
      <c r="D28" s="397">
        <v>15.2</v>
      </c>
      <c r="E28" s="388">
        <v>15.866666666666669</v>
      </c>
      <c r="F28" s="387">
        <f>(0.92*D28)</f>
        <v>13.984</v>
      </c>
      <c r="G28" s="388">
        <f t="shared" si="2"/>
        <v>1.7079331404019917</v>
      </c>
      <c r="H28" s="387">
        <f t="shared" si="0"/>
        <v>-0.7188335625643556</v>
      </c>
      <c r="I28" s="389"/>
      <c r="J28" s="395"/>
      <c r="K28" s="183"/>
      <c r="L28" s="170"/>
      <c r="M28" s="100"/>
      <c r="N28" s="100"/>
    </row>
    <row r="29" spans="1:14" ht="15">
      <c r="A29" s="384" t="s">
        <v>465</v>
      </c>
      <c r="B29" s="385" t="s">
        <v>96</v>
      </c>
      <c r="C29" s="386">
        <v>10</v>
      </c>
      <c r="D29" s="397">
        <v>29.1</v>
      </c>
      <c r="E29" s="388">
        <v>6.8963333333333328</v>
      </c>
      <c r="F29" s="387">
        <f>(0.9*D29)</f>
        <v>26.19</v>
      </c>
      <c r="G29" s="388">
        <f t="shared" si="2"/>
        <v>-0.70975932684507881</v>
      </c>
      <c r="H29" s="387">
        <f t="shared" si="0"/>
        <v>-1.9052163717870967</v>
      </c>
      <c r="I29" s="389"/>
      <c r="J29" s="389"/>
      <c r="K29" s="145"/>
      <c r="L29" s="170"/>
      <c r="M29" s="100"/>
      <c r="N29" s="100"/>
    </row>
    <row r="30" spans="1:14" ht="15">
      <c r="A30" s="392" t="s">
        <v>466</v>
      </c>
      <c r="B30" s="393" t="s">
        <v>317</v>
      </c>
      <c r="C30" s="394">
        <v>8</v>
      </c>
      <c r="D30" s="397">
        <v>19.7</v>
      </c>
      <c r="E30" s="388">
        <v>6.8963333333333328</v>
      </c>
      <c r="F30" s="387">
        <f>(0.92*D30)</f>
        <v>18.123999999999999</v>
      </c>
      <c r="G30" s="388">
        <f t="shared" si="2"/>
        <v>-0.70975932684507881</v>
      </c>
      <c r="H30" s="387">
        <f t="shared" si="0"/>
        <v>-1.9052163717870967</v>
      </c>
      <c r="I30" s="389"/>
      <c r="J30" s="389"/>
      <c r="K30" s="145"/>
      <c r="L30" s="170"/>
      <c r="M30" s="100"/>
      <c r="N30" s="100"/>
    </row>
    <row r="31" spans="1:14" ht="15">
      <c r="A31" s="384" t="s">
        <v>467</v>
      </c>
      <c r="B31" s="385" t="s">
        <v>116</v>
      </c>
      <c r="C31" s="386">
        <v>10</v>
      </c>
      <c r="D31" s="397">
        <v>24.1</v>
      </c>
      <c r="E31" s="388">
        <v>13.646666666666667</v>
      </c>
      <c r="F31" s="387">
        <f t="shared" ref="F31:F32" si="10">(0.9*D31)</f>
        <v>21.69</v>
      </c>
      <c r="G31" s="388">
        <f t="shared" si="2"/>
        <v>1.1095967043027943</v>
      </c>
      <c r="H31" s="387">
        <f t="shared" si="0"/>
        <v>-1.0124424774847771</v>
      </c>
      <c r="I31" s="389"/>
      <c r="J31" s="389"/>
      <c r="K31" s="145"/>
      <c r="L31" s="170"/>
      <c r="M31" s="100"/>
      <c r="N31" s="100"/>
    </row>
    <row r="32" spans="1:14" ht="15">
      <c r="A32" s="388"/>
      <c r="B32" s="387" t="s">
        <v>290</v>
      </c>
      <c r="C32" s="388">
        <v>10</v>
      </c>
      <c r="D32" s="401">
        <v>23</v>
      </c>
      <c r="E32" s="388">
        <v>11.257333333333333</v>
      </c>
      <c r="F32" s="387">
        <f t="shared" si="10"/>
        <v>20.7</v>
      </c>
      <c r="G32" s="388">
        <f t="shared" si="2"/>
        <v>0.46562139289753274</v>
      </c>
      <c r="H32" s="387">
        <f t="shared" si="0"/>
        <v>-1.3284467871168459</v>
      </c>
      <c r="I32" s="389"/>
      <c r="J32" s="390"/>
      <c r="K32" s="100"/>
      <c r="L32" s="100"/>
      <c r="M32" s="100"/>
      <c r="N32" s="100"/>
    </row>
    <row r="33" spans="1:14" ht="15">
      <c r="A33" s="388"/>
      <c r="B33" s="387" t="s">
        <v>303</v>
      </c>
      <c r="C33" s="388">
        <v>8</v>
      </c>
      <c r="D33" s="401">
        <v>20.399999999999999</v>
      </c>
      <c r="E33" s="388">
        <v>11.257333333333333</v>
      </c>
      <c r="F33" s="387">
        <f t="shared" ref="F33:F35" si="11">(0.92*D33)</f>
        <v>18.768000000000001</v>
      </c>
      <c r="G33" s="388">
        <f t="shared" si="2"/>
        <v>0.46562139289753274</v>
      </c>
      <c r="H33" s="387">
        <f t="shared" si="0"/>
        <v>-1.3284467871168459</v>
      </c>
      <c r="I33" s="389"/>
      <c r="J33" s="390"/>
      <c r="K33" s="100"/>
      <c r="L33" s="170"/>
      <c r="M33" s="100"/>
      <c r="N33" s="100"/>
    </row>
    <row r="34" spans="1:14" ht="15">
      <c r="A34" s="387" t="s">
        <v>503</v>
      </c>
      <c r="B34" s="387" t="s">
        <v>190</v>
      </c>
      <c r="C34" s="387">
        <v>6</v>
      </c>
      <c r="D34" s="397">
        <v>21.1</v>
      </c>
      <c r="E34" s="391">
        <v>11.129999999999999</v>
      </c>
      <c r="F34" s="387">
        <f t="shared" si="11"/>
        <v>19.412000000000003</v>
      </c>
      <c r="G34" s="388">
        <f t="shared" si="2"/>
        <v>0.43130239611226318</v>
      </c>
      <c r="H34" s="387">
        <f t="shared" si="0"/>
        <v>-1.3452874185732426</v>
      </c>
      <c r="I34" s="389"/>
      <c r="J34" s="390"/>
      <c r="K34" s="100"/>
      <c r="L34" s="170"/>
      <c r="M34" s="100"/>
      <c r="N34" s="100"/>
    </row>
    <row r="35" spans="1:14" ht="15">
      <c r="A35" s="387" t="s">
        <v>387</v>
      </c>
      <c r="B35" s="387" t="s">
        <v>504</v>
      </c>
      <c r="C35" s="387">
        <v>8</v>
      </c>
      <c r="D35" s="397">
        <v>23</v>
      </c>
      <c r="E35" s="391">
        <v>10.396666666666667</v>
      </c>
      <c r="F35" s="387">
        <f t="shared" si="11"/>
        <v>21.16</v>
      </c>
      <c r="G35" s="388">
        <f t="shared" si="2"/>
        <v>0.23365372352694316</v>
      </c>
      <c r="H35" s="387">
        <f t="shared" si="0"/>
        <v>-1.4422753484268349</v>
      </c>
      <c r="I35" s="389"/>
      <c r="J35" s="390"/>
      <c r="K35" s="100"/>
      <c r="L35" s="170"/>
      <c r="M35" s="100"/>
      <c r="N35" s="100"/>
    </row>
    <row r="36" spans="1:14" ht="15">
      <c r="A36" s="395"/>
      <c r="B36" s="395"/>
      <c r="C36" s="395"/>
      <c r="D36" s="395"/>
      <c r="E36" s="395"/>
      <c r="F36" s="395"/>
      <c r="G36" s="395"/>
      <c r="H36" s="395"/>
      <c r="I36" s="389"/>
      <c r="J36" s="390"/>
      <c r="K36" s="100"/>
      <c r="L36" s="170"/>
      <c r="M36" s="100"/>
      <c r="N36" s="100"/>
    </row>
    <row r="37" spans="1:14" ht="15">
      <c r="A37" s="395"/>
      <c r="B37" s="395"/>
      <c r="C37" s="395"/>
      <c r="D37" s="395" t="s">
        <v>507</v>
      </c>
      <c r="E37" s="395">
        <f>AVERAGE(E2:E35)</f>
        <v>9.5297442549019618</v>
      </c>
      <c r="F37" s="395">
        <f t="shared" ref="E37:F37" si="12">AVERAGE(F2:F35)</f>
        <v>21.30182352941177</v>
      </c>
      <c r="G37" s="395"/>
      <c r="H37" s="395"/>
      <c r="I37" s="389"/>
      <c r="J37" s="390"/>
      <c r="K37" s="170"/>
      <c r="L37" s="170"/>
      <c r="N37" s="209"/>
    </row>
    <row r="38" spans="1:14" ht="15">
      <c r="A38" s="395"/>
      <c r="B38" s="395"/>
      <c r="C38" s="395"/>
      <c r="D38" s="395" t="s">
        <v>546</v>
      </c>
      <c r="E38" s="395">
        <f t="shared" ref="E38:F38" si="13">VAR(E2:E35)</f>
        <v>13.766230856552738</v>
      </c>
      <c r="F38" s="395">
        <f t="shared" si="13"/>
        <v>57.169905301247567</v>
      </c>
      <c r="G38" s="395"/>
      <c r="H38" s="395"/>
      <c r="I38" s="395"/>
      <c r="J38" s="395"/>
      <c r="L38" s="170"/>
      <c r="N38" s="210"/>
    </row>
    <row r="39" spans="1:14" ht="15">
      <c r="A39" s="395"/>
      <c r="B39" s="395"/>
      <c r="C39" s="395"/>
      <c r="D39" s="395" t="s">
        <v>547</v>
      </c>
      <c r="E39" s="395">
        <f>SQRT(E38)</f>
        <v>3.7102871663191701</v>
      </c>
      <c r="F39" s="395">
        <f t="shared" ref="E39:F39" si="14">SQRT(F38)</f>
        <v>7.5610783160371753</v>
      </c>
      <c r="G39" s="395"/>
      <c r="H39" s="395"/>
      <c r="I39" s="395"/>
      <c r="J39" s="395"/>
      <c r="L39" s="170"/>
      <c r="M39" s="211"/>
      <c r="N39" s="209"/>
    </row>
    <row r="40" spans="1:14" ht="15">
      <c r="A40" s="395" t="s">
        <v>548</v>
      </c>
      <c r="B40" s="395"/>
      <c r="C40" s="395"/>
      <c r="D40" s="395"/>
      <c r="E40" s="395"/>
      <c r="F40" s="395"/>
      <c r="G40" s="395"/>
      <c r="H40" s="389"/>
      <c r="I40" s="389"/>
      <c r="J40" s="390"/>
      <c r="K40" s="170"/>
      <c r="L40" s="170"/>
      <c r="M40" s="100"/>
    </row>
    <row r="41" spans="1:14" ht="15">
      <c r="A41" s="402" t="s">
        <v>199</v>
      </c>
      <c r="B41" s="402" t="s">
        <v>200</v>
      </c>
      <c r="C41" s="395"/>
      <c r="D41" s="395"/>
      <c r="E41" s="395"/>
      <c r="F41" s="395"/>
      <c r="G41" s="395"/>
      <c r="H41" s="389"/>
      <c r="I41" s="389"/>
      <c r="J41" s="395"/>
    </row>
    <row r="42" spans="1:14" ht="15">
      <c r="A42" s="389" t="s">
        <v>523</v>
      </c>
      <c r="B42" s="389" t="s">
        <v>524</v>
      </c>
      <c r="C42" s="395"/>
      <c r="D42" s="395"/>
      <c r="E42" s="395"/>
      <c r="F42" s="395"/>
      <c r="G42" s="395"/>
      <c r="H42" s="389"/>
      <c r="I42" s="389"/>
      <c r="J42" s="395"/>
    </row>
    <row r="43" spans="1:14" ht="15">
      <c r="A43" s="389" t="s">
        <v>403</v>
      </c>
      <c r="B43" s="389" t="s">
        <v>404</v>
      </c>
      <c r="C43" s="395"/>
      <c r="D43" s="395"/>
      <c r="E43" s="395"/>
      <c r="F43" s="395"/>
      <c r="G43" s="395"/>
      <c r="H43" s="395"/>
      <c r="I43" s="395"/>
      <c r="J43" s="395"/>
    </row>
    <row r="44" spans="1:14" ht="15">
      <c r="A44" s="395" t="s">
        <v>170</v>
      </c>
      <c r="B44" s="403" t="s">
        <v>171</v>
      </c>
      <c r="C44" s="390"/>
      <c r="D44" s="395"/>
      <c r="E44" s="395"/>
      <c r="F44" s="395"/>
      <c r="G44" s="395"/>
      <c r="H44" s="395"/>
      <c r="I44" s="395"/>
      <c r="J44" s="395"/>
    </row>
    <row r="45" spans="1:14" ht="15">
      <c r="A45" s="395" t="s">
        <v>84</v>
      </c>
      <c r="B45" s="404" t="s">
        <v>85</v>
      </c>
      <c r="C45" s="390"/>
      <c r="D45" s="395"/>
      <c r="E45" s="395"/>
      <c r="F45" s="395"/>
      <c r="G45" s="395"/>
      <c r="H45" s="395"/>
      <c r="I45" s="395"/>
      <c r="J45" s="395"/>
    </row>
    <row r="46" spans="1:14" ht="15.75" customHeight="1">
      <c r="A46" s="395"/>
      <c r="B46" s="395"/>
      <c r="C46" s="395"/>
      <c r="D46" s="395"/>
      <c r="E46" s="395"/>
      <c r="F46" s="395"/>
      <c r="G46" s="395"/>
      <c r="H46" s="395"/>
      <c r="I46" s="395"/>
      <c r="J46" s="395"/>
    </row>
    <row r="47" spans="1:14" ht="15.75" customHeight="1">
      <c r="A47" s="395"/>
      <c r="B47" s="395"/>
      <c r="C47" s="395"/>
      <c r="D47" s="395"/>
      <c r="E47" s="395"/>
      <c r="F47" s="395"/>
      <c r="G47" s="395"/>
      <c r="H47" s="395"/>
      <c r="I47" s="395"/>
      <c r="J47" s="395"/>
    </row>
    <row r="48" spans="1:14" ht="15.75" customHeight="1">
      <c r="A48" s="395"/>
      <c r="B48" s="395"/>
      <c r="C48" s="395"/>
      <c r="D48" s="395"/>
      <c r="E48" s="395"/>
      <c r="F48" s="395"/>
      <c r="G48" s="395"/>
      <c r="H48" s="395"/>
      <c r="I48" s="395"/>
      <c r="J48" s="395"/>
    </row>
    <row r="49" spans="1:10" ht="15.75" customHeight="1">
      <c r="A49" s="400"/>
      <c r="B49" s="400"/>
      <c r="C49" s="400"/>
      <c r="D49" s="400"/>
      <c r="E49" s="400"/>
      <c r="F49" s="395"/>
      <c r="G49" s="395"/>
      <c r="H49" s="395"/>
      <c r="I49" s="395"/>
      <c r="J49" s="395"/>
    </row>
    <row r="50" spans="1:10" ht="13">
      <c r="A50" s="400"/>
      <c r="B50" s="400"/>
      <c r="C50" s="400"/>
      <c r="D50" s="400"/>
      <c r="E50" s="400"/>
      <c r="F50" s="395"/>
      <c r="G50" s="395"/>
      <c r="H50" s="395"/>
      <c r="I50" s="395"/>
      <c r="J50" s="395"/>
    </row>
    <row r="51" spans="1:10" ht="13">
      <c r="A51" s="400"/>
      <c r="B51" s="400"/>
      <c r="C51" s="400"/>
      <c r="D51" s="400"/>
      <c r="E51" s="400"/>
      <c r="F51" s="395"/>
      <c r="G51" s="395"/>
      <c r="H51" s="395"/>
      <c r="I51" s="395"/>
      <c r="J51" s="395"/>
    </row>
    <row r="52" spans="1:10" ht="13">
      <c r="A52" s="400"/>
      <c r="B52" s="400"/>
      <c r="C52" s="400"/>
      <c r="D52" s="400"/>
      <c r="E52" s="400"/>
      <c r="F52" s="395"/>
      <c r="G52" s="395"/>
      <c r="H52" s="395"/>
      <c r="I52" s="395"/>
      <c r="J52" s="395"/>
    </row>
    <row r="53" spans="1:10" ht="13">
      <c r="A53" s="400"/>
      <c r="B53" s="400"/>
      <c r="C53" s="400"/>
      <c r="D53" s="400"/>
      <c r="E53" s="400"/>
      <c r="F53" s="395"/>
      <c r="G53" s="395"/>
      <c r="H53" s="395"/>
      <c r="I53" s="395"/>
      <c r="J53" s="395"/>
    </row>
    <row r="54" spans="1:10" ht="13">
      <c r="A54" s="400"/>
      <c r="B54" s="400"/>
      <c r="C54" s="400"/>
      <c r="D54" s="400"/>
      <c r="E54" s="400"/>
      <c r="F54" s="395"/>
      <c r="G54" s="395"/>
      <c r="H54" s="395"/>
      <c r="I54" s="395"/>
      <c r="J54" s="395"/>
    </row>
    <row r="55" spans="1:10" ht="13">
      <c r="A55" s="400"/>
      <c r="B55" s="400"/>
      <c r="C55" s="400"/>
      <c r="D55" s="400"/>
      <c r="E55" s="400"/>
      <c r="F55" s="395"/>
      <c r="G55" s="395"/>
      <c r="H55" s="395"/>
      <c r="I55" s="395"/>
      <c r="J55" s="395"/>
    </row>
    <row r="56" spans="1:10" ht="13">
      <c r="A56" s="400"/>
      <c r="B56" s="400"/>
      <c r="C56" s="400"/>
      <c r="D56" s="400"/>
      <c r="E56" s="400"/>
      <c r="F56" s="395"/>
      <c r="G56" s="395"/>
      <c r="H56" s="395"/>
      <c r="I56" s="395"/>
      <c r="J56" s="395"/>
    </row>
    <row r="57" spans="1:10" ht="13">
      <c r="A57" s="400"/>
      <c r="B57" s="400"/>
      <c r="C57" s="400"/>
      <c r="D57" s="400"/>
      <c r="E57" s="400"/>
      <c r="F57" s="395"/>
      <c r="G57" s="395"/>
      <c r="H57" s="395"/>
      <c r="I57" s="395"/>
      <c r="J57" s="395"/>
    </row>
    <row r="58" spans="1:10" ht="13">
      <c r="A58" s="400"/>
      <c r="B58" s="400"/>
      <c r="C58" s="400"/>
      <c r="D58" s="400"/>
      <c r="E58" s="400"/>
      <c r="F58" s="395"/>
      <c r="G58" s="395"/>
      <c r="H58" s="395"/>
      <c r="I58" s="395"/>
      <c r="J58" s="395"/>
    </row>
    <row r="59" spans="1:10" ht="13">
      <c r="A59" s="400"/>
      <c r="B59" s="400"/>
      <c r="C59" s="400"/>
      <c r="D59" s="400"/>
      <c r="E59" s="400"/>
      <c r="F59" s="395"/>
      <c r="G59" s="395"/>
      <c r="H59" s="395"/>
      <c r="I59" s="395"/>
      <c r="J59" s="395"/>
    </row>
    <row r="60" spans="1:10" ht="13">
      <c r="A60" s="400"/>
      <c r="B60" s="400"/>
      <c r="C60" s="400"/>
      <c r="D60" s="400"/>
      <c r="E60" s="400"/>
      <c r="F60" s="395"/>
      <c r="G60" s="395"/>
      <c r="H60" s="395"/>
      <c r="I60" s="395"/>
      <c r="J60" s="395"/>
    </row>
    <row r="61" spans="1:10" ht="13">
      <c r="A61" s="400"/>
      <c r="B61" s="400"/>
      <c r="C61" s="400"/>
      <c r="D61" s="400"/>
      <c r="E61" s="400"/>
      <c r="F61" s="395"/>
      <c r="G61" s="395"/>
      <c r="H61" s="395"/>
      <c r="I61" s="395"/>
      <c r="J61" s="395"/>
    </row>
    <row r="62" spans="1:10" ht="13">
      <c r="A62" s="400"/>
      <c r="B62" s="400"/>
      <c r="C62" s="400"/>
      <c r="D62" s="400"/>
      <c r="E62" s="400"/>
      <c r="F62" s="395"/>
      <c r="G62" s="395"/>
      <c r="H62" s="395"/>
      <c r="I62" s="395"/>
      <c r="J62" s="395"/>
    </row>
    <row r="63" spans="1:10" ht="13">
      <c r="A63" s="400"/>
      <c r="B63" s="400"/>
      <c r="C63" s="400"/>
      <c r="D63" s="400"/>
      <c r="E63" s="400"/>
      <c r="F63" s="395"/>
      <c r="G63" s="395"/>
      <c r="H63" s="395"/>
      <c r="I63" s="395"/>
      <c r="J63" s="395"/>
    </row>
    <row r="64" spans="1:10" ht="13">
      <c r="A64" s="400"/>
      <c r="B64" s="400"/>
      <c r="C64" s="400"/>
      <c r="D64" s="400"/>
      <c r="E64" s="400"/>
      <c r="F64" s="395"/>
      <c r="G64" s="395"/>
      <c r="H64" s="395"/>
      <c r="I64" s="395"/>
      <c r="J64" s="395"/>
    </row>
    <row r="65" spans="1:10" ht="13">
      <c r="A65" s="400"/>
      <c r="B65" s="400"/>
      <c r="C65" s="400"/>
      <c r="D65" s="400"/>
      <c r="E65" s="400"/>
      <c r="F65" s="395"/>
      <c r="G65" s="395"/>
      <c r="H65" s="395"/>
      <c r="I65" s="395"/>
      <c r="J65" s="395"/>
    </row>
    <row r="66" spans="1:10" ht="13">
      <c r="A66" s="400"/>
      <c r="B66" s="400"/>
      <c r="C66" s="400"/>
      <c r="D66" s="400"/>
      <c r="E66" s="400"/>
      <c r="F66" s="395"/>
      <c r="G66" s="395"/>
      <c r="H66" s="395"/>
      <c r="I66" s="395"/>
      <c r="J66" s="395"/>
    </row>
    <row r="67" spans="1:10" ht="13">
      <c r="A67" s="400"/>
      <c r="B67" s="400"/>
      <c r="C67" s="400"/>
      <c r="D67" s="400"/>
      <c r="E67" s="400"/>
      <c r="F67" s="395"/>
      <c r="G67" s="395"/>
      <c r="H67" s="395"/>
      <c r="I67" s="395"/>
      <c r="J67" s="395"/>
    </row>
    <row r="68" spans="1:10" ht="13">
      <c r="A68" s="400"/>
      <c r="B68" s="400"/>
      <c r="C68" s="400"/>
      <c r="D68" s="400"/>
      <c r="E68" s="400"/>
      <c r="F68" s="395"/>
      <c r="G68" s="395"/>
      <c r="H68" s="395"/>
      <c r="I68" s="395"/>
      <c r="J68" s="395"/>
    </row>
    <row r="69" spans="1:10" ht="13">
      <c r="A69" s="400"/>
      <c r="B69" s="400"/>
      <c r="C69" s="400"/>
      <c r="D69" s="400"/>
      <c r="E69" s="400"/>
      <c r="F69" s="395"/>
      <c r="G69" s="395"/>
      <c r="H69" s="395"/>
      <c r="I69" s="395"/>
      <c r="J69" s="395"/>
    </row>
    <row r="70" spans="1:10" ht="13">
      <c r="A70" s="400"/>
      <c r="B70" s="400"/>
      <c r="C70" s="400"/>
      <c r="D70" s="400"/>
      <c r="E70" s="400"/>
      <c r="F70" s="395"/>
      <c r="G70" s="395"/>
      <c r="H70" s="395"/>
      <c r="I70" s="395"/>
      <c r="J70" s="395"/>
    </row>
    <row r="71" spans="1:10" ht="13">
      <c r="A71" s="400"/>
      <c r="B71" s="400"/>
      <c r="C71" s="400"/>
      <c r="D71" s="400"/>
      <c r="E71" s="400"/>
      <c r="F71" s="395"/>
      <c r="G71" s="395"/>
      <c r="H71" s="395"/>
      <c r="I71" s="395"/>
      <c r="J71" s="395"/>
    </row>
    <row r="72" spans="1:10" ht="13">
      <c r="A72" s="400"/>
      <c r="B72" s="400"/>
      <c r="C72" s="400"/>
      <c r="D72" s="400"/>
      <c r="E72" s="400"/>
      <c r="F72" s="395"/>
      <c r="G72" s="395"/>
      <c r="H72" s="395"/>
      <c r="I72" s="395"/>
      <c r="J72" s="395"/>
    </row>
    <row r="73" spans="1:10" ht="13">
      <c r="A73" s="400"/>
      <c r="B73" s="400"/>
      <c r="C73" s="400"/>
      <c r="D73" s="400"/>
      <c r="E73" s="400"/>
      <c r="F73" s="395"/>
      <c r="G73" s="395"/>
      <c r="H73" s="395"/>
      <c r="I73" s="395"/>
      <c r="J73" s="395"/>
    </row>
    <row r="74" spans="1:10" ht="13">
      <c r="A74" s="400"/>
      <c r="B74" s="400"/>
      <c r="C74" s="400"/>
      <c r="D74" s="400"/>
      <c r="E74" s="400"/>
      <c r="F74" s="395"/>
      <c r="G74" s="395"/>
      <c r="H74" s="395"/>
      <c r="I74" s="395"/>
      <c r="J74" s="395"/>
    </row>
    <row r="75" spans="1:10" ht="13">
      <c r="A75" s="400"/>
      <c r="B75" s="400"/>
      <c r="C75" s="400"/>
      <c r="D75" s="400"/>
      <c r="E75" s="400"/>
      <c r="F75" s="395"/>
      <c r="G75" s="395"/>
      <c r="H75" s="395"/>
      <c r="I75" s="395"/>
      <c r="J75" s="395"/>
    </row>
    <row r="76" spans="1:10" ht="13">
      <c r="A76" s="400"/>
      <c r="B76" s="400"/>
      <c r="C76" s="400"/>
      <c r="D76" s="400"/>
      <c r="E76" s="400"/>
      <c r="F76" s="395"/>
      <c r="G76" s="395"/>
      <c r="H76" s="395"/>
      <c r="I76" s="395"/>
      <c r="J76" s="395"/>
    </row>
    <row r="77" spans="1:10" ht="13">
      <c r="A77" s="400"/>
      <c r="B77" s="400"/>
      <c r="C77" s="400"/>
      <c r="D77" s="400"/>
      <c r="E77" s="400"/>
      <c r="F77" s="395"/>
      <c r="G77" s="395"/>
      <c r="H77" s="395"/>
      <c r="I77" s="395"/>
      <c r="J77" s="395"/>
    </row>
    <row r="78" spans="1:10" ht="13">
      <c r="A78" s="400"/>
      <c r="B78" s="400"/>
      <c r="C78" s="400"/>
      <c r="D78" s="400"/>
      <c r="E78" s="400"/>
      <c r="F78" s="395"/>
      <c r="G78" s="395"/>
      <c r="H78" s="395"/>
      <c r="I78" s="395"/>
      <c r="J78" s="395"/>
    </row>
    <row r="79" spans="1:10" ht="13">
      <c r="A79" s="400"/>
      <c r="B79" s="400"/>
      <c r="C79" s="400"/>
      <c r="D79" s="400"/>
      <c r="E79" s="400"/>
      <c r="F79" s="395"/>
      <c r="G79" s="395"/>
      <c r="H79" s="395"/>
      <c r="I79" s="395"/>
      <c r="J79" s="395"/>
    </row>
    <row r="80" spans="1:10" ht="13">
      <c r="A80" s="400"/>
      <c r="B80" s="400"/>
      <c r="C80" s="400"/>
      <c r="D80" s="400"/>
      <c r="E80" s="400"/>
      <c r="F80" s="395"/>
      <c r="G80" s="395"/>
      <c r="H80" s="395"/>
      <c r="I80" s="395"/>
      <c r="J80" s="395"/>
    </row>
    <row r="81" spans="1:10" ht="13">
      <c r="A81" s="400"/>
      <c r="B81" s="400"/>
      <c r="C81" s="400"/>
      <c r="D81" s="400"/>
      <c r="E81" s="400"/>
      <c r="F81" s="395"/>
      <c r="G81" s="395"/>
      <c r="H81" s="395"/>
      <c r="I81" s="395"/>
      <c r="J81" s="395"/>
    </row>
    <row r="82" spans="1:10" ht="13">
      <c r="A82" s="319"/>
      <c r="B82" s="319"/>
      <c r="C82" s="319"/>
      <c r="D82" s="319"/>
      <c r="E82" s="319"/>
    </row>
    <row r="83" spans="1:10" ht="13">
      <c r="A83" s="319"/>
      <c r="B83" s="319"/>
      <c r="C83" s="319"/>
      <c r="D83" s="319"/>
      <c r="E83" s="319"/>
    </row>
    <row r="84" spans="1:10" ht="15.75" customHeight="1">
      <c r="A84" s="319"/>
      <c r="B84" s="319"/>
      <c r="C84" s="319"/>
      <c r="D84" s="319"/>
      <c r="E84" s="319"/>
    </row>
    <row r="85" spans="1:10" ht="15.75" customHeight="1">
      <c r="A85" s="319"/>
      <c r="B85" s="319"/>
      <c r="C85" s="319"/>
      <c r="D85" s="319"/>
      <c r="E85" s="319"/>
    </row>
    <row r="86" spans="1:10" ht="15.75" customHeight="1">
      <c r="A86" s="319"/>
      <c r="B86" s="319"/>
      <c r="C86" s="319"/>
      <c r="D86" s="319"/>
      <c r="E86" s="319"/>
    </row>
    <row r="87" spans="1:10" ht="15.75" customHeight="1">
      <c r="A87" s="319"/>
      <c r="B87" s="319"/>
      <c r="C87" s="319"/>
      <c r="D87" s="319"/>
      <c r="E87" s="319"/>
    </row>
    <row r="88" spans="1:10" ht="15.75" customHeight="1">
      <c r="A88" s="319"/>
      <c r="B88" s="319"/>
      <c r="C88" s="319"/>
      <c r="D88" s="319"/>
      <c r="E88" s="319"/>
    </row>
    <row r="89" spans="1:10" ht="15.75" customHeight="1">
      <c r="A89" s="319"/>
      <c r="B89" s="319"/>
      <c r="C89" s="319"/>
      <c r="D89" s="319"/>
      <c r="E89" s="319"/>
    </row>
    <row r="90" spans="1:10" ht="15.75" customHeight="1">
      <c r="A90" s="319"/>
      <c r="B90" s="319"/>
      <c r="C90" s="319"/>
      <c r="D90" s="319"/>
      <c r="E90" s="319"/>
    </row>
    <row r="91" spans="1:10" ht="15.75" customHeight="1">
      <c r="A91" s="319"/>
      <c r="B91" s="319"/>
      <c r="C91" s="319"/>
      <c r="D91" s="319"/>
      <c r="E91" s="319"/>
    </row>
    <row r="92" spans="1:10" ht="15.75" customHeight="1">
      <c r="A92" s="319"/>
      <c r="B92" s="319"/>
      <c r="C92" s="319"/>
      <c r="D92" s="319"/>
      <c r="E92" s="319"/>
    </row>
    <row r="93" spans="1:10" ht="15.75" customHeight="1">
      <c r="A93" s="319"/>
      <c r="B93" s="319"/>
      <c r="C93" s="319"/>
      <c r="D93" s="319"/>
      <c r="E93" s="319"/>
    </row>
    <row r="94" spans="1:10" ht="15.75" customHeight="1">
      <c r="A94" s="319"/>
      <c r="B94" s="319"/>
      <c r="C94" s="319"/>
      <c r="D94" s="319"/>
      <c r="E94" s="319"/>
    </row>
    <row r="95" spans="1:10" ht="15.75" customHeight="1">
      <c r="A95" s="319"/>
      <c r="B95" s="319"/>
      <c r="C95" s="319"/>
      <c r="D95" s="319"/>
      <c r="E95" s="319"/>
    </row>
    <row r="96" spans="1:10" ht="15.75" customHeight="1">
      <c r="A96" s="319"/>
      <c r="B96" s="319"/>
      <c r="C96" s="319"/>
      <c r="D96" s="319"/>
      <c r="E96" s="319"/>
    </row>
    <row r="97" spans="1:5" ht="15.75" customHeight="1">
      <c r="A97" s="319"/>
      <c r="B97" s="319"/>
      <c r="C97" s="319"/>
      <c r="D97" s="319"/>
      <c r="E97" s="319"/>
    </row>
    <row r="98" spans="1:5" ht="15.75" customHeight="1">
      <c r="A98" s="319"/>
      <c r="B98" s="319"/>
      <c r="C98" s="319"/>
      <c r="D98" s="319"/>
      <c r="E98" s="319"/>
    </row>
    <row r="99" spans="1:5" ht="15.75" customHeight="1">
      <c r="A99" s="319"/>
      <c r="B99" s="319"/>
      <c r="C99" s="319"/>
      <c r="D99" s="319"/>
      <c r="E99" s="319"/>
    </row>
    <row r="100" spans="1:5" ht="15.75" customHeight="1">
      <c r="A100" s="319"/>
      <c r="B100" s="319"/>
      <c r="C100" s="319"/>
      <c r="D100" s="319"/>
      <c r="E100" s="319"/>
    </row>
    <row r="101" spans="1:5" ht="15.75" customHeight="1">
      <c r="A101" s="319"/>
      <c r="B101" s="319"/>
      <c r="C101" s="319"/>
      <c r="D101" s="319"/>
      <c r="E101" s="319"/>
    </row>
    <row r="102" spans="1:5" ht="15.75" customHeight="1">
      <c r="A102" s="319"/>
      <c r="B102" s="319"/>
      <c r="C102" s="319"/>
      <c r="D102" s="319"/>
      <c r="E102" s="319"/>
    </row>
    <row r="103" spans="1:5" ht="15.75" customHeight="1">
      <c r="A103" s="319"/>
      <c r="B103" s="319"/>
      <c r="C103" s="319"/>
      <c r="D103" s="319"/>
      <c r="E103" s="319"/>
    </row>
    <row r="104" spans="1:5" ht="15.75" customHeight="1">
      <c r="A104" s="319"/>
      <c r="B104" s="319"/>
      <c r="C104" s="319"/>
      <c r="D104" s="319"/>
      <c r="E104" s="319"/>
    </row>
    <row r="105" spans="1:5" ht="15.75" customHeight="1">
      <c r="A105" s="319"/>
      <c r="B105" s="319"/>
      <c r="C105" s="319"/>
      <c r="D105" s="319"/>
      <c r="E105" s="319"/>
    </row>
    <row r="106" spans="1:5" ht="15.75" customHeight="1">
      <c r="A106" s="319"/>
      <c r="B106" s="319"/>
      <c r="C106" s="319"/>
      <c r="D106" s="319"/>
      <c r="E106" s="319"/>
    </row>
    <row r="107" spans="1:5" ht="15.75" customHeight="1">
      <c r="A107" s="319"/>
      <c r="B107" s="319"/>
      <c r="C107" s="319"/>
      <c r="D107" s="319"/>
      <c r="E107" s="319"/>
    </row>
    <row r="108" spans="1:5" ht="15.75" customHeight="1">
      <c r="A108" s="319"/>
      <c r="B108" s="319"/>
      <c r="C108" s="319"/>
      <c r="D108" s="319"/>
      <c r="E108" s="319"/>
    </row>
    <row r="109" spans="1:5" ht="15.75" customHeight="1">
      <c r="A109" s="319"/>
      <c r="B109" s="319"/>
      <c r="C109" s="319"/>
      <c r="D109" s="319"/>
      <c r="E109" s="319"/>
    </row>
    <row r="110" spans="1:5" ht="15.75" customHeight="1">
      <c r="A110" s="319"/>
      <c r="B110" s="319"/>
      <c r="C110" s="319"/>
      <c r="D110" s="319"/>
      <c r="E110" s="319"/>
    </row>
    <row r="111" spans="1:5" ht="15.75" customHeight="1">
      <c r="A111" s="319"/>
      <c r="B111" s="319"/>
      <c r="C111" s="319"/>
      <c r="D111" s="319"/>
      <c r="E111" s="319"/>
    </row>
    <row r="112" spans="1:5" ht="15.75" customHeight="1">
      <c r="A112" s="319"/>
      <c r="B112" s="319"/>
      <c r="C112" s="319"/>
      <c r="D112" s="319"/>
      <c r="E112" s="319"/>
    </row>
    <row r="113" spans="1:5" ht="15.75" customHeight="1">
      <c r="A113" s="319"/>
      <c r="B113" s="319"/>
      <c r="C113" s="319"/>
      <c r="D113" s="319"/>
      <c r="E113" s="319"/>
    </row>
    <row r="114" spans="1:5" ht="15.75" customHeight="1">
      <c r="A114" s="319"/>
      <c r="B114" s="319"/>
      <c r="C114" s="319"/>
      <c r="D114" s="319"/>
      <c r="E114" s="319"/>
    </row>
    <row r="115" spans="1:5" ht="15.75" customHeight="1">
      <c r="A115" s="319"/>
      <c r="B115" s="319"/>
      <c r="C115" s="319"/>
      <c r="D115" s="319"/>
      <c r="E115" s="3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995"/>
  <sheetViews>
    <sheetView topLeftCell="C6" workbookViewId="0">
      <selection activeCell="G29" sqref="G29"/>
    </sheetView>
  </sheetViews>
  <sheetFormatPr baseColWidth="10" defaultColWidth="14.5" defaultRowHeight="15.75" customHeight="1"/>
  <cols>
    <col min="2" max="2" width="40.83203125" customWidth="1"/>
  </cols>
  <sheetData>
    <row r="1" spans="1:40" ht="25">
      <c r="A1" s="61" t="s">
        <v>429</v>
      </c>
      <c r="B1" s="62"/>
      <c r="C1" s="62"/>
      <c r="D1" s="105" t="s">
        <v>473</v>
      </c>
      <c r="E1" s="106"/>
      <c r="F1" s="106"/>
      <c r="G1" s="107"/>
      <c r="H1" s="105" t="s">
        <v>474</v>
      </c>
      <c r="I1" s="106"/>
      <c r="J1" s="106"/>
      <c r="K1" s="107"/>
      <c r="L1" s="106" t="s">
        <v>475</v>
      </c>
      <c r="M1" s="60"/>
      <c r="N1" s="108"/>
      <c r="O1" s="109"/>
      <c r="P1" s="106" t="s">
        <v>476</v>
      </c>
      <c r="Q1" s="60"/>
      <c r="R1" s="108"/>
      <c r="S1" s="108"/>
      <c r="T1" s="106" t="s">
        <v>477</v>
      </c>
      <c r="U1" s="60"/>
      <c r="V1" s="108"/>
      <c r="W1" s="109"/>
      <c r="X1" s="106" t="s">
        <v>478</v>
      </c>
      <c r="Y1" s="60"/>
      <c r="Z1" s="108"/>
      <c r="AA1" s="109"/>
      <c r="AB1" s="106" t="s">
        <v>479</v>
      </c>
      <c r="AC1" s="60"/>
      <c r="AD1" s="108"/>
      <c r="AE1" s="109"/>
      <c r="AF1" s="110"/>
      <c r="AG1" s="111" t="s">
        <v>480</v>
      </c>
      <c r="AH1" s="112"/>
      <c r="AI1" s="113"/>
      <c r="AJ1" s="113"/>
      <c r="AK1" s="111" t="s">
        <v>481</v>
      </c>
      <c r="AL1" s="112"/>
      <c r="AM1" s="113"/>
      <c r="AN1" s="114"/>
    </row>
    <row r="2" spans="1:40" ht="15">
      <c r="A2" s="62"/>
      <c r="B2" s="62"/>
      <c r="C2" s="62"/>
      <c r="D2" s="106"/>
      <c r="E2" s="106"/>
      <c r="F2" s="106"/>
      <c r="G2" s="115">
        <v>11.2</v>
      </c>
      <c r="H2" s="106"/>
      <c r="I2" s="106"/>
      <c r="J2" s="106"/>
      <c r="K2" s="115">
        <v>10.6</v>
      </c>
      <c r="L2" s="106" t="s">
        <v>482</v>
      </c>
      <c r="M2" s="60"/>
      <c r="N2" s="62"/>
      <c r="O2" s="116">
        <v>14.43</v>
      </c>
      <c r="P2" s="106" t="s">
        <v>482</v>
      </c>
      <c r="Q2" s="60"/>
      <c r="R2" s="108"/>
      <c r="S2" s="116">
        <v>11.55</v>
      </c>
      <c r="T2" s="106" t="s">
        <v>483</v>
      </c>
      <c r="U2" s="60"/>
      <c r="V2" s="108"/>
      <c r="W2" s="117">
        <v>17.600000000000001</v>
      </c>
      <c r="X2" s="106" t="s">
        <v>484</v>
      </c>
      <c r="Y2" s="60"/>
      <c r="Z2" s="108"/>
      <c r="AA2" s="118">
        <v>5.5</v>
      </c>
      <c r="AB2" s="106" t="s">
        <v>485</v>
      </c>
      <c r="AC2" s="60"/>
      <c r="AD2" s="108"/>
      <c r="AE2" s="118">
        <v>7.5</v>
      </c>
      <c r="AF2" s="119"/>
      <c r="AG2" s="120" t="s">
        <v>486</v>
      </c>
      <c r="AH2" s="121"/>
      <c r="AI2" s="122"/>
      <c r="AJ2" s="123">
        <v>15.2</v>
      </c>
      <c r="AK2" s="120" t="s">
        <v>486</v>
      </c>
      <c r="AL2" s="121"/>
      <c r="AM2" s="122"/>
      <c r="AN2" s="124">
        <v>8</v>
      </c>
    </row>
    <row r="3" spans="1:40" ht="13">
      <c r="A3" s="63" t="s">
        <v>430</v>
      </c>
      <c r="B3" s="63" t="s">
        <v>2</v>
      </c>
      <c r="C3" s="63" t="s">
        <v>431</v>
      </c>
      <c r="D3" s="125" t="s">
        <v>487</v>
      </c>
      <c r="E3" s="126" t="s">
        <v>488</v>
      </c>
      <c r="F3" s="127" t="s">
        <v>489</v>
      </c>
      <c r="G3" s="127" t="s">
        <v>490</v>
      </c>
      <c r="H3" s="125" t="s">
        <v>487</v>
      </c>
      <c r="I3" s="126" t="s">
        <v>488</v>
      </c>
      <c r="J3" s="127" t="s">
        <v>489</v>
      </c>
      <c r="K3" s="128" t="s">
        <v>490</v>
      </c>
      <c r="L3" s="125" t="s">
        <v>487</v>
      </c>
      <c r="M3" s="126" t="s">
        <v>488</v>
      </c>
      <c r="N3" s="127" t="s">
        <v>489</v>
      </c>
      <c r="O3" s="127" t="s">
        <v>490</v>
      </c>
      <c r="P3" s="125" t="s">
        <v>487</v>
      </c>
      <c r="Q3" s="126" t="s">
        <v>488</v>
      </c>
      <c r="R3" s="127" t="s">
        <v>489</v>
      </c>
      <c r="S3" s="128" t="s">
        <v>490</v>
      </c>
      <c r="T3" s="125" t="s">
        <v>487</v>
      </c>
      <c r="U3" s="126" t="s">
        <v>488</v>
      </c>
      <c r="V3" s="127" t="s">
        <v>489</v>
      </c>
      <c r="W3" s="128" t="s">
        <v>490</v>
      </c>
      <c r="X3" s="125" t="s">
        <v>487</v>
      </c>
      <c r="Y3" s="126" t="s">
        <v>488</v>
      </c>
      <c r="Z3" s="127" t="s">
        <v>491</v>
      </c>
      <c r="AA3" s="128" t="s">
        <v>490</v>
      </c>
      <c r="AB3" s="125" t="s">
        <v>487</v>
      </c>
      <c r="AC3" s="126" t="s">
        <v>488</v>
      </c>
      <c r="AD3" s="127" t="s">
        <v>489</v>
      </c>
      <c r="AE3" s="128" t="s">
        <v>490</v>
      </c>
      <c r="AF3" s="374" t="s">
        <v>756</v>
      </c>
      <c r="AG3" s="129" t="s">
        <v>487</v>
      </c>
      <c r="AH3" s="130" t="s">
        <v>488</v>
      </c>
      <c r="AI3" s="131" t="s">
        <v>489</v>
      </c>
      <c r="AJ3" s="131" t="s">
        <v>490</v>
      </c>
      <c r="AK3" s="129" t="s">
        <v>487</v>
      </c>
      <c r="AL3" s="130" t="s">
        <v>488</v>
      </c>
      <c r="AM3" s="131" t="s">
        <v>489</v>
      </c>
      <c r="AN3" s="132" t="s">
        <v>490</v>
      </c>
    </row>
    <row r="4" spans="1:40" ht="15">
      <c r="A4" s="64" t="s">
        <v>433</v>
      </c>
      <c r="B4" s="65" t="s">
        <v>434</v>
      </c>
      <c r="C4" s="66">
        <v>7</v>
      </c>
      <c r="D4" s="2">
        <v>1</v>
      </c>
      <c r="E4" s="2">
        <v>1</v>
      </c>
      <c r="F4" s="2">
        <v>4</v>
      </c>
      <c r="G4" s="133">
        <f>$G$2*F4</f>
        <v>44.8</v>
      </c>
      <c r="H4" s="2">
        <v>1</v>
      </c>
      <c r="I4" s="2">
        <v>1</v>
      </c>
      <c r="J4" s="2">
        <v>4</v>
      </c>
      <c r="K4" s="133">
        <f t="shared" ref="K4:K21" si="0">J4*$K$2</f>
        <v>42.4</v>
      </c>
      <c r="L4" s="2">
        <v>3</v>
      </c>
      <c r="M4" s="2">
        <v>1</v>
      </c>
      <c r="N4" s="134">
        <f>((L4*M4)*4)</f>
        <v>12</v>
      </c>
      <c r="O4" s="133">
        <f>N4*O2</f>
        <v>173.16</v>
      </c>
      <c r="P4" s="2">
        <v>0</v>
      </c>
      <c r="R4" s="134">
        <f>((P4*Q4)*4)</f>
        <v>0</v>
      </c>
      <c r="S4" s="134">
        <f t="shared" ref="S4:S20" si="1">(S$2*R4)</f>
        <v>0</v>
      </c>
      <c r="T4" s="2">
        <v>2</v>
      </c>
      <c r="U4" s="2">
        <v>1</v>
      </c>
      <c r="V4" s="134">
        <f>((T4*U4)*4)</f>
        <v>8</v>
      </c>
      <c r="W4" s="133">
        <f t="shared" ref="W4:W21" si="2">(W$2*V4)</f>
        <v>140.80000000000001</v>
      </c>
      <c r="X4" s="2">
        <v>3</v>
      </c>
      <c r="Y4" s="2">
        <v>3</v>
      </c>
      <c r="Z4" s="135">
        <f t="shared" ref="Z4:Z14" si="3">(X4*Y4)*4</f>
        <v>36</v>
      </c>
      <c r="AA4" s="133">
        <f t="shared" ref="AA4:AA21" si="4">(AA$2*Z4)</f>
        <v>198</v>
      </c>
      <c r="AD4" s="134">
        <f>(AB4*AC4)*4</f>
        <v>0</v>
      </c>
      <c r="AE4" s="133">
        <f t="shared" ref="AE4:AE21" si="5">(AE$2*AD4)</f>
        <v>0</v>
      </c>
      <c r="AF4" s="9">
        <f t="shared" ref="AF4:AF21" si="6">SUM(AE4+AA4+W4+S4+O4+K4+G4)</f>
        <v>599.16</v>
      </c>
      <c r="AG4" s="2">
        <v>3</v>
      </c>
      <c r="AH4" s="2">
        <v>2</v>
      </c>
      <c r="AI4" s="2">
        <v>16</v>
      </c>
      <c r="AJ4" s="2">
        <v>243.2</v>
      </c>
      <c r="AK4" s="2">
        <v>1</v>
      </c>
      <c r="AL4" s="2">
        <v>1</v>
      </c>
      <c r="AM4" s="2">
        <v>4</v>
      </c>
      <c r="AN4" s="136">
        <v>32</v>
      </c>
    </row>
    <row r="5" spans="1:40" ht="15">
      <c r="A5" s="67" t="s">
        <v>435</v>
      </c>
      <c r="B5" s="68" t="s">
        <v>67</v>
      </c>
      <c r="C5" s="69">
        <v>8</v>
      </c>
      <c r="D5" s="2">
        <v>3</v>
      </c>
      <c r="E5" s="2">
        <v>1</v>
      </c>
      <c r="F5" s="2">
        <v>12</v>
      </c>
      <c r="G5" s="133">
        <f t="shared" ref="G5:G21" si="7">$G$2*F5</f>
        <v>134.39999999999998</v>
      </c>
      <c r="H5" s="2">
        <v>1</v>
      </c>
      <c r="I5" s="2">
        <v>1</v>
      </c>
      <c r="J5" s="2">
        <v>4</v>
      </c>
      <c r="K5" s="133">
        <f t="shared" si="0"/>
        <v>42.4</v>
      </c>
      <c r="L5" s="2" t="s">
        <v>492</v>
      </c>
      <c r="M5" s="2">
        <v>1</v>
      </c>
      <c r="N5" s="134">
        <v>0.16</v>
      </c>
      <c r="O5" s="133">
        <f>O2*N5</f>
        <v>2.3088000000000002</v>
      </c>
      <c r="P5" s="2" t="s">
        <v>493</v>
      </c>
      <c r="R5" s="134">
        <v>0.25</v>
      </c>
      <c r="S5" s="134">
        <f t="shared" si="1"/>
        <v>2.8875000000000002</v>
      </c>
      <c r="T5" s="2" t="s">
        <v>492</v>
      </c>
      <c r="V5" s="134">
        <v>0.16</v>
      </c>
      <c r="W5" s="133">
        <f t="shared" si="2"/>
        <v>2.8160000000000003</v>
      </c>
      <c r="X5" s="2">
        <v>3</v>
      </c>
      <c r="Y5" s="2">
        <v>1</v>
      </c>
      <c r="Z5" s="135">
        <f t="shared" si="3"/>
        <v>12</v>
      </c>
      <c r="AA5" s="133">
        <f t="shared" si="4"/>
        <v>66</v>
      </c>
      <c r="AB5" s="2"/>
      <c r="AC5" s="2"/>
      <c r="AD5" s="134">
        <v>1</v>
      </c>
      <c r="AE5" s="133">
        <f t="shared" si="5"/>
        <v>7.5</v>
      </c>
      <c r="AF5" s="9">
        <f t="shared" si="6"/>
        <v>258.31229999999999</v>
      </c>
      <c r="AG5" s="2">
        <v>2</v>
      </c>
      <c r="AH5" s="2">
        <v>2</v>
      </c>
      <c r="AI5" s="2">
        <v>16</v>
      </c>
      <c r="AJ5" s="2">
        <v>243.2</v>
      </c>
      <c r="AK5" s="2">
        <v>1</v>
      </c>
      <c r="AL5" s="2">
        <v>2</v>
      </c>
      <c r="AM5" s="2">
        <v>8</v>
      </c>
      <c r="AN5" s="136">
        <v>64</v>
      </c>
    </row>
    <row r="6" spans="1:40" ht="15">
      <c r="A6" s="94" t="s">
        <v>470</v>
      </c>
      <c r="B6" s="95" t="s">
        <v>471</v>
      </c>
      <c r="C6" s="96">
        <v>5</v>
      </c>
      <c r="D6" s="2">
        <v>3</v>
      </c>
      <c r="E6" s="2">
        <v>1</v>
      </c>
      <c r="F6" s="2">
        <v>12</v>
      </c>
      <c r="G6" s="133">
        <f t="shared" si="7"/>
        <v>134.39999999999998</v>
      </c>
      <c r="H6" s="2">
        <v>1</v>
      </c>
      <c r="I6" s="2">
        <v>1</v>
      </c>
      <c r="J6" s="2">
        <v>4</v>
      </c>
      <c r="K6" s="133">
        <f t="shared" si="0"/>
        <v>42.4</v>
      </c>
      <c r="L6" s="2" t="s">
        <v>492</v>
      </c>
      <c r="M6" s="2">
        <v>1</v>
      </c>
      <c r="N6" s="134">
        <v>0.16</v>
      </c>
      <c r="O6" s="133">
        <f t="shared" ref="O6:O20" si="8">N6*$O$2</f>
        <v>2.3088000000000002</v>
      </c>
      <c r="P6" s="2" t="s">
        <v>494</v>
      </c>
      <c r="R6" s="134">
        <v>0.25</v>
      </c>
      <c r="S6" s="134">
        <f t="shared" si="1"/>
        <v>2.8875000000000002</v>
      </c>
      <c r="T6" s="2" t="s">
        <v>493</v>
      </c>
      <c r="V6" s="134">
        <v>0.16</v>
      </c>
      <c r="W6" s="133">
        <f t="shared" si="2"/>
        <v>2.8160000000000003</v>
      </c>
      <c r="X6" s="2">
        <v>3</v>
      </c>
      <c r="Y6" s="2">
        <v>1</v>
      </c>
      <c r="Z6" s="135">
        <f t="shared" si="3"/>
        <v>12</v>
      </c>
      <c r="AA6" s="133">
        <f t="shared" si="4"/>
        <v>66</v>
      </c>
      <c r="AB6" s="2"/>
      <c r="AC6" s="2"/>
      <c r="AD6" s="134">
        <v>1</v>
      </c>
      <c r="AE6" s="133">
        <f t="shared" si="5"/>
        <v>7.5</v>
      </c>
      <c r="AF6" s="9">
        <f t="shared" si="6"/>
        <v>258.31229999999999</v>
      </c>
      <c r="AG6" s="2">
        <v>2</v>
      </c>
      <c r="AH6" s="2">
        <v>2</v>
      </c>
      <c r="AI6" s="2">
        <v>16</v>
      </c>
      <c r="AJ6" s="2">
        <v>243.2</v>
      </c>
      <c r="AK6" s="2">
        <v>1</v>
      </c>
      <c r="AL6" s="2">
        <v>2</v>
      </c>
      <c r="AM6" s="2">
        <v>8</v>
      </c>
      <c r="AN6" s="136">
        <v>64</v>
      </c>
    </row>
    <row r="7" spans="1:40" ht="15">
      <c r="A7" s="67" t="s">
        <v>408</v>
      </c>
      <c r="B7" s="68" t="s">
        <v>409</v>
      </c>
      <c r="C7" s="69">
        <v>7</v>
      </c>
      <c r="D7" s="2">
        <v>1</v>
      </c>
      <c r="E7" s="2">
        <v>2</v>
      </c>
      <c r="F7" s="2">
        <v>8</v>
      </c>
      <c r="G7" s="133">
        <f t="shared" si="7"/>
        <v>89.6</v>
      </c>
      <c r="H7" s="2">
        <v>1</v>
      </c>
      <c r="I7" s="2">
        <v>1</v>
      </c>
      <c r="J7" s="2">
        <v>4</v>
      </c>
      <c r="K7" s="133">
        <f t="shared" si="0"/>
        <v>42.4</v>
      </c>
      <c r="L7" s="2">
        <v>1</v>
      </c>
      <c r="M7" s="2">
        <v>1</v>
      </c>
      <c r="N7" s="134">
        <f t="shared" ref="N7:N13" si="9">((L7*M7)*4)</f>
        <v>4</v>
      </c>
      <c r="O7" s="133">
        <f t="shared" si="8"/>
        <v>57.72</v>
      </c>
      <c r="P7" s="2">
        <v>0</v>
      </c>
      <c r="Q7" s="2">
        <v>0</v>
      </c>
      <c r="R7" s="134">
        <v>0</v>
      </c>
      <c r="S7" s="134">
        <f t="shared" si="1"/>
        <v>0</v>
      </c>
      <c r="T7" s="2">
        <v>1</v>
      </c>
      <c r="U7" s="2">
        <v>2</v>
      </c>
      <c r="V7" s="134">
        <f t="shared" ref="V7:V12" si="10">((T7*U7)*4)</f>
        <v>8</v>
      </c>
      <c r="W7" s="133">
        <f t="shared" si="2"/>
        <v>140.80000000000001</v>
      </c>
      <c r="X7" s="2">
        <v>1</v>
      </c>
      <c r="Y7" s="2">
        <v>4</v>
      </c>
      <c r="Z7" s="135">
        <f t="shared" si="3"/>
        <v>16</v>
      </c>
      <c r="AA7" s="133">
        <f t="shared" si="4"/>
        <v>88</v>
      </c>
      <c r="AB7" s="2">
        <v>0</v>
      </c>
      <c r="AC7" s="2">
        <v>0</v>
      </c>
      <c r="AD7" s="134">
        <v>0</v>
      </c>
      <c r="AE7" s="133">
        <f t="shared" si="5"/>
        <v>0</v>
      </c>
      <c r="AF7" s="9">
        <f t="shared" si="6"/>
        <v>418.52</v>
      </c>
      <c r="AG7" s="2">
        <v>3</v>
      </c>
      <c r="AH7" s="2">
        <v>2</v>
      </c>
      <c r="AI7" s="2">
        <v>16</v>
      </c>
      <c r="AJ7" s="2">
        <v>243.2</v>
      </c>
      <c r="AK7" s="2">
        <v>0</v>
      </c>
      <c r="AL7" s="2">
        <v>0</v>
      </c>
      <c r="AM7" s="2">
        <v>0</v>
      </c>
      <c r="AN7" s="136">
        <v>0</v>
      </c>
    </row>
    <row r="8" spans="1:40" ht="15">
      <c r="A8" s="70" t="s">
        <v>436</v>
      </c>
      <c r="B8" s="71" t="s">
        <v>15</v>
      </c>
      <c r="C8" s="72">
        <v>6</v>
      </c>
      <c r="D8" s="2">
        <v>1</v>
      </c>
      <c r="E8" s="2">
        <v>2</v>
      </c>
      <c r="F8" s="2">
        <v>8</v>
      </c>
      <c r="G8" s="133">
        <f t="shared" si="7"/>
        <v>89.6</v>
      </c>
      <c r="H8" s="2">
        <v>0</v>
      </c>
      <c r="I8" s="2">
        <v>0</v>
      </c>
      <c r="J8" s="2">
        <v>0</v>
      </c>
      <c r="K8" s="133">
        <f t="shared" si="0"/>
        <v>0</v>
      </c>
      <c r="L8" s="2">
        <v>1</v>
      </c>
      <c r="M8" s="2">
        <v>1</v>
      </c>
      <c r="N8" s="134">
        <f t="shared" si="9"/>
        <v>4</v>
      </c>
      <c r="O8" s="133">
        <f t="shared" si="8"/>
        <v>57.72</v>
      </c>
      <c r="P8" s="2">
        <v>0</v>
      </c>
      <c r="Q8" s="2">
        <v>0</v>
      </c>
      <c r="R8" s="134">
        <v>0</v>
      </c>
      <c r="S8" s="134">
        <f t="shared" si="1"/>
        <v>0</v>
      </c>
      <c r="T8" s="2">
        <v>1</v>
      </c>
      <c r="U8" s="2">
        <v>2</v>
      </c>
      <c r="V8" s="134">
        <f t="shared" si="10"/>
        <v>8</v>
      </c>
      <c r="W8" s="133">
        <f t="shared" si="2"/>
        <v>140.80000000000001</v>
      </c>
      <c r="X8" s="2">
        <v>1</v>
      </c>
      <c r="Y8" s="2">
        <v>4</v>
      </c>
      <c r="Z8" s="135">
        <f t="shared" si="3"/>
        <v>16</v>
      </c>
      <c r="AA8" s="133">
        <f t="shared" si="4"/>
        <v>88</v>
      </c>
      <c r="AB8" s="2">
        <v>0</v>
      </c>
      <c r="AC8" s="2">
        <v>0</v>
      </c>
      <c r="AD8" s="134">
        <v>0</v>
      </c>
      <c r="AE8" s="133">
        <f t="shared" si="5"/>
        <v>0</v>
      </c>
      <c r="AF8" s="9">
        <f t="shared" si="6"/>
        <v>376.12</v>
      </c>
      <c r="AG8" s="2">
        <v>3</v>
      </c>
      <c r="AH8" s="2">
        <v>2</v>
      </c>
      <c r="AI8" s="2">
        <v>16</v>
      </c>
      <c r="AJ8" s="2">
        <v>243.2</v>
      </c>
      <c r="AK8" s="2">
        <v>0</v>
      </c>
      <c r="AL8" s="2">
        <v>0</v>
      </c>
      <c r="AM8" s="2">
        <v>0</v>
      </c>
      <c r="AN8" s="136">
        <v>0</v>
      </c>
    </row>
    <row r="9" spans="1:40" ht="15">
      <c r="A9" s="67" t="s">
        <v>437</v>
      </c>
      <c r="B9" s="68" t="s">
        <v>438</v>
      </c>
      <c r="C9" s="69">
        <v>10</v>
      </c>
      <c r="D9" s="2">
        <v>1</v>
      </c>
      <c r="E9" s="2">
        <v>1</v>
      </c>
      <c r="F9" s="2">
        <v>4</v>
      </c>
      <c r="G9" s="133">
        <f t="shared" si="7"/>
        <v>44.8</v>
      </c>
      <c r="H9" s="2">
        <v>0</v>
      </c>
      <c r="I9" s="2">
        <v>0</v>
      </c>
      <c r="J9" s="2">
        <v>0</v>
      </c>
      <c r="K9" s="133">
        <f t="shared" si="0"/>
        <v>0</v>
      </c>
      <c r="L9" s="2">
        <v>0</v>
      </c>
      <c r="M9" s="2">
        <v>0</v>
      </c>
      <c r="N9" s="134">
        <f t="shared" si="9"/>
        <v>0</v>
      </c>
      <c r="O9" s="133">
        <f t="shared" si="8"/>
        <v>0</v>
      </c>
      <c r="P9" s="2">
        <v>0</v>
      </c>
      <c r="Q9" s="2">
        <v>0</v>
      </c>
      <c r="R9" s="134">
        <v>0</v>
      </c>
      <c r="S9" s="134">
        <f t="shared" si="1"/>
        <v>0</v>
      </c>
      <c r="T9" s="2">
        <v>1</v>
      </c>
      <c r="U9" s="2">
        <v>1</v>
      </c>
      <c r="V9" s="134">
        <f t="shared" si="10"/>
        <v>4</v>
      </c>
      <c r="W9" s="133">
        <f t="shared" si="2"/>
        <v>70.400000000000006</v>
      </c>
      <c r="X9" s="2">
        <v>2</v>
      </c>
      <c r="Y9" s="2">
        <v>1</v>
      </c>
      <c r="Z9" s="135">
        <f t="shared" si="3"/>
        <v>8</v>
      </c>
      <c r="AA9" s="133">
        <f t="shared" si="4"/>
        <v>44</v>
      </c>
      <c r="AB9" s="2">
        <v>0</v>
      </c>
      <c r="AC9" s="2">
        <v>0</v>
      </c>
      <c r="AD9" s="134">
        <v>0</v>
      </c>
      <c r="AE9" s="133">
        <f t="shared" si="5"/>
        <v>0</v>
      </c>
      <c r="AF9" s="9">
        <f t="shared" si="6"/>
        <v>159.19999999999999</v>
      </c>
      <c r="AG9" s="2">
        <v>3</v>
      </c>
      <c r="AH9" s="2">
        <v>2</v>
      </c>
      <c r="AI9" s="2">
        <v>24</v>
      </c>
      <c r="AJ9" s="2">
        <v>364.8</v>
      </c>
      <c r="AK9" s="2">
        <v>0</v>
      </c>
      <c r="AL9" s="2">
        <v>0</v>
      </c>
      <c r="AM9" s="2">
        <v>0</v>
      </c>
      <c r="AN9" s="136">
        <v>0</v>
      </c>
    </row>
    <row r="10" spans="1:40" ht="15">
      <c r="A10" s="67" t="s">
        <v>439</v>
      </c>
      <c r="B10" s="68" t="s">
        <v>207</v>
      </c>
      <c r="C10" s="73">
        <v>8</v>
      </c>
      <c r="D10" s="2">
        <v>1</v>
      </c>
      <c r="E10" s="2">
        <v>1</v>
      </c>
      <c r="F10" s="2">
        <v>4</v>
      </c>
      <c r="G10" s="133">
        <f t="shared" si="7"/>
        <v>44.8</v>
      </c>
      <c r="H10" s="2">
        <v>0</v>
      </c>
      <c r="I10" s="2">
        <v>0</v>
      </c>
      <c r="J10" s="2">
        <v>0</v>
      </c>
      <c r="K10" s="133">
        <f t="shared" si="0"/>
        <v>0</v>
      </c>
      <c r="L10" s="2">
        <v>0</v>
      </c>
      <c r="M10" s="2">
        <v>0</v>
      </c>
      <c r="N10" s="134">
        <f t="shared" si="9"/>
        <v>0</v>
      </c>
      <c r="O10" s="133">
        <f t="shared" si="8"/>
        <v>0</v>
      </c>
      <c r="P10" s="2">
        <v>0</v>
      </c>
      <c r="Q10" s="2">
        <v>0</v>
      </c>
      <c r="R10" s="134">
        <v>0</v>
      </c>
      <c r="S10" s="134">
        <f t="shared" si="1"/>
        <v>0</v>
      </c>
      <c r="T10" s="2">
        <v>1</v>
      </c>
      <c r="U10" s="2">
        <v>1</v>
      </c>
      <c r="V10" s="134">
        <f t="shared" si="10"/>
        <v>4</v>
      </c>
      <c r="W10" s="133">
        <f t="shared" si="2"/>
        <v>70.400000000000006</v>
      </c>
      <c r="X10" s="2">
        <v>2</v>
      </c>
      <c r="Y10" s="2">
        <v>1</v>
      </c>
      <c r="Z10" s="135">
        <f t="shared" si="3"/>
        <v>8</v>
      </c>
      <c r="AA10" s="133">
        <f t="shared" si="4"/>
        <v>44</v>
      </c>
      <c r="AB10" s="2">
        <v>0</v>
      </c>
      <c r="AC10" s="2">
        <v>0</v>
      </c>
      <c r="AD10" s="134">
        <v>0</v>
      </c>
      <c r="AE10" s="133">
        <f t="shared" si="5"/>
        <v>0</v>
      </c>
      <c r="AF10" s="9">
        <f t="shared" si="6"/>
        <v>159.19999999999999</v>
      </c>
      <c r="AG10" s="2">
        <v>3</v>
      </c>
      <c r="AH10" s="2">
        <v>2</v>
      </c>
      <c r="AI10" s="2">
        <v>24</v>
      </c>
      <c r="AJ10" s="2">
        <v>364.8</v>
      </c>
      <c r="AK10" s="2">
        <v>0</v>
      </c>
      <c r="AL10" s="2">
        <v>0</v>
      </c>
      <c r="AM10" s="2">
        <v>0</v>
      </c>
      <c r="AN10" s="136">
        <v>0</v>
      </c>
    </row>
    <row r="11" spans="1:40" ht="15">
      <c r="A11" s="67" t="s">
        <v>440</v>
      </c>
      <c r="B11" s="68" t="s">
        <v>257</v>
      </c>
      <c r="C11" s="69">
        <v>6</v>
      </c>
      <c r="D11" s="2">
        <v>1</v>
      </c>
      <c r="E11" s="2">
        <v>1</v>
      </c>
      <c r="F11" s="2">
        <v>4</v>
      </c>
      <c r="G11" s="133">
        <f t="shared" si="7"/>
        <v>44.8</v>
      </c>
      <c r="H11" s="2">
        <v>0</v>
      </c>
      <c r="I11" s="2">
        <v>0</v>
      </c>
      <c r="J11" s="2">
        <v>0</v>
      </c>
      <c r="K11" s="133">
        <f t="shared" si="0"/>
        <v>0</v>
      </c>
      <c r="L11" s="2">
        <v>0</v>
      </c>
      <c r="M11" s="2">
        <v>0</v>
      </c>
      <c r="N11" s="134">
        <f t="shared" si="9"/>
        <v>0</v>
      </c>
      <c r="O11" s="133">
        <f t="shared" si="8"/>
        <v>0</v>
      </c>
      <c r="P11" s="2">
        <v>0</v>
      </c>
      <c r="Q11" s="2">
        <v>0</v>
      </c>
      <c r="R11" s="134">
        <v>0</v>
      </c>
      <c r="S11" s="134">
        <f t="shared" si="1"/>
        <v>0</v>
      </c>
      <c r="T11" s="2">
        <v>1</v>
      </c>
      <c r="U11" s="2">
        <v>1</v>
      </c>
      <c r="V11" s="134">
        <f t="shared" si="10"/>
        <v>4</v>
      </c>
      <c r="W11" s="133">
        <f t="shared" si="2"/>
        <v>70.400000000000006</v>
      </c>
      <c r="X11" s="2">
        <v>2</v>
      </c>
      <c r="Y11" s="2">
        <v>1</v>
      </c>
      <c r="Z11" s="135">
        <f t="shared" si="3"/>
        <v>8</v>
      </c>
      <c r="AA11" s="133">
        <f t="shared" si="4"/>
        <v>44</v>
      </c>
      <c r="AB11" s="2">
        <v>0</v>
      </c>
      <c r="AC11" s="2">
        <v>0</v>
      </c>
      <c r="AD11" s="134">
        <v>0</v>
      </c>
      <c r="AE11" s="133">
        <f t="shared" si="5"/>
        <v>0</v>
      </c>
      <c r="AF11" s="9">
        <f t="shared" si="6"/>
        <v>159.19999999999999</v>
      </c>
      <c r="AG11" s="2">
        <v>3</v>
      </c>
      <c r="AH11" s="2">
        <v>2</v>
      </c>
      <c r="AI11" s="2">
        <v>24</v>
      </c>
      <c r="AJ11" s="2">
        <v>364.8</v>
      </c>
      <c r="AK11" s="2">
        <v>0</v>
      </c>
      <c r="AL11" s="2">
        <v>0</v>
      </c>
      <c r="AM11" s="2">
        <v>0</v>
      </c>
      <c r="AN11" s="136">
        <v>0</v>
      </c>
    </row>
    <row r="12" spans="1:40" ht="15">
      <c r="A12" s="67" t="s">
        <v>441</v>
      </c>
      <c r="B12" s="68" t="s">
        <v>36</v>
      </c>
      <c r="C12" s="69">
        <v>9</v>
      </c>
      <c r="D12" s="2">
        <v>2</v>
      </c>
      <c r="E12" s="2">
        <v>1</v>
      </c>
      <c r="F12" s="2">
        <v>4</v>
      </c>
      <c r="G12" s="133">
        <f t="shared" si="7"/>
        <v>44.8</v>
      </c>
      <c r="H12" s="2">
        <v>1</v>
      </c>
      <c r="I12" s="2">
        <v>1</v>
      </c>
      <c r="J12" s="2">
        <v>4</v>
      </c>
      <c r="K12" s="133">
        <f t="shared" si="0"/>
        <v>42.4</v>
      </c>
      <c r="L12" s="2">
        <v>0</v>
      </c>
      <c r="M12" s="2">
        <v>0</v>
      </c>
      <c r="N12" s="134">
        <f t="shared" si="9"/>
        <v>0</v>
      </c>
      <c r="O12" s="133">
        <f t="shared" si="8"/>
        <v>0</v>
      </c>
      <c r="P12" s="2" t="s">
        <v>495</v>
      </c>
      <c r="Q12" s="2">
        <v>0</v>
      </c>
      <c r="R12" s="134">
        <v>8.3000000000000004E-2</v>
      </c>
      <c r="S12" s="134">
        <f t="shared" si="1"/>
        <v>0.95865000000000011</v>
      </c>
      <c r="T12" s="2">
        <v>2</v>
      </c>
      <c r="U12" s="2">
        <v>1</v>
      </c>
      <c r="V12" s="134">
        <f t="shared" si="10"/>
        <v>8</v>
      </c>
      <c r="W12" s="133">
        <f t="shared" si="2"/>
        <v>140.80000000000001</v>
      </c>
      <c r="X12" s="2">
        <v>2</v>
      </c>
      <c r="Y12" s="2">
        <v>1</v>
      </c>
      <c r="Z12" s="135">
        <f t="shared" si="3"/>
        <v>8</v>
      </c>
      <c r="AA12" s="133">
        <f t="shared" si="4"/>
        <v>44</v>
      </c>
      <c r="AB12" s="2" t="s">
        <v>496</v>
      </c>
      <c r="AC12" s="2">
        <v>1</v>
      </c>
      <c r="AD12" s="134">
        <v>0.16</v>
      </c>
      <c r="AE12" s="133">
        <f t="shared" si="5"/>
        <v>1.2</v>
      </c>
      <c r="AF12" s="9">
        <f t="shared" si="6"/>
        <v>274.15865000000002</v>
      </c>
      <c r="AG12" s="2">
        <v>4</v>
      </c>
      <c r="AH12" s="2">
        <v>1</v>
      </c>
      <c r="AI12" s="2">
        <v>16</v>
      </c>
      <c r="AJ12" s="2">
        <v>243.2</v>
      </c>
      <c r="AK12" s="2">
        <v>0</v>
      </c>
      <c r="AL12" s="2">
        <v>0</v>
      </c>
      <c r="AM12" s="2">
        <v>0</v>
      </c>
      <c r="AN12" s="136">
        <v>0</v>
      </c>
    </row>
    <row r="13" spans="1:40" ht="15">
      <c r="A13" s="74" t="s">
        <v>442</v>
      </c>
      <c r="B13" s="75" t="s">
        <v>443</v>
      </c>
      <c r="C13" s="76">
        <v>8</v>
      </c>
      <c r="D13" s="137">
        <v>1</v>
      </c>
      <c r="E13" s="137">
        <v>3</v>
      </c>
      <c r="F13" s="137">
        <v>12</v>
      </c>
      <c r="G13" s="133">
        <f t="shared" si="7"/>
        <v>134.39999999999998</v>
      </c>
      <c r="H13" s="137">
        <v>1</v>
      </c>
      <c r="I13" s="137">
        <v>3</v>
      </c>
      <c r="J13" s="137">
        <v>12</v>
      </c>
      <c r="K13" s="133">
        <f t="shared" si="0"/>
        <v>127.19999999999999</v>
      </c>
      <c r="L13" s="137">
        <v>2</v>
      </c>
      <c r="M13" s="137">
        <v>1</v>
      </c>
      <c r="N13" s="137">
        <f t="shared" si="9"/>
        <v>8</v>
      </c>
      <c r="O13" s="138">
        <f t="shared" si="8"/>
        <v>115.44</v>
      </c>
      <c r="P13" s="137">
        <v>1</v>
      </c>
      <c r="Q13" s="137">
        <v>1</v>
      </c>
      <c r="R13" s="137">
        <v>0</v>
      </c>
      <c r="S13" s="137">
        <f t="shared" si="1"/>
        <v>0</v>
      </c>
      <c r="T13" s="138"/>
      <c r="U13" s="138"/>
      <c r="V13" s="137">
        <v>0.5</v>
      </c>
      <c r="W13" s="138">
        <f t="shared" si="2"/>
        <v>8.8000000000000007</v>
      </c>
      <c r="X13" s="137">
        <v>1</v>
      </c>
      <c r="Y13" s="137">
        <v>2</v>
      </c>
      <c r="Z13" s="139">
        <f t="shared" si="3"/>
        <v>8</v>
      </c>
      <c r="AA13" s="138">
        <f t="shared" si="4"/>
        <v>44</v>
      </c>
      <c r="AB13" s="138"/>
      <c r="AC13" s="138"/>
      <c r="AD13" s="137">
        <v>0.5</v>
      </c>
      <c r="AE13" s="138">
        <f t="shared" si="5"/>
        <v>3.75</v>
      </c>
      <c r="AF13" s="9">
        <f t="shared" si="6"/>
        <v>433.59</v>
      </c>
      <c r="AG13" s="137">
        <v>3</v>
      </c>
      <c r="AH13" s="137">
        <v>1</v>
      </c>
      <c r="AI13" s="137">
        <v>12</v>
      </c>
      <c r="AJ13" s="137">
        <v>182.4</v>
      </c>
      <c r="AK13" s="137">
        <v>1</v>
      </c>
      <c r="AL13" s="137">
        <v>2</v>
      </c>
      <c r="AM13" s="137">
        <v>8</v>
      </c>
      <c r="AN13" s="136">
        <v>64</v>
      </c>
    </row>
    <row r="14" spans="1:40" ht="15">
      <c r="A14" s="77" t="s">
        <v>444</v>
      </c>
      <c r="B14" s="78" t="s">
        <v>59</v>
      </c>
      <c r="C14" s="79">
        <v>8</v>
      </c>
      <c r="D14" s="2">
        <v>3</v>
      </c>
      <c r="E14" s="2">
        <v>1</v>
      </c>
      <c r="F14" s="2">
        <v>12</v>
      </c>
      <c r="G14" s="133">
        <f t="shared" si="7"/>
        <v>134.39999999999998</v>
      </c>
      <c r="H14" s="2">
        <v>1</v>
      </c>
      <c r="I14" s="2">
        <v>1</v>
      </c>
      <c r="J14" s="2">
        <v>4</v>
      </c>
      <c r="K14" s="133">
        <f t="shared" si="0"/>
        <v>42.4</v>
      </c>
      <c r="L14" s="2">
        <v>0</v>
      </c>
      <c r="M14" s="2">
        <v>0</v>
      </c>
      <c r="N14" s="134">
        <v>0</v>
      </c>
      <c r="O14" s="133">
        <f t="shared" si="8"/>
        <v>0</v>
      </c>
      <c r="P14" s="2">
        <v>0</v>
      </c>
      <c r="Q14" s="2">
        <v>0</v>
      </c>
      <c r="R14" s="134">
        <v>0</v>
      </c>
      <c r="S14" s="134">
        <f t="shared" si="1"/>
        <v>0</v>
      </c>
      <c r="V14" s="134">
        <v>1</v>
      </c>
      <c r="W14" s="133">
        <f t="shared" si="2"/>
        <v>17.600000000000001</v>
      </c>
      <c r="X14" s="2">
        <v>1</v>
      </c>
      <c r="Y14" s="2">
        <v>6</v>
      </c>
      <c r="Z14" s="135">
        <f t="shared" si="3"/>
        <v>24</v>
      </c>
      <c r="AA14" s="133">
        <f t="shared" si="4"/>
        <v>132</v>
      </c>
      <c r="AC14" s="2">
        <v>1</v>
      </c>
      <c r="AD14" s="134">
        <v>1</v>
      </c>
      <c r="AE14" s="133">
        <f t="shared" si="5"/>
        <v>7.5</v>
      </c>
      <c r="AF14" s="9">
        <f t="shared" si="6"/>
        <v>333.9</v>
      </c>
      <c r="AG14" s="2">
        <v>1</v>
      </c>
      <c r="AH14" s="2">
        <v>1</v>
      </c>
      <c r="AI14" s="2">
        <v>4</v>
      </c>
      <c r="AJ14" s="2">
        <v>60.8</v>
      </c>
      <c r="AK14" s="2">
        <v>2</v>
      </c>
      <c r="AL14" s="2">
        <v>2</v>
      </c>
      <c r="AM14" s="2">
        <v>16</v>
      </c>
      <c r="AN14" s="136">
        <v>128</v>
      </c>
    </row>
    <row r="15" spans="1:40" ht="15">
      <c r="A15" s="80" t="s">
        <v>445</v>
      </c>
      <c r="B15" s="81" t="s">
        <v>234</v>
      </c>
      <c r="C15" s="82">
        <v>9</v>
      </c>
      <c r="D15" s="2">
        <v>3</v>
      </c>
      <c r="E15" s="2">
        <v>1</v>
      </c>
      <c r="F15" s="2">
        <v>12</v>
      </c>
      <c r="G15" s="133">
        <f t="shared" si="7"/>
        <v>134.39999999999998</v>
      </c>
      <c r="H15" s="2">
        <v>1</v>
      </c>
      <c r="I15" s="2">
        <v>1</v>
      </c>
      <c r="J15" s="2">
        <v>4</v>
      </c>
      <c r="K15" s="133">
        <f t="shared" si="0"/>
        <v>42.4</v>
      </c>
      <c r="L15" s="2" t="s">
        <v>495</v>
      </c>
      <c r="N15" s="134">
        <v>8.3000000000000004E-2</v>
      </c>
      <c r="O15" s="133">
        <f t="shared" si="8"/>
        <v>1.1976900000000001</v>
      </c>
      <c r="P15" s="2" t="s">
        <v>495</v>
      </c>
      <c r="R15" s="134">
        <v>8.3000000000000004E-2</v>
      </c>
      <c r="S15" s="134">
        <f t="shared" si="1"/>
        <v>0.95865000000000011</v>
      </c>
      <c r="T15" s="2" t="s">
        <v>494</v>
      </c>
      <c r="V15" s="134">
        <v>0.33</v>
      </c>
      <c r="W15" s="133">
        <f t="shared" si="2"/>
        <v>5.8080000000000007</v>
      </c>
      <c r="X15" s="2">
        <v>2</v>
      </c>
      <c r="Y15" s="2">
        <v>1</v>
      </c>
      <c r="Z15" s="135">
        <v>8</v>
      </c>
      <c r="AA15" s="133">
        <f t="shared" si="4"/>
        <v>44</v>
      </c>
      <c r="AB15" s="2" t="s">
        <v>497</v>
      </c>
      <c r="AD15" s="134">
        <v>0.16</v>
      </c>
      <c r="AE15" s="133">
        <f t="shared" si="5"/>
        <v>1.2</v>
      </c>
      <c r="AF15" s="9">
        <f t="shared" si="6"/>
        <v>229.96433999999999</v>
      </c>
      <c r="AG15" s="2">
        <v>3</v>
      </c>
      <c r="AH15" s="2">
        <v>1</v>
      </c>
      <c r="AI15" s="2">
        <v>12</v>
      </c>
      <c r="AJ15" s="2">
        <v>182.4</v>
      </c>
      <c r="AK15" s="2">
        <v>1</v>
      </c>
      <c r="AL15" s="2">
        <v>1</v>
      </c>
      <c r="AM15" s="2">
        <v>4</v>
      </c>
      <c r="AN15" s="136">
        <v>32</v>
      </c>
    </row>
    <row r="16" spans="1:40" ht="15">
      <c r="A16" s="80" t="s">
        <v>446</v>
      </c>
      <c r="B16" s="81" t="s">
        <v>248</v>
      </c>
      <c r="C16" s="82">
        <v>7</v>
      </c>
      <c r="F16" s="2">
        <v>12</v>
      </c>
      <c r="G16" s="133">
        <f t="shared" si="7"/>
        <v>134.39999999999998</v>
      </c>
      <c r="J16" s="2">
        <v>4</v>
      </c>
      <c r="K16" s="133">
        <f t="shared" si="0"/>
        <v>42.4</v>
      </c>
      <c r="L16" s="2" t="s">
        <v>492</v>
      </c>
      <c r="N16" s="134">
        <v>8.3000000000000004E-2</v>
      </c>
      <c r="O16" s="133">
        <f t="shared" si="8"/>
        <v>1.1976900000000001</v>
      </c>
      <c r="P16" s="2" t="s">
        <v>492</v>
      </c>
      <c r="R16" s="134">
        <v>8.3000000000000004E-2</v>
      </c>
      <c r="S16" s="134">
        <f t="shared" si="1"/>
        <v>0.95865000000000011</v>
      </c>
      <c r="T16" s="2" t="s">
        <v>498</v>
      </c>
      <c r="V16" s="134">
        <v>0.33</v>
      </c>
      <c r="W16" s="133">
        <f t="shared" si="2"/>
        <v>5.8080000000000007</v>
      </c>
      <c r="X16" s="2">
        <v>2</v>
      </c>
      <c r="Y16" s="2">
        <v>1</v>
      </c>
      <c r="Z16" s="135">
        <v>8</v>
      </c>
      <c r="AA16" s="133">
        <f t="shared" si="4"/>
        <v>44</v>
      </c>
      <c r="AB16" s="2" t="s">
        <v>499</v>
      </c>
      <c r="AD16" s="134">
        <v>0.16</v>
      </c>
      <c r="AE16" s="133">
        <f t="shared" si="5"/>
        <v>1.2</v>
      </c>
      <c r="AF16" s="9">
        <f t="shared" si="6"/>
        <v>229.96433999999999</v>
      </c>
      <c r="AG16" s="2">
        <v>3</v>
      </c>
      <c r="AH16" s="2">
        <v>1</v>
      </c>
      <c r="AI16" s="2">
        <v>12</v>
      </c>
      <c r="AJ16" s="2">
        <v>182.4</v>
      </c>
      <c r="AK16" s="2">
        <v>1</v>
      </c>
      <c r="AL16" s="2">
        <v>1</v>
      </c>
      <c r="AM16" s="2">
        <v>4</v>
      </c>
      <c r="AN16" s="136">
        <v>32</v>
      </c>
    </row>
    <row r="17" spans="1:40" ht="15">
      <c r="A17" s="83" t="s">
        <v>447</v>
      </c>
      <c r="B17" s="81" t="s">
        <v>148</v>
      </c>
      <c r="C17" s="82">
        <v>7</v>
      </c>
      <c r="F17" s="2">
        <v>12</v>
      </c>
      <c r="G17" s="133">
        <f t="shared" si="7"/>
        <v>134.39999999999998</v>
      </c>
      <c r="J17" s="2">
        <v>4</v>
      </c>
      <c r="K17" s="133">
        <f t="shared" si="0"/>
        <v>42.4</v>
      </c>
      <c r="L17" s="2" t="s">
        <v>493</v>
      </c>
      <c r="N17" s="134">
        <v>8.3000000000000004E-2</v>
      </c>
      <c r="O17" s="133">
        <f t="shared" si="8"/>
        <v>1.1976900000000001</v>
      </c>
      <c r="P17" s="2" t="s">
        <v>493</v>
      </c>
      <c r="R17" s="134">
        <v>8.3000000000000004E-2</v>
      </c>
      <c r="S17" s="134">
        <f t="shared" si="1"/>
        <v>0.95865000000000011</v>
      </c>
      <c r="T17" s="2" t="s">
        <v>500</v>
      </c>
      <c r="V17" s="134">
        <v>0.33</v>
      </c>
      <c r="W17" s="133">
        <f t="shared" si="2"/>
        <v>5.8080000000000007</v>
      </c>
      <c r="X17" s="2">
        <v>2</v>
      </c>
      <c r="Y17" s="2">
        <v>1</v>
      </c>
      <c r="Z17" s="135">
        <v>8</v>
      </c>
      <c r="AA17" s="133">
        <f t="shared" si="4"/>
        <v>44</v>
      </c>
      <c r="AB17" s="2" t="s">
        <v>501</v>
      </c>
      <c r="AD17" s="134">
        <v>0.16</v>
      </c>
      <c r="AE17" s="133">
        <f t="shared" si="5"/>
        <v>1.2</v>
      </c>
      <c r="AF17" s="9">
        <f t="shared" si="6"/>
        <v>229.96433999999999</v>
      </c>
      <c r="AG17" s="2">
        <v>3</v>
      </c>
      <c r="AH17" s="2">
        <v>1</v>
      </c>
      <c r="AI17" s="2">
        <v>12</v>
      </c>
      <c r="AJ17" s="2">
        <v>182.4</v>
      </c>
      <c r="AK17" s="2">
        <v>1</v>
      </c>
      <c r="AL17" s="2">
        <v>1</v>
      </c>
      <c r="AM17" s="2">
        <v>4</v>
      </c>
      <c r="AN17" s="136">
        <v>32</v>
      </c>
    </row>
    <row r="18" spans="1:40" ht="15">
      <c r="A18" s="77" t="s">
        <v>448</v>
      </c>
      <c r="B18" s="78" t="s">
        <v>46</v>
      </c>
      <c r="C18" s="79">
        <v>10</v>
      </c>
      <c r="D18" s="2">
        <v>3</v>
      </c>
      <c r="E18" s="2">
        <v>2</v>
      </c>
      <c r="F18" s="2">
        <v>24</v>
      </c>
      <c r="G18" s="133">
        <f t="shared" si="7"/>
        <v>268.79999999999995</v>
      </c>
      <c r="H18" s="2">
        <v>2</v>
      </c>
      <c r="I18" s="2">
        <v>2</v>
      </c>
      <c r="J18" s="2">
        <v>16</v>
      </c>
      <c r="K18" s="133">
        <f t="shared" si="0"/>
        <v>169.6</v>
      </c>
      <c r="L18" s="2" t="s">
        <v>495</v>
      </c>
      <c r="N18" s="134">
        <v>8.3000000000000004E-2</v>
      </c>
      <c r="O18" s="133">
        <f t="shared" si="8"/>
        <v>1.1976900000000001</v>
      </c>
      <c r="P18" s="2">
        <v>0</v>
      </c>
      <c r="Q18" s="2">
        <v>0</v>
      </c>
      <c r="R18" s="134">
        <v>0</v>
      </c>
      <c r="S18" s="134">
        <f t="shared" si="1"/>
        <v>0</v>
      </c>
      <c r="T18" s="2">
        <v>1</v>
      </c>
      <c r="U18" s="2">
        <v>2</v>
      </c>
      <c r="V18" s="133"/>
      <c r="W18" s="133">
        <f t="shared" si="2"/>
        <v>0</v>
      </c>
      <c r="X18" s="2">
        <v>3</v>
      </c>
      <c r="Y18" s="2">
        <v>1</v>
      </c>
      <c r="Z18" s="135">
        <v>12</v>
      </c>
      <c r="AA18" s="133">
        <f t="shared" si="4"/>
        <v>66</v>
      </c>
      <c r="AB18" s="2" t="s">
        <v>495</v>
      </c>
      <c r="AC18" s="2">
        <v>3</v>
      </c>
      <c r="AD18" s="134">
        <v>0.2</v>
      </c>
      <c r="AE18" s="133">
        <f t="shared" si="5"/>
        <v>1.5</v>
      </c>
      <c r="AF18" s="9">
        <f t="shared" si="6"/>
        <v>507.09768999999994</v>
      </c>
      <c r="AG18" s="2">
        <v>4</v>
      </c>
      <c r="AH18" s="2">
        <v>1</v>
      </c>
      <c r="AI18" s="2">
        <v>16</v>
      </c>
      <c r="AJ18" s="2">
        <v>243.2</v>
      </c>
      <c r="AK18" s="2">
        <v>1</v>
      </c>
      <c r="AL18" s="2">
        <v>1</v>
      </c>
      <c r="AM18" s="2">
        <v>4</v>
      </c>
      <c r="AN18" s="136">
        <v>32</v>
      </c>
    </row>
    <row r="19" spans="1:40" ht="15">
      <c r="A19" s="84" t="s">
        <v>449</v>
      </c>
      <c r="B19" s="85" t="s">
        <v>26</v>
      </c>
      <c r="C19" s="86">
        <v>6</v>
      </c>
      <c r="D19" s="140">
        <v>2</v>
      </c>
      <c r="E19" s="140">
        <v>1</v>
      </c>
      <c r="F19" s="140">
        <v>8</v>
      </c>
      <c r="G19" s="133">
        <f t="shared" si="7"/>
        <v>89.6</v>
      </c>
      <c r="H19" s="140">
        <v>0</v>
      </c>
      <c r="I19" s="140">
        <v>0</v>
      </c>
      <c r="J19" s="141"/>
      <c r="K19" s="133">
        <f t="shared" si="0"/>
        <v>0</v>
      </c>
      <c r="L19" s="140">
        <v>0</v>
      </c>
      <c r="M19" s="141"/>
      <c r="N19" s="142">
        <v>0</v>
      </c>
      <c r="O19" s="143">
        <f t="shared" si="8"/>
        <v>0</v>
      </c>
      <c r="P19" s="141"/>
      <c r="Q19" s="141"/>
      <c r="R19" s="142">
        <v>0</v>
      </c>
      <c r="S19" s="142">
        <f t="shared" si="1"/>
        <v>0</v>
      </c>
      <c r="T19" s="140" t="s">
        <v>502</v>
      </c>
      <c r="U19" s="141"/>
      <c r="V19" s="142">
        <v>1</v>
      </c>
      <c r="W19" s="143">
        <f t="shared" si="2"/>
        <v>17.600000000000001</v>
      </c>
      <c r="X19" s="140">
        <v>3</v>
      </c>
      <c r="Y19" s="140">
        <v>2</v>
      </c>
      <c r="Z19" s="144">
        <v>24</v>
      </c>
      <c r="AA19" s="143">
        <f t="shared" si="4"/>
        <v>132</v>
      </c>
      <c r="AB19" s="140">
        <v>0</v>
      </c>
      <c r="AC19" s="140">
        <v>0</v>
      </c>
      <c r="AD19" s="142">
        <v>0</v>
      </c>
      <c r="AE19" s="143">
        <f t="shared" si="5"/>
        <v>0</v>
      </c>
      <c r="AF19" s="9">
        <f t="shared" si="6"/>
        <v>239.2</v>
      </c>
      <c r="AG19" s="140">
        <v>4</v>
      </c>
      <c r="AH19" s="140">
        <v>2</v>
      </c>
      <c r="AI19" s="140">
        <v>32</v>
      </c>
      <c r="AJ19" s="140">
        <v>486.4</v>
      </c>
      <c r="AK19" s="140">
        <v>0</v>
      </c>
      <c r="AL19" s="140">
        <v>0</v>
      </c>
      <c r="AM19" s="140">
        <v>0</v>
      </c>
      <c r="AN19" s="136">
        <v>0</v>
      </c>
    </row>
    <row r="20" spans="1:40" ht="15">
      <c r="A20" s="145" t="s">
        <v>503</v>
      </c>
      <c r="B20" s="145" t="s">
        <v>190</v>
      </c>
      <c r="C20" s="146">
        <v>6</v>
      </c>
      <c r="D20" s="2">
        <v>3</v>
      </c>
      <c r="E20" s="2">
        <v>1</v>
      </c>
      <c r="F20" s="2">
        <v>12</v>
      </c>
      <c r="G20" s="133">
        <f t="shared" si="7"/>
        <v>134.39999999999998</v>
      </c>
      <c r="H20" s="2">
        <v>1</v>
      </c>
      <c r="I20" s="2">
        <v>1</v>
      </c>
      <c r="J20" s="2">
        <v>4</v>
      </c>
      <c r="K20" s="133">
        <f t="shared" si="0"/>
        <v>42.4</v>
      </c>
      <c r="L20" s="2">
        <v>0</v>
      </c>
      <c r="M20" s="2">
        <v>0</v>
      </c>
      <c r="N20" s="134">
        <v>0</v>
      </c>
      <c r="O20" s="133">
        <f t="shared" si="8"/>
        <v>0</v>
      </c>
      <c r="P20" s="2">
        <v>0</v>
      </c>
      <c r="Q20" s="2">
        <v>0</v>
      </c>
      <c r="R20" s="134">
        <v>0</v>
      </c>
      <c r="S20" s="134">
        <f t="shared" si="1"/>
        <v>0</v>
      </c>
      <c r="V20" s="134">
        <v>1</v>
      </c>
      <c r="W20" s="133">
        <f t="shared" si="2"/>
        <v>17.600000000000001</v>
      </c>
      <c r="X20" s="2">
        <v>1</v>
      </c>
      <c r="Y20" s="2">
        <v>6</v>
      </c>
      <c r="Z20" s="135">
        <f>(X20*Y20)*4</f>
        <v>24</v>
      </c>
      <c r="AA20" s="133">
        <f t="shared" si="4"/>
        <v>132</v>
      </c>
      <c r="AC20" s="2">
        <v>1</v>
      </c>
      <c r="AD20" s="134">
        <v>1</v>
      </c>
      <c r="AE20" s="133">
        <f t="shared" si="5"/>
        <v>7.5</v>
      </c>
      <c r="AF20" s="9">
        <f t="shared" si="6"/>
        <v>333.9</v>
      </c>
      <c r="AG20" s="2">
        <v>1</v>
      </c>
      <c r="AH20" s="2">
        <v>1</v>
      </c>
      <c r="AI20" s="2">
        <v>4</v>
      </c>
      <c r="AJ20" s="2">
        <v>60.8</v>
      </c>
      <c r="AK20" s="2">
        <v>2</v>
      </c>
      <c r="AL20" s="2">
        <v>2</v>
      </c>
      <c r="AM20" s="2">
        <v>16</v>
      </c>
      <c r="AN20" s="136">
        <v>128</v>
      </c>
    </row>
    <row r="21" spans="1:40" ht="15">
      <c r="A21" s="55" t="s">
        <v>387</v>
      </c>
      <c r="B21" s="55" t="s">
        <v>504</v>
      </c>
      <c r="C21" s="146">
        <v>8</v>
      </c>
      <c r="D21" s="2">
        <v>3</v>
      </c>
      <c r="E21" s="2">
        <v>1</v>
      </c>
      <c r="F21" s="2">
        <v>12</v>
      </c>
      <c r="G21" s="133">
        <f t="shared" si="7"/>
        <v>134.39999999999998</v>
      </c>
      <c r="H21" s="2">
        <v>1</v>
      </c>
      <c r="I21" s="2">
        <v>1</v>
      </c>
      <c r="J21" s="2">
        <v>4</v>
      </c>
      <c r="K21" s="133">
        <f t="shared" si="0"/>
        <v>42.4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505</v>
      </c>
      <c r="U21" s="2">
        <v>1</v>
      </c>
      <c r="V21" s="2">
        <v>1</v>
      </c>
      <c r="W21" s="133">
        <f t="shared" si="2"/>
        <v>17.600000000000001</v>
      </c>
      <c r="X21" s="2">
        <v>1</v>
      </c>
      <c r="Y21" s="2">
        <v>5</v>
      </c>
      <c r="Z21" s="2">
        <v>20</v>
      </c>
      <c r="AA21" s="133">
        <f t="shared" si="4"/>
        <v>110</v>
      </c>
      <c r="AB21" s="2" t="s">
        <v>506</v>
      </c>
      <c r="AC21" s="2">
        <v>1</v>
      </c>
      <c r="AD21" s="2">
        <v>1</v>
      </c>
      <c r="AE21" s="133">
        <f t="shared" si="5"/>
        <v>7.5</v>
      </c>
      <c r="AF21" s="9">
        <f t="shared" si="6"/>
        <v>311.89999999999998</v>
      </c>
    </row>
    <row r="22" spans="1:40" ht="13">
      <c r="A22" s="147"/>
      <c r="B22" s="62"/>
      <c r="C22" s="92" t="s">
        <v>507</v>
      </c>
      <c r="G22" s="133"/>
      <c r="K22" s="133"/>
      <c r="N22" s="133">
        <f t="shared" ref="N22:O22" si="11">AVERAGE(N4:N19)</f>
        <v>1.7907499999999996</v>
      </c>
      <c r="O22" s="133">
        <f t="shared" si="11"/>
        <v>25.840522500000002</v>
      </c>
      <c r="R22" s="133">
        <f t="shared" ref="R22:S22" si="12">AVERAGE(R4:R19)</f>
        <v>5.1999999999999991E-2</v>
      </c>
      <c r="S22" s="134">
        <f t="shared" si="12"/>
        <v>0.60060000000000013</v>
      </c>
      <c r="V22" s="133">
        <f t="shared" ref="V22:W22" si="13">AVERAGE(V4:V19)</f>
        <v>3.1873333333333331</v>
      </c>
      <c r="W22" s="133">
        <f t="shared" si="13"/>
        <v>52.590999999999994</v>
      </c>
      <c r="Z22" s="148">
        <f t="shared" ref="Z22:AA22" si="14">AVERAGE(Z4:Z19)</f>
        <v>13.5</v>
      </c>
      <c r="AA22" s="133">
        <f t="shared" si="14"/>
        <v>74.25</v>
      </c>
      <c r="AD22" s="133">
        <f>AVERAGE(AD4:AD19)</f>
        <v>0.27125000000000005</v>
      </c>
      <c r="AE22" s="133">
        <f>AVERAGE(AE4:AE19)</f>
        <v>2.0343749999999998</v>
      </c>
      <c r="AF22" s="9">
        <f>AVERAGE(AF4:AF19)</f>
        <v>304.11649749999992</v>
      </c>
      <c r="AN22" s="149"/>
    </row>
    <row r="23" spans="1:40" ht="13">
      <c r="A23" s="147"/>
      <c r="B23" s="62"/>
      <c r="C23" s="91"/>
      <c r="G23" s="133"/>
      <c r="K23" s="133"/>
      <c r="N23" s="133"/>
      <c r="O23" s="133"/>
      <c r="R23" s="133"/>
      <c r="S23" s="134"/>
      <c r="V23" s="133"/>
      <c r="W23" s="133"/>
      <c r="Z23" s="148"/>
      <c r="AA23" s="133"/>
      <c r="AD23" s="133"/>
      <c r="AE23" s="133"/>
      <c r="AF23" s="9"/>
      <c r="AN23" s="149"/>
    </row>
    <row r="24" spans="1:40" ht="13">
      <c r="A24" s="147"/>
      <c r="B24" s="62"/>
      <c r="C24" s="91"/>
      <c r="G24" s="133"/>
      <c r="K24" s="133"/>
      <c r="N24" s="133"/>
      <c r="O24" s="133"/>
      <c r="R24" s="133"/>
      <c r="S24" s="134"/>
      <c r="V24" s="133"/>
      <c r="W24" s="133"/>
      <c r="Z24" s="148"/>
      <c r="AA24" s="133"/>
      <c r="AD24" s="133"/>
      <c r="AE24" s="133"/>
      <c r="AF24" s="9"/>
      <c r="AN24" s="149"/>
    </row>
    <row r="25" spans="1:40" ht="25">
      <c r="A25" s="62"/>
      <c r="B25" s="62"/>
      <c r="C25" s="62"/>
      <c r="D25" s="105" t="s">
        <v>473</v>
      </c>
      <c r="E25" s="60"/>
      <c r="F25" s="108"/>
      <c r="G25" s="109"/>
      <c r="H25" s="105" t="s">
        <v>474</v>
      </c>
      <c r="I25" s="105"/>
      <c r="J25" s="105"/>
      <c r="K25" s="115"/>
      <c r="L25" s="106" t="s">
        <v>475</v>
      </c>
      <c r="M25" s="60"/>
      <c r="N25" s="108"/>
      <c r="O25" s="109"/>
      <c r="P25" s="106" t="s">
        <v>476</v>
      </c>
      <c r="Q25" s="60"/>
      <c r="R25" s="108"/>
      <c r="S25" s="108"/>
      <c r="T25" s="106" t="s">
        <v>477</v>
      </c>
      <c r="U25" s="60"/>
      <c r="V25" s="108"/>
      <c r="W25" s="109"/>
      <c r="X25" s="106" t="s">
        <v>478</v>
      </c>
      <c r="Y25" s="60"/>
      <c r="Z25" s="108"/>
      <c r="AA25" s="109"/>
      <c r="AB25" s="106" t="s">
        <v>479</v>
      </c>
      <c r="AC25" s="60"/>
      <c r="AD25" s="108"/>
      <c r="AE25" s="109"/>
      <c r="AF25" s="9"/>
      <c r="AG25" s="111" t="s">
        <v>480</v>
      </c>
      <c r="AH25" s="112"/>
      <c r="AI25" s="113"/>
      <c r="AJ25" s="113"/>
      <c r="AK25" s="111" t="s">
        <v>481</v>
      </c>
      <c r="AL25" s="112"/>
      <c r="AM25" s="113"/>
      <c r="AN25" s="114"/>
    </row>
    <row r="26" spans="1:40" ht="15">
      <c r="A26" s="150" t="s">
        <v>508</v>
      </c>
      <c r="B26" s="151"/>
      <c r="C26" s="151"/>
      <c r="D26" s="105" t="s">
        <v>509</v>
      </c>
      <c r="E26" s="60"/>
      <c r="F26" s="62"/>
      <c r="G26" s="116">
        <v>7.9</v>
      </c>
      <c r="H26" s="105" t="s">
        <v>510</v>
      </c>
      <c r="I26" s="105"/>
      <c r="J26" s="105"/>
      <c r="K26" s="115">
        <v>7.9</v>
      </c>
      <c r="L26" s="106" t="s">
        <v>482</v>
      </c>
      <c r="M26" s="60"/>
      <c r="N26" s="62"/>
      <c r="O26" s="116">
        <v>10.8</v>
      </c>
      <c r="P26" s="106" t="s">
        <v>482</v>
      </c>
      <c r="Q26" s="60"/>
      <c r="R26" s="108"/>
      <c r="S26" s="116">
        <v>15.84</v>
      </c>
      <c r="T26" s="106" t="s">
        <v>483</v>
      </c>
      <c r="U26" s="60"/>
      <c r="V26" s="108"/>
      <c r="W26" s="117">
        <v>17.600000000000001</v>
      </c>
      <c r="X26" s="106" t="s">
        <v>484</v>
      </c>
      <c r="Y26" s="60"/>
      <c r="Z26" s="108"/>
      <c r="AA26" s="118">
        <v>5.5</v>
      </c>
      <c r="AB26" s="106" t="s">
        <v>485</v>
      </c>
      <c r="AC26" s="60"/>
      <c r="AD26" s="108"/>
      <c r="AE26" s="118">
        <v>7.7</v>
      </c>
      <c r="AF26" s="9"/>
      <c r="AG26" s="120" t="s">
        <v>486</v>
      </c>
      <c r="AH26" s="121"/>
      <c r="AI26" s="122"/>
      <c r="AJ26" s="123">
        <v>15.2</v>
      </c>
      <c r="AK26" s="120" t="s">
        <v>486</v>
      </c>
      <c r="AL26" s="121"/>
      <c r="AM26" s="122"/>
      <c r="AN26" s="124">
        <v>8</v>
      </c>
    </row>
    <row r="27" spans="1:40" ht="13">
      <c r="A27" s="63" t="s">
        <v>430</v>
      </c>
      <c r="B27" s="63" t="s">
        <v>2</v>
      </c>
      <c r="C27" s="63" t="s">
        <v>431</v>
      </c>
      <c r="D27" s="125" t="s">
        <v>487</v>
      </c>
      <c r="E27" s="126" t="s">
        <v>488</v>
      </c>
      <c r="F27" s="127" t="s">
        <v>489</v>
      </c>
      <c r="G27" s="127" t="s">
        <v>511</v>
      </c>
      <c r="H27" s="125" t="s">
        <v>487</v>
      </c>
      <c r="I27" s="126" t="s">
        <v>488</v>
      </c>
      <c r="J27" s="127" t="s">
        <v>489</v>
      </c>
      <c r="K27" s="127" t="s">
        <v>511</v>
      </c>
      <c r="L27" s="125"/>
      <c r="M27" s="126"/>
      <c r="N27" s="127"/>
      <c r="O27" s="127"/>
      <c r="P27" s="125"/>
      <c r="Q27" s="126"/>
      <c r="R27" s="127"/>
      <c r="S27" s="128"/>
      <c r="T27" s="125"/>
      <c r="U27" s="126"/>
      <c r="V27" s="127"/>
      <c r="W27" s="128"/>
      <c r="X27" s="125"/>
      <c r="Y27" s="126"/>
      <c r="Z27" s="127"/>
      <c r="AA27" s="128"/>
      <c r="AB27" s="125"/>
      <c r="AC27" s="126"/>
      <c r="AD27" s="127"/>
      <c r="AE27" s="128"/>
      <c r="AF27" s="9"/>
      <c r="AG27" s="129" t="s">
        <v>487</v>
      </c>
      <c r="AH27" s="130" t="s">
        <v>488</v>
      </c>
      <c r="AI27" s="131" t="s">
        <v>489</v>
      </c>
      <c r="AJ27" s="131" t="s">
        <v>490</v>
      </c>
      <c r="AK27" s="129" t="s">
        <v>487</v>
      </c>
      <c r="AL27" s="130" t="s">
        <v>488</v>
      </c>
      <c r="AM27" s="131" t="s">
        <v>489</v>
      </c>
      <c r="AN27" s="132" t="s">
        <v>490</v>
      </c>
    </row>
    <row r="28" spans="1:40" ht="15">
      <c r="A28" s="88" t="s">
        <v>450</v>
      </c>
      <c r="B28" s="60" t="s">
        <v>375</v>
      </c>
      <c r="C28" s="89">
        <v>8</v>
      </c>
      <c r="D28" s="2" t="s">
        <v>512</v>
      </c>
      <c r="E28" s="2">
        <v>1</v>
      </c>
      <c r="F28" s="2">
        <v>0.16</v>
      </c>
      <c r="G28" s="134">
        <f>(G$26*F28)</f>
        <v>1.264</v>
      </c>
      <c r="H28" s="2">
        <v>0</v>
      </c>
      <c r="I28" s="2">
        <v>0</v>
      </c>
      <c r="J28" s="2">
        <v>0</v>
      </c>
      <c r="K28" s="134">
        <f t="shared" ref="K28:K46" si="15">(K$26*J28)</f>
        <v>0</v>
      </c>
      <c r="L28" s="2" t="s">
        <v>495</v>
      </c>
      <c r="N28" s="134">
        <v>8.3000000000000004E-2</v>
      </c>
      <c r="O28" s="133">
        <f t="shared" ref="O28:O46" si="16">N28*$O$2</f>
        <v>1.1976900000000001</v>
      </c>
      <c r="P28" s="2" t="s">
        <v>495</v>
      </c>
      <c r="R28" s="134">
        <v>8.3000000000000004E-2</v>
      </c>
      <c r="S28" s="134">
        <f t="shared" ref="S28:S46" si="17">(S$2*R28)</f>
        <v>0.95865000000000011</v>
      </c>
      <c r="T28" s="2" t="s">
        <v>513</v>
      </c>
      <c r="U28" s="2">
        <v>2</v>
      </c>
      <c r="V28" s="134">
        <v>4</v>
      </c>
      <c r="W28" s="133">
        <f t="shared" ref="W28:W46" si="18">(W$2*V28)</f>
        <v>70.400000000000006</v>
      </c>
      <c r="X28" s="2" t="s">
        <v>514</v>
      </c>
      <c r="Y28" s="2">
        <v>2</v>
      </c>
      <c r="Z28" s="135">
        <v>4</v>
      </c>
      <c r="AA28" s="133">
        <f t="shared" ref="AA28:AA46" si="19">(AA$2*Z28)</f>
        <v>22</v>
      </c>
      <c r="AB28" s="2" t="s">
        <v>496</v>
      </c>
      <c r="AD28" s="134">
        <v>0.16</v>
      </c>
      <c r="AE28" s="133">
        <f t="shared" ref="AE28:AE46" si="20">(AE$2*AD28)</f>
        <v>1.2</v>
      </c>
      <c r="AF28" s="9">
        <f t="shared" ref="AF28:AF46" si="21">SUM(AE28+AA28+W28+S28+O28+K28+G28)</f>
        <v>97.020340000000004</v>
      </c>
      <c r="AG28" s="2">
        <v>7</v>
      </c>
      <c r="AH28" s="2">
        <v>3</v>
      </c>
      <c r="AI28" s="2">
        <v>84</v>
      </c>
      <c r="AJ28" s="2">
        <v>1276.8</v>
      </c>
      <c r="AK28" s="2">
        <v>1</v>
      </c>
      <c r="AL28" s="2">
        <v>1</v>
      </c>
      <c r="AM28" s="2">
        <v>4</v>
      </c>
      <c r="AN28" s="149">
        <f>(AM$28*AN26)</f>
        <v>32</v>
      </c>
    </row>
    <row r="29" spans="1:40" ht="15">
      <c r="A29" s="88" t="s">
        <v>451</v>
      </c>
      <c r="B29" s="60" t="s">
        <v>452</v>
      </c>
      <c r="C29" s="89">
        <v>6</v>
      </c>
      <c r="D29" s="2" t="s">
        <v>499</v>
      </c>
      <c r="E29" s="2">
        <v>1</v>
      </c>
      <c r="F29" s="2">
        <v>0.16</v>
      </c>
      <c r="G29" s="134">
        <f t="shared" ref="G29:G46" si="22">(G$26*F29)</f>
        <v>1.264</v>
      </c>
      <c r="H29" s="2">
        <v>0</v>
      </c>
      <c r="I29" s="2">
        <v>0</v>
      </c>
      <c r="J29" s="2">
        <v>0</v>
      </c>
      <c r="K29" s="134">
        <f t="shared" si="15"/>
        <v>0</v>
      </c>
      <c r="L29" s="2" t="s">
        <v>495</v>
      </c>
      <c r="N29" s="134">
        <v>8.3000000000000004E-2</v>
      </c>
      <c r="O29" s="133">
        <f t="shared" si="16"/>
        <v>1.1976900000000001</v>
      </c>
      <c r="P29" s="2" t="s">
        <v>495</v>
      </c>
      <c r="R29" s="134">
        <v>8.3000000000000004E-2</v>
      </c>
      <c r="S29" s="134">
        <f t="shared" si="17"/>
        <v>0.95865000000000011</v>
      </c>
      <c r="T29" s="2" t="s">
        <v>513</v>
      </c>
      <c r="U29" s="2">
        <v>2</v>
      </c>
      <c r="V29" s="134">
        <v>4</v>
      </c>
      <c r="W29" s="133">
        <f t="shared" si="18"/>
        <v>70.400000000000006</v>
      </c>
      <c r="X29" s="2" t="s">
        <v>513</v>
      </c>
      <c r="Y29" s="2">
        <v>2</v>
      </c>
      <c r="Z29" s="135">
        <v>4</v>
      </c>
      <c r="AA29" s="133">
        <f t="shared" si="19"/>
        <v>22</v>
      </c>
      <c r="AB29" s="2" t="s">
        <v>496</v>
      </c>
      <c r="AD29" s="134">
        <v>0.16</v>
      </c>
      <c r="AE29" s="133">
        <f t="shared" si="20"/>
        <v>1.2</v>
      </c>
      <c r="AF29" s="9">
        <f t="shared" si="21"/>
        <v>97.020340000000004</v>
      </c>
      <c r="AG29" s="2">
        <v>7</v>
      </c>
      <c r="AH29" s="2">
        <v>3</v>
      </c>
      <c r="AI29" s="2">
        <v>84</v>
      </c>
      <c r="AJ29" s="2">
        <v>1276.8</v>
      </c>
      <c r="AK29" s="2">
        <v>1</v>
      </c>
      <c r="AL29" s="2">
        <v>1</v>
      </c>
      <c r="AM29" s="2">
        <v>4</v>
      </c>
      <c r="AN29" s="149">
        <f>(AM$29*AN26)</f>
        <v>32</v>
      </c>
    </row>
    <row r="30" spans="1:40" ht="13">
      <c r="A30" s="90" t="s">
        <v>137</v>
      </c>
      <c r="B30" s="61" t="s">
        <v>138</v>
      </c>
      <c r="C30" s="91"/>
      <c r="D30" s="2">
        <v>2</v>
      </c>
      <c r="E30" s="2">
        <v>1</v>
      </c>
      <c r="F30" s="2">
        <v>8</v>
      </c>
      <c r="G30" s="134">
        <f t="shared" si="22"/>
        <v>63.2</v>
      </c>
      <c r="H30" s="2">
        <v>3</v>
      </c>
      <c r="I30" s="2">
        <v>1</v>
      </c>
      <c r="J30" s="2">
        <v>12</v>
      </c>
      <c r="K30" s="134">
        <f t="shared" si="15"/>
        <v>94.800000000000011</v>
      </c>
      <c r="L30" s="2" t="s">
        <v>515</v>
      </c>
      <c r="M30" s="2">
        <v>1</v>
      </c>
      <c r="N30" s="134">
        <v>0.5</v>
      </c>
      <c r="O30" s="133">
        <f t="shared" si="16"/>
        <v>7.2149999999999999</v>
      </c>
      <c r="P30" s="2" t="s">
        <v>515</v>
      </c>
      <c r="Q30" s="2">
        <v>1</v>
      </c>
      <c r="R30" s="134">
        <v>0.5</v>
      </c>
      <c r="S30" s="134">
        <f t="shared" si="17"/>
        <v>5.7750000000000004</v>
      </c>
      <c r="T30" s="2">
        <v>1</v>
      </c>
      <c r="U30" s="2">
        <v>1</v>
      </c>
      <c r="V30" s="134">
        <v>4</v>
      </c>
      <c r="W30" s="133">
        <f t="shared" si="18"/>
        <v>70.400000000000006</v>
      </c>
      <c r="X30" s="2">
        <v>1</v>
      </c>
      <c r="Y30" s="2">
        <v>1</v>
      </c>
      <c r="Z30" s="135">
        <v>4</v>
      </c>
      <c r="AA30" s="133">
        <f t="shared" si="19"/>
        <v>22</v>
      </c>
      <c r="AB30" s="2" t="s">
        <v>496</v>
      </c>
      <c r="AD30" s="134">
        <v>0.16</v>
      </c>
      <c r="AE30" s="133">
        <f t="shared" si="20"/>
        <v>1.2</v>
      </c>
      <c r="AF30" s="9">
        <f t="shared" si="21"/>
        <v>264.59000000000003</v>
      </c>
      <c r="AG30" s="2">
        <v>7</v>
      </c>
      <c r="AH30" s="2">
        <v>3</v>
      </c>
      <c r="AI30" s="2">
        <v>84</v>
      </c>
      <c r="AJ30" s="2">
        <v>1276.8</v>
      </c>
      <c r="AM30" s="2">
        <v>1</v>
      </c>
      <c r="AN30" s="136">
        <v>8</v>
      </c>
    </row>
    <row r="31" spans="1:40" ht="13">
      <c r="A31" s="90" t="s">
        <v>454</v>
      </c>
      <c r="B31" s="61" t="s">
        <v>177</v>
      </c>
      <c r="C31" s="91"/>
      <c r="D31" s="2">
        <v>2</v>
      </c>
      <c r="E31" s="2">
        <v>1</v>
      </c>
      <c r="F31" s="2">
        <v>8</v>
      </c>
      <c r="G31" s="134">
        <f t="shared" si="22"/>
        <v>63.2</v>
      </c>
      <c r="H31" s="2">
        <v>3</v>
      </c>
      <c r="I31" s="2">
        <v>1</v>
      </c>
      <c r="J31" s="2">
        <v>12</v>
      </c>
      <c r="K31" s="134">
        <f t="shared" si="15"/>
        <v>94.800000000000011</v>
      </c>
      <c r="L31" s="2" t="s">
        <v>515</v>
      </c>
      <c r="M31" s="2">
        <v>1</v>
      </c>
      <c r="N31" s="134">
        <v>0.5</v>
      </c>
      <c r="O31" s="133">
        <f t="shared" si="16"/>
        <v>7.2149999999999999</v>
      </c>
      <c r="P31" s="2" t="s">
        <v>515</v>
      </c>
      <c r="Q31" s="2">
        <v>1</v>
      </c>
      <c r="R31" s="134">
        <v>0.5</v>
      </c>
      <c r="S31" s="134">
        <f t="shared" si="17"/>
        <v>5.7750000000000004</v>
      </c>
      <c r="T31" s="2">
        <v>1</v>
      </c>
      <c r="U31" s="2">
        <v>1</v>
      </c>
      <c r="V31" s="134">
        <v>4</v>
      </c>
      <c r="W31" s="133">
        <f t="shared" si="18"/>
        <v>70.400000000000006</v>
      </c>
      <c r="X31" s="2">
        <v>1</v>
      </c>
      <c r="Y31" s="2">
        <v>1</v>
      </c>
      <c r="Z31" s="135">
        <v>4</v>
      </c>
      <c r="AA31" s="133">
        <f t="shared" si="19"/>
        <v>22</v>
      </c>
      <c r="AB31" s="2" t="s">
        <v>496</v>
      </c>
      <c r="AD31" s="134">
        <v>0.16</v>
      </c>
      <c r="AE31" s="133">
        <f t="shared" si="20"/>
        <v>1.2</v>
      </c>
      <c r="AF31" s="9">
        <f t="shared" si="21"/>
        <v>264.59000000000003</v>
      </c>
      <c r="AG31" s="2">
        <v>7</v>
      </c>
      <c r="AH31" s="2">
        <v>3</v>
      </c>
      <c r="AI31" s="2">
        <v>84</v>
      </c>
      <c r="AJ31" s="2">
        <v>1276.8</v>
      </c>
      <c r="AM31" s="2">
        <v>1</v>
      </c>
      <c r="AN31" s="136">
        <v>8</v>
      </c>
    </row>
    <row r="32" spans="1:40" ht="15">
      <c r="A32" s="67" t="s">
        <v>455</v>
      </c>
      <c r="B32" s="68" t="s">
        <v>348</v>
      </c>
      <c r="C32" s="92">
        <v>10</v>
      </c>
      <c r="D32" s="2">
        <v>1</v>
      </c>
      <c r="E32" s="2">
        <v>1</v>
      </c>
      <c r="F32" s="2">
        <v>4</v>
      </c>
      <c r="G32" s="134">
        <f t="shared" si="22"/>
        <v>31.6</v>
      </c>
      <c r="H32" s="2">
        <v>1</v>
      </c>
      <c r="I32" s="2">
        <v>1</v>
      </c>
      <c r="J32" s="2">
        <v>4</v>
      </c>
      <c r="K32" s="134">
        <f t="shared" si="15"/>
        <v>31.6</v>
      </c>
      <c r="L32" s="2" t="s">
        <v>502</v>
      </c>
      <c r="N32" s="134">
        <v>1</v>
      </c>
      <c r="O32" s="133">
        <f t="shared" si="16"/>
        <v>14.43</v>
      </c>
      <c r="R32" s="134">
        <v>1</v>
      </c>
      <c r="S32" s="134">
        <f t="shared" si="17"/>
        <v>11.55</v>
      </c>
      <c r="T32" s="2">
        <v>1</v>
      </c>
      <c r="U32" s="2">
        <v>1</v>
      </c>
      <c r="V32" s="134">
        <v>4</v>
      </c>
      <c r="W32" s="133">
        <f t="shared" si="18"/>
        <v>70.400000000000006</v>
      </c>
      <c r="X32" s="2">
        <v>3</v>
      </c>
      <c r="Y32" s="2">
        <v>1</v>
      </c>
      <c r="Z32" s="135">
        <v>12</v>
      </c>
      <c r="AA32" s="133">
        <f t="shared" si="19"/>
        <v>66</v>
      </c>
      <c r="AB32" s="2">
        <v>1</v>
      </c>
      <c r="AC32" s="2">
        <v>1</v>
      </c>
      <c r="AD32" s="134">
        <v>4</v>
      </c>
      <c r="AE32" s="133">
        <f t="shared" si="20"/>
        <v>30</v>
      </c>
      <c r="AF32" s="9">
        <f t="shared" si="21"/>
        <v>255.58</v>
      </c>
      <c r="AG32" s="2">
        <v>7</v>
      </c>
      <c r="AH32" s="2">
        <v>2</v>
      </c>
      <c r="AI32" s="2">
        <v>56</v>
      </c>
      <c r="AJ32" s="2">
        <v>71500</v>
      </c>
      <c r="AK32" s="2">
        <v>1</v>
      </c>
      <c r="AL32" s="2">
        <v>1</v>
      </c>
      <c r="AM32" s="2">
        <v>4</v>
      </c>
      <c r="AN32" s="136">
        <v>32</v>
      </c>
    </row>
    <row r="33" spans="1:40" ht="15">
      <c r="A33" s="67" t="s">
        <v>456</v>
      </c>
      <c r="B33" s="68" t="s">
        <v>362</v>
      </c>
      <c r="C33" s="92">
        <v>9</v>
      </c>
      <c r="D33" s="2">
        <v>1</v>
      </c>
      <c r="E33" s="2">
        <v>1</v>
      </c>
      <c r="F33" s="2">
        <v>4</v>
      </c>
      <c r="G33" s="134">
        <f t="shared" si="22"/>
        <v>31.6</v>
      </c>
      <c r="H33" s="2">
        <v>1</v>
      </c>
      <c r="I33" s="2">
        <v>1</v>
      </c>
      <c r="J33" s="2">
        <v>4</v>
      </c>
      <c r="K33" s="134">
        <f t="shared" si="15"/>
        <v>31.6</v>
      </c>
      <c r="L33" s="2" t="s">
        <v>502</v>
      </c>
      <c r="N33" s="134">
        <v>1</v>
      </c>
      <c r="O33" s="133">
        <f t="shared" si="16"/>
        <v>14.43</v>
      </c>
      <c r="R33" s="134">
        <v>1</v>
      </c>
      <c r="S33" s="134">
        <f t="shared" si="17"/>
        <v>11.55</v>
      </c>
      <c r="T33" s="2">
        <v>1</v>
      </c>
      <c r="U33" s="2">
        <v>1</v>
      </c>
      <c r="V33" s="134">
        <v>4</v>
      </c>
      <c r="W33" s="133">
        <f t="shared" si="18"/>
        <v>70.400000000000006</v>
      </c>
      <c r="X33" s="2">
        <v>3</v>
      </c>
      <c r="Y33" s="2">
        <v>1</v>
      </c>
      <c r="Z33" s="135">
        <v>12</v>
      </c>
      <c r="AA33" s="133">
        <f t="shared" si="19"/>
        <v>66</v>
      </c>
      <c r="AB33" s="2">
        <v>1</v>
      </c>
      <c r="AC33" s="2">
        <v>1</v>
      </c>
      <c r="AD33" s="134">
        <v>4</v>
      </c>
      <c r="AE33" s="133">
        <f t="shared" si="20"/>
        <v>30</v>
      </c>
      <c r="AF33" s="9">
        <f t="shared" si="21"/>
        <v>255.58</v>
      </c>
      <c r="AG33" s="2">
        <v>7</v>
      </c>
      <c r="AH33" s="2">
        <v>2</v>
      </c>
      <c r="AI33" s="2">
        <v>56</v>
      </c>
      <c r="AJ33" s="2">
        <v>71500</v>
      </c>
      <c r="AK33" s="2">
        <v>1</v>
      </c>
      <c r="AL33" s="2">
        <v>1</v>
      </c>
      <c r="AM33" s="2">
        <v>4</v>
      </c>
      <c r="AN33" s="136">
        <v>32</v>
      </c>
    </row>
    <row r="34" spans="1:40" ht="15">
      <c r="A34" s="67" t="s">
        <v>457</v>
      </c>
      <c r="B34" s="68" t="s">
        <v>458</v>
      </c>
      <c r="C34" s="73">
        <v>6</v>
      </c>
      <c r="D34" s="2" t="s">
        <v>516</v>
      </c>
      <c r="E34" s="2">
        <v>1</v>
      </c>
      <c r="F34" s="2">
        <v>2</v>
      </c>
      <c r="G34" s="134">
        <f t="shared" si="22"/>
        <v>15.8</v>
      </c>
      <c r="H34" s="2" t="s">
        <v>502</v>
      </c>
      <c r="I34" s="2">
        <v>1</v>
      </c>
      <c r="J34" s="2">
        <v>1</v>
      </c>
      <c r="K34" s="134">
        <f t="shared" si="15"/>
        <v>7.9</v>
      </c>
      <c r="L34" s="2" t="s">
        <v>515</v>
      </c>
      <c r="M34" s="2">
        <v>1</v>
      </c>
      <c r="N34" s="134">
        <v>0.16</v>
      </c>
      <c r="O34" s="133">
        <f t="shared" si="16"/>
        <v>2.3088000000000002</v>
      </c>
      <c r="P34" s="2" t="s">
        <v>515</v>
      </c>
      <c r="Q34" s="2">
        <v>1</v>
      </c>
      <c r="R34" s="134">
        <v>0.16</v>
      </c>
      <c r="S34" s="134">
        <f t="shared" si="17"/>
        <v>1.8480000000000001</v>
      </c>
      <c r="T34" s="2" t="s">
        <v>517</v>
      </c>
      <c r="U34" s="2">
        <v>1</v>
      </c>
      <c r="V34" s="134">
        <v>2</v>
      </c>
      <c r="W34" s="133">
        <f t="shared" si="18"/>
        <v>35.200000000000003</v>
      </c>
      <c r="X34" s="2">
        <v>2</v>
      </c>
      <c r="Y34" s="2">
        <v>1</v>
      </c>
      <c r="Z34" s="135">
        <v>8</v>
      </c>
      <c r="AA34" s="133">
        <f t="shared" si="19"/>
        <v>44</v>
      </c>
      <c r="AB34" s="2" t="s">
        <v>515</v>
      </c>
      <c r="AC34" s="2">
        <v>2</v>
      </c>
      <c r="AD34" s="134">
        <v>1</v>
      </c>
      <c r="AE34" s="133">
        <f t="shared" si="20"/>
        <v>7.5</v>
      </c>
      <c r="AF34" s="9">
        <f t="shared" si="21"/>
        <v>114.55680000000001</v>
      </c>
      <c r="AG34" s="2">
        <v>7</v>
      </c>
      <c r="AH34" s="2">
        <v>2</v>
      </c>
      <c r="AI34" s="2">
        <v>56</v>
      </c>
      <c r="AJ34" s="2">
        <v>71500</v>
      </c>
      <c r="AM34" s="2">
        <v>1</v>
      </c>
      <c r="AN34" s="136">
        <v>8</v>
      </c>
    </row>
    <row r="35" spans="1:40" ht="15">
      <c r="A35" s="70" t="s">
        <v>459</v>
      </c>
      <c r="B35" s="71" t="s">
        <v>268</v>
      </c>
      <c r="C35" s="93">
        <v>9</v>
      </c>
      <c r="D35" s="2">
        <v>2</v>
      </c>
      <c r="E35" s="2">
        <v>1</v>
      </c>
      <c r="F35" s="2">
        <v>8</v>
      </c>
      <c r="G35" s="134">
        <f t="shared" si="22"/>
        <v>63.2</v>
      </c>
      <c r="H35" s="2">
        <v>1</v>
      </c>
      <c r="I35" s="2">
        <v>1</v>
      </c>
      <c r="J35" s="2">
        <v>4</v>
      </c>
      <c r="K35" s="134">
        <f t="shared" si="15"/>
        <v>31.6</v>
      </c>
      <c r="L35" s="2" t="s">
        <v>502</v>
      </c>
      <c r="M35" s="2">
        <v>1</v>
      </c>
      <c r="N35" s="134">
        <v>1</v>
      </c>
      <c r="O35" s="133">
        <f t="shared" si="16"/>
        <v>14.43</v>
      </c>
      <c r="P35" s="2" t="s">
        <v>518</v>
      </c>
      <c r="Q35" s="2">
        <v>1</v>
      </c>
      <c r="R35" s="134">
        <v>2</v>
      </c>
      <c r="S35" s="134">
        <f t="shared" si="17"/>
        <v>23.1</v>
      </c>
      <c r="T35" s="2" t="s">
        <v>513</v>
      </c>
      <c r="U35" s="2">
        <v>1</v>
      </c>
      <c r="V35" s="134">
        <v>2</v>
      </c>
      <c r="W35" s="133">
        <f t="shared" si="18"/>
        <v>35.200000000000003</v>
      </c>
      <c r="X35" s="2">
        <v>3</v>
      </c>
      <c r="Y35" s="2">
        <v>1</v>
      </c>
      <c r="Z35" s="135">
        <v>12</v>
      </c>
      <c r="AA35" s="133">
        <f t="shared" si="19"/>
        <v>66</v>
      </c>
      <c r="AB35" s="2">
        <v>1</v>
      </c>
      <c r="AC35" s="2">
        <v>1</v>
      </c>
      <c r="AD35" s="134">
        <v>4</v>
      </c>
      <c r="AE35" s="133">
        <f t="shared" si="20"/>
        <v>30</v>
      </c>
      <c r="AF35" s="9">
        <f t="shared" si="21"/>
        <v>263.52999999999997</v>
      </c>
      <c r="AG35" s="2">
        <v>2</v>
      </c>
      <c r="AH35" s="2">
        <v>3</v>
      </c>
      <c r="AI35" s="2">
        <v>24</v>
      </c>
      <c r="AJ35" s="2">
        <v>364.8</v>
      </c>
      <c r="AK35" s="2">
        <v>2</v>
      </c>
      <c r="AL35" s="2">
        <v>1</v>
      </c>
      <c r="AM35" s="2">
        <v>8</v>
      </c>
      <c r="AN35" s="136">
        <v>64</v>
      </c>
    </row>
    <row r="36" spans="1:40" ht="15">
      <c r="A36" s="70" t="s">
        <v>460</v>
      </c>
      <c r="B36" s="71" t="s">
        <v>75</v>
      </c>
      <c r="C36" s="93">
        <v>8</v>
      </c>
      <c r="D36" s="2">
        <v>2</v>
      </c>
      <c r="E36" s="2">
        <v>1</v>
      </c>
      <c r="F36" s="2">
        <v>8</v>
      </c>
      <c r="G36" s="134">
        <f t="shared" si="22"/>
        <v>63.2</v>
      </c>
      <c r="H36" s="2">
        <v>1</v>
      </c>
      <c r="I36" s="2">
        <v>1</v>
      </c>
      <c r="J36" s="2">
        <v>4</v>
      </c>
      <c r="K36" s="134">
        <f t="shared" si="15"/>
        <v>31.6</v>
      </c>
      <c r="L36" s="2" t="s">
        <v>502</v>
      </c>
      <c r="M36" s="2">
        <v>1</v>
      </c>
      <c r="N36" s="134">
        <v>1</v>
      </c>
      <c r="O36" s="133">
        <f t="shared" si="16"/>
        <v>14.43</v>
      </c>
      <c r="P36" s="2" t="s">
        <v>518</v>
      </c>
      <c r="Q36" s="2">
        <v>1</v>
      </c>
      <c r="R36" s="134">
        <v>2</v>
      </c>
      <c r="S36" s="134">
        <f t="shared" si="17"/>
        <v>23.1</v>
      </c>
      <c r="T36" s="2" t="s">
        <v>513</v>
      </c>
      <c r="U36" s="2">
        <v>1</v>
      </c>
      <c r="V36" s="134">
        <v>2</v>
      </c>
      <c r="W36" s="133">
        <f t="shared" si="18"/>
        <v>35.200000000000003</v>
      </c>
      <c r="X36" s="2">
        <v>3</v>
      </c>
      <c r="Y36" s="2">
        <v>1</v>
      </c>
      <c r="Z36" s="135">
        <v>12</v>
      </c>
      <c r="AA36" s="133">
        <f t="shared" si="19"/>
        <v>66</v>
      </c>
      <c r="AB36" s="2">
        <v>1</v>
      </c>
      <c r="AC36" s="2">
        <v>1</v>
      </c>
      <c r="AD36" s="134">
        <v>4</v>
      </c>
      <c r="AE36" s="133">
        <f t="shared" si="20"/>
        <v>30</v>
      </c>
      <c r="AF36" s="9">
        <f t="shared" si="21"/>
        <v>263.52999999999997</v>
      </c>
      <c r="AG36" s="2">
        <v>2</v>
      </c>
      <c r="AH36" s="2">
        <v>3</v>
      </c>
      <c r="AI36" s="2">
        <v>24</v>
      </c>
      <c r="AJ36" s="2">
        <v>364.8</v>
      </c>
      <c r="AK36" s="2">
        <v>2</v>
      </c>
      <c r="AL36" s="2">
        <v>1</v>
      </c>
      <c r="AM36" s="2">
        <v>8</v>
      </c>
      <c r="AN36" s="136">
        <v>64</v>
      </c>
    </row>
    <row r="37" spans="1:40" ht="15">
      <c r="A37" s="67" t="s">
        <v>461</v>
      </c>
      <c r="B37" s="68" t="s">
        <v>278</v>
      </c>
      <c r="C37" s="73">
        <v>7</v>
      </c>
      <c r="D37" s="2">
        <v>2</v>
      </c>
      <c r="E37" s="2">
        <v>1</v>
      </c>
      <c r="F37" s="2">
        <v>8</v>
      </c>
      <c r="G37" s="134">
        <f t="shared" si="22"/>
        <v>63.2</v>
      </c>
      <c r="H37" s="2">
        <v>1</v>
      </c>
      <c r="I37" s="2">
        <v>1</v>
      </c>
      <c r="J37" s="2">
        <v>4</v>
      </c>
      <c r="K37" s="134">
        <f t="shared" si="15"/>
        <v>31.6</v>
      </c>
      <c r="L37" s="2" t="s">
        <v>502</v>
      </c>
      <c r="M37" s="2">
        <v>1</v>
      </c>
      <c r="N37" s="134">
        <v>1</v>
      </c>
      <c r="O37" s="133">
        <f t="shared" si="16"/>
        <v>14.43</v>
      </c>
      <c r="P37" s="2" t="s">
        <v>518</v>
      </c>
      <c r="Q37" s="2">
        <v>1</v>
      </c>
      <c r="R37" s="134">
        <v>2</v>
      </c>
      <c r="S37" s="134">
        <f t="shared" si="17"/>
        <v>23.1</v>
      </c>
      <c r="T37" s="2" t="s">
        <v>513</v>
      </c>
      <c r="U37" s="2">
        <v>1</v>
      </c>
      <c r="V37" s="134">
        <v>2</v>
      </c>
      <c r="W37" s="133">
        <f t="shared" si="18"/>
        <v>35.200000000000003</v>
      </c>
      <c r="X37" s="2">
        <v>3</v>
      </c>
      <c r="Y37" s="2">
        <v>1</v>
      </c>
      <c r="Z37" s="135">
        <v>12</v>
      </c>
      <c r="AA37" s="133">
        <f t="shared" si="19"/>
        <v>66</v>
      </c>
      <c r="AB37" s="2">
        <v>1</v>
      </c>
      <c r="AC37" s="2">
        <v>1</v>
      </c>
      <c r="AD37" s="134">
        <v>4</v>
      </c>
      <c r="AE37" s="133">
        <f t="shared" si="20"/>
        <v>30</v>
      </c>
      <c r="AF37" s="9">
        <f t="shared" si="21"/>
        <v>263.52999999999997</v>
      </c>
      <c r="AG37" s="2">
        <v>2</v>
      </c>
      <c r="AH37" s="2">
        <v>3</v>
      </c>
      <c r="AI37" s="2">
        <v>24</v>
      </c>
      <c r="AJ37" s="2">
        <v>364.8</v>
      </c>
      <c r="AM37" s="2">
        <v>8</v>
      </c>
      <c r="AN37" s="136">
        <v>64</v>
      </c>
    </row>
    <row r="38" spans="1:40" ht="15">
      <c r="A38" s="101" t="s">
        <v>472</v>
      </c>
      <c r="B38" s="95" t="s">
        <v>420</v>
      </c>
      <c r="C38" s="102">
        <v>5</v>
      </c>
      <c r="D38" s="2">
        <v>7</v>
      </c>
      <c r="E38" s="2">
        <v>1</v>
      </c>
      <c r="F38" s="2">
        <v>28</v>
      </c>
      <c r="G38" s="134">
        <f t="shared" si="22"/>
        <v>221.20000000000002</v>
      </c>
      <c r="H38" s="2">
        <v>1</v>
      </c>
      <c r="I38" s="2">
        <v>1</v>
      </c>
      <c r="J38" s="2">
        <v>4</v>
      </c>
      <c r="K38" s="134">
        <f t="shared" si="15"/>
        <v>31.6</v>
      </c>
      <c r="L38" s="2" t="s">
        <v>495</v>
      </c>
      <c r="M38" s="2">
        <v>1</v>
      </c>
      <c r="N38" s="134">
        <v>8.3000000000000004E-2</v>
      </c>
      <c r="O38" s="133">
        <f t="shared" si="16"/>
        <v>1.1976900000000001</v>
      </c>
      <c r="P38" s="2" t="s">
        <v>515</v>
      </c>
      <c r="Q38" s="2">
        <v>1</v>
      </c>
      <c r="R38" s="134">
        <v>0.5</v>
      </c>
      <c r="S38" s="134">
        <f t="shared" si="17"/>
        <v>5.7750000000000004</v>
      </c>
      <c r="T38" s="2">
        <v>1</v>
      </c>
      <c r="U38" s="2">
        <v>1</v>
      </c>
      <c r="V38" s="134">
        <v>4</v>
      </c>
      <c r="W38" s="133">
        <f t="shared" si="18"/>
        <v>70.400000000000006</v>
      </c>
      <c r="X38" s="2">
        <v>7</v>
      </c>
      <c r="Y38" s="2">
        <v>1</v>
      </c>
      <c r="Z38" s="135">
        <v>28</v>
      </c>
      <c r="AA38" s="133">
        <f t="shared" si="19"/>
        <v>154</v>
      </c>
      <c r="AB38" s="2" t="s">
        <v>502</v>
      </c>
      <c r="AC38" s="2">
        <v>1</v>
      </c>
      <c r="AD38" s="134">
        <v>1</v>
      </c>
      <c r="AE38" s="133">
        <f t="shared" si="20"/>
        <v>7.5</v>
      </c>
      <c r="AF38" s="9">
        <f t="shared" si="21"/>
        <v>491.67268999999999</v>
      </c>
      <c r="AG38" s="2">
        <v>2</v>
      </c>
      <c r="AH38" s="2">
        <v>1</v>
      </c>
      <c r="AI38" s="2">
        <v>8</v>
      </c>
      <c r="AJ38" s="2">
        <v>121.6</v>
      </c>
      <c r="AM38" s="2">
        <v>1</v>
      </c>
      <c r="AN38" s="136">
        <v>8</v>
      </c>
    </row>
    <row r="39" spans="1:40" ht="15">
      <c r="A39" s="94" t="s">
        <v>462</v>
      </c>
      <c r="B39" s="95" t="s">
        <v>330</v>
      </c>
      <c r="C39" s="96">
        <v>11</v>
      </c>
      <c r="D39" s="2">
        <v>2</v>
      </c>
      <c r="E39" s="2">
        <v>1</v>
      </c>
      <c r="F39" s="2">
        <v>8</v>
      </c>
      <c r="G39" s="134">
        <f t="shared" si="22"/>
        <v>63.2</v>
      </c>
      <c r="H39" s="2">
        <v>1</v>
      </c>
      <c r="I39" s="2">
        <v>1</v>
      </c>
      <c r="J39" s="2">
        <v>4</v>
      </c>
      <c r="K39" s="134">
        <f t="shared" si="15"/>
        <v>31.6</v>
      </c>
      <c r="L39" s="2">
        <v>0</v>
      </c>
      <c r="M39" s="2">
        <v>0</v>
      </c>
      <c r="N39" s="134">
        <v>0</v>
      </c>
      <c r="O39" s="133">
        <f t="shared" si="16"/>
        <v>0</v>
      </c>
      <c r="P39" s="2">
        <v>2</v>
      </c>
      <c r="Q39" s="2">
        <v>1</v>
      </c>
      <c r="R39" s="134">
        <v>8</v>
      </c>
      <c r="S39" s="134">
        <f t="shared" si="17"/>
        <v>92.4</v>
      </c>
      <c r="T39" s="2">
        <v>2</v>
      </c>
      <c r="U39" s="2">
        <v>1</v>
      </c>
      <c r="V39" s="134">
        <v>8</v>
      </c>
      <c r="W39" s="133">
        <f t="shared" si="18"/>
        <v>140.80000000000001</v>
      </c>
      <c r="X39" s="2">
        <v>2</v>
      </c>
      <c r="Y39" s="2">
        <v>2</v>
      </c>
      <c r="Z39" s="135">
        <v>16</v>
      </c>
      <c r="AA39" s="133">
        <f t="shared" si="19"/>
        <v>88</v>
      </c>
      <c r="AB39" s="2">
        <v>2</v>
      </c>
      <c r="AC39" s="2">
        <v>1</v>
      </c>
      <c r="AD39" s="134">
        <v>8</v>
      </c>
      <c r="AE39" s="133">
        <f t="shared" si="20"/>
        <v>60</v>
      </c>
      <c r="AF39" s="9">
        <f t="shared" si="21"/>
        <v>476.00000000000006</v>
      </c>
      <c r="AG39" s="2">
        <v>2</v>
      </c>
      <c r="AH39" s="2">
        <v>1</v>
      </c>
      <c r="AI39" s="2">
        <v>8</v>
      </c>
      <c r="AJ39" s="2">
        <v>121.6</v>
      </c>
      <c r="AK39" s="2">
        <v>1</v>
      </c>
      <c r="AL39" s="2">
        <v>1</v>
      </c>
      <c r="AM39" s="2">
        <v>4</v>
      </c>
      <c r="AN39" s="136">
        <v>32</v>
      </c>
    </row>
    <row r="40" spans="1:40" ht="15">
      <c r="A40" s="67" t="s">
        <v>463</v>
      </c>
      <c r="B40" s="68" t="s">
        <v>339</v>
      </c>
      <c r="C40" s="69">
        <v>9</v>
      </c>
      <c r="D40" s="2">
        <v>2</v>
      </c>
      <c r="E40" s="2">
        <v>1</v>
      </c>
      <c r="F40" s="2">
        <v>8</v>
      </c>
      <c r="G40" s="134">
        <f t="shared" si="22"/>
        <v>63.2</v>
      </c>
      <c r="H40" s="2">
        <v>1</v>
      </c>
      <c r="I40" s="2">
        <v>1</v>
      </c>
      <c r="J40" s="2">
        <v>4</v>
      </c>
      <c r="K40" s="134">
        <f t="shared" si="15"/>
        <v>31.6</v>
      </c>
      <c r="L40" s="2">
        <v>0</v>
      </c>
      <c r="M40" s="2">
        <v>0</v>
      </c>
      <c r="N40" s="134">
        <v>0</v>
      </c>
      <c r="O40" s="133">
        <f t="shared" si="16"/>
        <v>0</v>
      </c>
      <c r="P40" s="2">
        <v>2</v>
      </c>
      <c r="Q40" s="2">
        <v>1</v>
      </c>
      <c r="R40" s="134">
        <v>8</v>
      </c>
      <c r="S40" s="134">
        <f t="shared" si="17"/>
        <v>92.4</v>
      </c>
      <c r="T40" s="2">
        <v>2</v>
      </c>
      <c r="U40" s="2">
        <v>1</v>
      </c>
      <c r="V40" s="134">
        <v>8</v>
      </c>
      <c r="W40" s="133">
        <f t="shared" si="18"/>
        <v>140.80000000000001</v>
      </c>
      <c r="X40" s="2">
        <v>2</v>
      </c>
      <c r="Y40" s="2">
        <v>2</v>
      </c>
      <c r="Z40" s="135">
        <v>16</v>
      </c>
      <c r="AA40" s="133">
        <f t="shared" si="19"/>
        <v>88</v>
      </c>
      <c r="AB40" s="2">
        <v>2</v>
      </c>
      <c r="AC40" s="2">
        <v>1</v>
      </c>
      <c r="AD40" s="134">
        <v>8</v>
      </c>
      <c r="AE40" s="133">
        <f t="shared" si="20"/>
        <v>60</v>
      </c>
      <c r="AF40" s="9">
        <f t="shared" si="21"/>
        <v>476.00000000000006</v>
      </c>
      <c r="AG40" s="2">
        <v>2</v>
      </c>
      <c r="AH40" s="2">
        <v>1</v>
      </c>
      <c r="AI40" s="2">
        <v>8</v>
      </c>
      <c r="AJ40" s="2">
        <v>121.6</v>
      </c>
      <c r="AK40" s="2">
        <v>1</v>
      </c>
      <c r="AL40" s="2">
        <v>1</v>
      </c>
      <c r="AM40" s="2">
        <v>4</v>
      </c>
      <c r="AN40" s="136">
        <v>32</v>
      </c>
    </row>
    <row r="41" spans="1:40" ht="15">
      <c r="A41" s="67" t="s">
        <v>464</v>
      </c>
      <c r="B41" s="68" t="s">
        <v>104</v>
      </c>
      <c r="C41" s="69">
        <v>7</v>
      </c>
      <c r="D41" s="2">
        <v>2</v>
      </c>
      <c r="E41" s="2">
        <v>1</v>
      </c>
      <c r="F41" s="2">
        <v>8</v>
      </c>
      <c r="G41" s="134">
        <f t="shared" si="22"/>
        <v>63.2</v>
      </c>
      <c r="H41" s="2">
        <v>1</v>
      </c>
      <c r="I41" s="2">
        <v>1</v>
      </c>
      <c r="J41" s="2">
        <v>4</v>
      </c>
      <c r="K41" s="134">
        <f t="shared" si="15"/>
        <v>31.6</v>
      </c>
      <c r="L41" s="2">
        <v>0</v>
      </c>
      <c r="M41" s="2">
        <v>0</v>
      </c>
      <c r="N41" s="134">
        <v>0</v>
      </c>
      <c r="O41" s="133">
        <f t="shared" si="16"/>
        <v>0</v>
      </c>
      <c r="P41" s="2">
        <v>2</v>
      </c>
      <c r="Q41" s="2">
        <v>1</v>
      </c>
      <c r="R41" s="134">
        <v>8</v>
      </c>
      <c r="S41" s="134">
        <f t="shared" si="17"/>
        <v>92.4</v>
      </c>
      <c r="T41" s="2">
        <v>2</v>
      </c>
      <c r="U41" s="2">
        <v>1</v>
      </c>
      <c r="V41" s="134">
        <v>8</v>
      </c>
      <c r="W41" s="133">
        <f t="shared" si="18"/>
        <v>140.80000000000001</v>
      </c>
      <c r="X41" s="2">
        <v>2</v>
      </c>
      <c r="Y41" s="2">
        <v>2</v>
      </c>
      <c r="Z41" s="135">
        <v>16</v>
      </c>
      <c r="AA41" s="133">
        <f t="shared" si="19"/>
        <v>88</v>
      </c>
      <c r="AB41" s="2">
        <v>2</v>
      </c>
      <c r="AC41" s="2">
        <v>1</v>
      </c>
      <c r="AD41" s="134">
        <v>8</v>
      </c>
      <c r="AE41" s="133">
        <f t="shared" si="20"/>
        <v>60</v>
      </c>
      <c r="AF41" s="9">
        <f t="shared" si="21"/>
        <v>476.00000000000006</v>
      </c>
      <c r="AG41" s="2">
        <v>2</v>
      </c>
      <c r="AH41" s="2">
        <v>1</v>
      </c>
      <c r="AI41" s="2">
        <v>8</v>
      </c>
      <c r="AJ41" s="2">
        <v>121.6</v>
      </c>
      <c r="AK41" s="2">
        <v>1</v>
      </c>
      <c r="AL41" s="2">
        <v>1</v>
      </c>
      <c r="AM41" s="2">
        <v>4</v>
      </c>
      <c r="AN41" s="136">
        <v>32</v>
      </c>
    </row>
    <row r="42" spans="1:40" ht="15">
      <c r="A42" s="70" t="s">
        <v>465</v>
      </c>
      <c r="B42" s="71" t="s">
        <v>96</v>
      </c>
      <c r="C42" s="72">
        <v>10</v>
      </c>
      <c r="D42" s="2">
        <v>1</v>
      </c>
      <c r="E42" s="2">
        <v>1</v>
      </c>
      <c r="F42" s="2">
        <v>4</v>
      </c>
      <c r="G42" s="134">
        <f t="shared" si="22"/>
        <v>31.6</v>
      </c>
      <c r="H42" s="2">
        <v>1</v>
      </c>
      <c r="I42" s="2">
        <v>1</v>
      </c>
      <c r="J42" s="2">
        <v>4</v>
      </c>
      <c r="K42" s="134">
        <f t="shared" si="15"/>
        <v>31.6</v>
      </c>
      <c r="L42" s="2" t="s">
        <v>496</v>
      </c>
      <c r="M42" s="2">
        <v>1</v>
      </c>
      <c r="N42" s="134">
        <v>0.5</v>
      </c>
      <c r="O42" s="133">
        <f t="shared" si="16"/>
        <v>7.2149999999999999</v>
      </c>
      <c r="P42" s="2" t="s">
        <v>515</v>
      </c>
      <c r="Q42" s="2">
        <v>1</v>
      </c>
      <c r="R42" s="134">
        <v>0.5</v>
      </c>
      <c r="S42" s="134">
        <f t="shared" si="17"/>
        <v>5.7750000000000004</v>
      </c>
      <c r="T42" s="2" t="s">
        <v>517</v>
      </c>
      <c r="U42" s="2">
        <v>1</v>
      </c>
      <c r="V42" s="134">
        <v>2</v>
      </c>
      <c r="W42" s="133">
        <f t="shared" si="18"/>
        <v>35.200000000000003</v>
      </c>
      <c r="X42" s="2">
        <v>2</v>
      </c>
      <c r="Y42" s="2">
        <v>2</v>
      </c>
      <c r="Z42" s="135">
        <v>16</v>
      </c>
      <c r="AA42" s="133">
        <f t="shared" si="19"/>
        <v>88</v>
      </c>
      <c r="AB42" s="2" t="s">
        <v>502</v>
      </c>
      <c r="AC42" s="2">
        <v>1</v>
      </c>
      <c r="AD42" s="134">
        <v>1</v>
      </c>
      <c r="AE42" s="133">
        <f t="shared" si="20"/>
        <v>7.5</v>
      </c>
      <c r="AF42" s="9">
        <f t="shared" si="21"/>
        <v>206.89</v>
      </c>
      <c r="AG42" s="2">
        <v>2</v>
      </c>
      <c r="AH42" s="2">
        <v>1</v>
      </c>
      <c r="AI42" s="2">
        <v>8</v>
      </c>
      <c r="AJ42" s="2">
        <v>121.6</v>
      </c>
      <c r="AM42" s="2">
        <v>1</v>
      </c>
      <c r="AN42" s="136">
        <v>8</v>
      </c>
    </row>
    <row r="43" spans="1:40" ht="15">
      <c r="A43" s="70" t="s">
        <v>466</v>
      </c>
      <c r="B43" s="71" t="s">
        <v>317</v>
      </c>
      <c r="C43" s="72">
        <v>8</v>
      </c>
      <c r="D43" s="2">
        <v>1</v>
      </c>
      <c r="E43" s="2">
        <v>1</v>
      </c>
      <c r="F43" s="2">
        <v>4</v>
      </c>
      <c r="G43" s="134">
        <f t="shared" si="22"/>
        <v>31.6</v>
      </c>
      <c r="H43" s="2">
        <v>1</v>
      </c>
      <c r="I43" s="2">
        <v>1</v>
      </c>
      <c r="J43" s="2">
        <v>4</v>
      </c>
      <c r="K43" s="134">
        <f t="shared" si="15"/>
        <v>31.6</v>
      </c>
      <c r="L43" s="2" t="s">
        <v>496</v>
      </c>
      <c r="M43" s="2">
        <v>1</v>
      </c>
      <c r="N43" s="134">
        <v>0.5</v>
      </c>
      <c r="O43" s="133">
        <f t="shared" si="16"/>
        <v>7.2149999999999999</v>
      </c>
      <c r="P43" s="2" t="s">
        <v>515</v>
      </c>
      <c r="Q43" s="2">
        <v>1</v>
      </c>
      <c r="R43" s="134">
        <v>0.5</v>
      </c>
      <c r="S43" s="134">
        <f t="shared" si="17"/>
        <v>5.7750000000000004</v>
      </c>
      <c r="T43" s="2" t="s">
        <v>517</v>
      </c>
      <c r="U43" s="2">
        <v>1</v>
      </c>
      <c r="V43" s="134">
        <v>2</v>
      </c>
      <c r="W43" s="133">
        <f t="shared" si="18"/>
        <v>35.200000000000003</v>
      </c>
      <c r="X43" s="2">
        <v>2</v>
      </c>
      <c r="Y43" s="2">
        <v>2</v>
      </c>
      <c r="Z43" s="135">
        <v>16</v>
      </c>
      <c r="AA43" s="133">
        <f t="shared" si="19"/>
        <v>88</v>
      </c>
      <c r="AB43" s="2" t="s">
        <v>502</v>
      </c>
      <c r="AC43" s="2">
        <v>1</v>
      </c>
      <c r="AD43" s="134">
        <v>1</v>
      </c>
      <c r="AE43" s="133">
        <f t="shared" si="20"/>
        <v>7.5</v>
      </c>
      <c r="AF43" s="9">
        <f t="shared" si="21"/>
        <v>206.89</v>
      </c>
      <c r="AG43" s="2">
        <v>2</v>
      </c>
      <c r="AH43" s="2">
        <v>1</v>
      </c>
      <c r="AI43" s="2">
        <v>8</v>
      </c>
      <c r="AJ43" s="2">
        <v>121.6</v>
      </c>
      <c r="AM43" s="2">
        <v>1</v>
      </c>
      <c r="AN43" s="136">
        <v>8</v>
      </c>
    </row>
    <row r="44" spans="1:40" ht="15">
      <c r="A44" s="97" t="s">
        <v>467</v>
      </c>
      <c r="B44" s="98" t="s">
        <v>116</v>
      </c>
      <c r="C44" s="99">
        <v>10</v>
      </c>
      <c r="D44" s="2">
        <v>0</v>
      </c>
      <c r="E44" s="2">
        <v>0</v>
      </c>
      <c r="F44" s="2">
        <v>0</v>
      </c>
      <c r="G44" s="134">
        <f t="shared" si="22"/>
        <v>0</v>
      </c>
      <c r="H44" s="2" t="s">
        <v>502</v>
      </c>
      <c r="I44" s="2">
        <v>1</v>
      </c>
      <c r="J44" s="2">
        <v>1</v>
      </c>
      <c r="K44" s="134">
        <f t="shared" si="15"/>
        <v>7.9</v>
      </c>
      <c r="L44" s="2">
        <v>0</v>
      </c>
      <c r="M44" s="2">
        <v>0</v>
      </c>
      <c r="N44" s="134">
        <v>0</v>
      </c>
      <c r="O44" s="133">
        <f t="shared" si="16"/>
        <v>0</v>
      </c>
      <c r="P44" s="2" t="s">
        <v>516</v>
      </c>
      <c r="Q44" s="2">
        <v>1</v>
      </c>
      <c r="R44" s="134">
        <v>2</v>
      </c>
      <c r="S44" s="134">
        <f t="shared" si="17"/>
        <v>23.1</v>
      </c>
      <c r="T44" s="2">
        <v>1</v>
      </c>
      <c r="U44" s="2">
        <v>1</v>
      </c>
      <c r="V44" s="134">
        <v>4</v>
      </c>
      <c r="W44" s="133">
        <f t="shared" si="18"/>
        <v>70.400000000000006</v>
      </c>
      <c r="X44" s="2">
        <v>7</v>
      </c>
      <c r="Y44" s="2">
        <v>2</v>
      </c>
      <c r="Z44" s="135">
        <v>56</v>
      </c>
      <c r="AA44" s="133">
        <f t="shared" si="19"/>
        <v>308</v>
      </c>
      <c r="AB44" s="2">
        <v>0</v>
      </c>
      <c r="AC44" s="2">
        <v>0</v>
      </c>
      <c r="AD44" s="134">
        <v>0</v>
      </c>
      <c r="AE44" s="133">
        <f t="shared" si="20"/>
        <v>0</v>
      </c>
      <c r="AF44" s="9">
        <f t="shared" si="21"/>
        <v>409.4</v>
      </c>
      <c r="AG44" s="2">
        <v>7</v>
      </c>
      <c r="AH44" s="2">
        <v>2</v>
      </c>
      <c r="AI44" s="2">
        <v>56</v>
      </c>
      <c r="AJ44" s="2">
        <v>71500</v>
      </c>
      <c r="AK44" s="2">
        <v>0</v>
      </c>
      <c r="AL44" s="2">
        <v>0</v>
      </c>
      <c r="AM44" s="2">
        <v>0</v>
      </c>
      <c r="AN44" s="136">
        <v>0</v>
      </c>
    </row>
    <row r="45" spans="1:40" ht="15">
      <c r="A45" s="55" t="s">
        <v>468</v>
      </c>
      <c r="B45" s="55" t="s">
        <v>290</v>
      </c>
      <c r="D45" s="2">
        <v>3</v>
      </c>
      <c r="E45" s="2">
        <v>1</v>
      </c>
      <c r="F45" s="2">
        <v>12</v>
      </c>
      <c r="G45" s="134">
        <f t="shared" si="22"/>
        <v>94.800000000000011</v>
      </c>
      <c r="H45" s="2">
        <v>1</v>
      </c>
      <c r="I45" s="2">
        <v>1</v>
      </c>
      <c r="J45" s="2">
        <v>4</v>
      </c>
      <c r="K45" s="134">
        <f t="shared" si="15"/>
        <v>31.6</v>
      </c>
      <c r="L45" s="2">
        <v>1</v>
      </c>
      <c r="M45" s="2">
        <v>1</v>
      </c>
      <c r="N45" s="134">
        <v>4</v>
      </c>
      <c r="O45" s="133">
        <f t="shared" si="16"/>
        <v>57.72</v>
      </c>
      <c r="P45" s="2">
        <v>1</v>
      </c>
      <c r="Q45" s="2">
        <v>1</v>
      </c>
      <c r="R45" s="134">
        <v>4</v>
      </c>
      <c r="S45" s="134">
        <f t="shared" si="17"/>
        <v>46.2</v>
      </c>
      <c r="T45" s="2">
        <v>1</v>
      </c>
      <c r="U45" s="2">
        <v>1</v>
      </c>
      <c r="V45" s="134">
        <v>4</v>
      </c>
      <c r="W45" s="133">
        <f t="shared" si="18"/>
        <v>70.400000000000006</v>
      </c>
      <c r="X45" s="2">
        <v>1</v>
      </c>
      <c r="Y45" s="2">
        <v>1</v>
      </c>
      <c r="Z45" s="135">
        <v>4</v>
      </c>
      <c r="AA45" s="133">
        <f t="shared" si="19"/>
        <v>22</v>
      </c>
      <c r="AB45" s="2" t="s">
        <v>516</v>
      </c>
      <c r="AC45" s="2">
        <v>1</v>
      </c>
      <c r="AD45" s="134">
        <v>2</v>
      </c>
      <c r="AE45" s="133">
        <f t="shared" si="20"/>
        <v>15</v>
      </c>
      <c r="AF45" s="9">
        <f t="shared" si="21"/>
        <v>337.72</v>
      </c>
      <c r="AG45" s="2">
        <v>2</v>
      </c>
      <c r="AH45" s="2">
        <v>1</v>
      </c>
      <c r="AI45" s="2">
        <v>8</v>
      </c>
      <c r="AJ45" s="2">
        <v>121.6</v>
      </c>
      <c r="AK45" s="2">
        <v>1</v>
      </c>
      <c r="AL45" s="2">
        <v>1</v>
      </c>
      <c r="AM45" s="2">
        <v>4</v>
      </c>
      <c r="AN45" s="136">
        <v>32</v>
      </c>
    </row>
    <row r="46" spans="1:40" ht="15">
      <c r="A46" s="55" t="s">
        <v>469</v>
      </c>
      <c r="B46" s="55" t="s">
        <v>303</v>
      </c>
      <c r="D46" s="2">
        <v>3</v>
      </c>
      <c r="E46" s="2">
        <v>1</v>
      </c>
      <c r="F46" s="2">
        <v>12</v>
      </c>
      <c r="G46" s="134">
        <f t="shared" si="22"/>
        <v>94.800000000000011</v>
      </c>
      <c r="H46" s="2">
        <v>1</v>
      </c>
      <c r="I46" s="2">
        <v>1</v>
      </c>
      <c r="J46" s="2">
        <v>4</v>
      </c>
      <c r="K46" s="134">
        <f t="shared" si="15"/>
        <v>31.6</v>
      </c>
      <c r="L46" s="2">
        <v>1</v>
      </c>
      <c r="M46" s="2">
        <v>1</v>
      </c>
      <c r="N46" s="134">
        <v>4</v>
      </c>
      <c r="O46" s="133">
        <f t="shared" si="16"/>
        <v>57.72</v>
      </c>
      <c r="P46" s="2">
        <v>1</v>
      </c>
      <c r="Q46" s="2">
        <v>1</v>
      </c>
      <c r="R46" s="134">
        <v>4</v>
      </c>
      <c r="S46" s="134">
        <f t="shared" si="17"/>
        <v>46.2</v>
      </c>
      <c r="T46" s="2">
        <v>1</v>
      </c>
      <c r="U46" s="2">
        <v>1</v>
      </c>
      <c r="V46" s="134">
        <v>4</v>
      </c>
      <c r="W46" s="133">
        <f t="shared" si="18"/>
        <v>70.400000000000006</v>
      </c>
      <c r="X46" s="2">
        <v>1</v>
      </c>
      <c r="Y46" s="2">
        <v>1</v>
      </c>
      <c r="Z46" s="135">
        <v>4</v>
      </c>
      <c r="AA46" s="133">
        <f t="shared" si="19"/>
        <v>22</v>
      </c>
      <c r="AB46" s="2" t="s">
        <v>516</v>
      </c>
      <c r="AC46" s="2">
        <v>1</v>
      </c>
      <c r="AD46" s="134">
        <v>2</v>
      </c>
      <c r="AE46" s="133">
        <f t="shared" si="20"/>
        <v>15</v>
      </c>
      <c r="AF46" s="9">
        <f t="shared" si="21"/>
        <v>337.72</v>
      </c>
      <c r="AG46" s="2">
        <v>2</v>
      </c>
      <c r="AH46" s="2">
        <v>1</v>
      </c>
      <c r="AI46" s="2">
        <v>8</v>
      </c>
      <c r="AJ46" s="2">
        <v>121.6</v>
      </c>
      <c r="AK46" s="2">
        <v>1</v>
      </c>
      <c r="AL46" s="2">
        <v>1</v>
      </c>
      <c r="AM46" s="2">
        <v>4</v>
      </c>
      <c r="AN46" s="136">
        <v>32</v>
      </c>
    </row>
    <row r="47" spans="1:40" ht="13">
      <c r="C47" s="2"/>
      <c r="G47" s="133"/>
      <c r="K47" s="133"/>
      <c r="N47" s="133">
        <f t="shared" ref="N47:O47" si="23">AVERAGE(N28:N46)</f>
        <v>0.81100000000000005</v>
      </c>
      <c r="O47" s="133">
        <f t="shared" si="23"/>
        <v>11.702729999999999</v>
      </c>
      <c r="R47" s="133">
        <f t="shared" ref="R47:S47" si="24">AVERAGE(R28:R46)</f>
        <v>2.3592631578947367</v>
      </c>
      <c r="S47" s="134">
        <f t="shared" si="24"/>
        <v>27.249489473684207</v>
      </c>
      <c r="V47" s="133">
        <f t="shared" ref="V47:W47" si="25">AVERAGE(V28:V46)</f>
        <v>4</v>
      </c>
      <c r="W47" s="133">
        <f t="shared" si="25"/>
        <v>70.40000000000002</v>
      </c>
      <c r="Z47" s="148">
        <f t="shared" ref="Z47:AA47" si="26">AVERAGE(Z28:Z46)</f>
        <v>13.473684210526315</v>
      </c>
      <c r="AA47" s="133">
        <f t="shared" si="26"/>
        <v>74.10526315789474</v>
      </c>
      <c r="AD47" s="133">
        <f t="shared" ref="AD47:AE47" si="27">AVERAGE(AD28:AD46)</f>
        <v>2.7705263157894735</v>
      </c>
      <c r="AE47" s="133">
        <f t="shared" si="27"/>
        <v>20.778947368421054</v>
      </c>
      <c r="AF47" s="32"/>
      <c r="AN47" s="152"/>
    </row>
    <row r="48" spans="1:40" ht="13">
      <c r="A48" s="9" t="s">
        <v>519</v>
      </c>
      <c r="B48" s="32"/>
      <c r="G48" s="133"/>
      <c r="K48" s="133"/>
      <c r="N48" s="133"/>
      <c r="O48" s="133"/>
      <c r="R48" s="133"/>
      <c r="S48" s="133"/>
      <c r="V48" s="133"/>
      <c r="W48" s="133"/>
      <c r="Z48" s="148"/>
      <c r="AA48" s="133"/>
      <c r="AD48" s="133"/>
      <c r="AE48" s="133"/>
      <c r="AF48" s="32">
        <f>AVERAGE(AF28:AF46)</f>
        <v>292.51685105263164</v>
      </c>
      <c r="AN48" s="152"/>
    </row>
    <row r="49" spans="1:40" ht="15">
      <c r="A49" s="153" t="s">
        <v>520</v>
      </c>
      <c r="B49" s="153" t="s">
        <v>521</v>
      </c>
      <c r="G49" s="133"/>
      <c r="H49">
        <f>SUM(G35,K35,O35,S35,W35,AA35,AE35)</f>
        <v>263.53000000000003</v>
      </c>
      <c r="I49">
        <f>H49/30</f>
        <v>8.7843333333333344</v>
      </c>
      <c r="K49" s="133"/>
      <c r="N49" s="133"/>
      <c r="O49" s="133"/>
      <c r="R49" s="133"/>
      <c r="S49" s="133"/>
      <c r="V49" s="133"/>
      <c r="W49" s="133"/>
      <c r="Z49" s="148"/>
      <c r="AA49" s="133"/>
      <c r="AD49" s="133"/>
      <c r="AE49" s="133"/>
      <c r="AF49" s="32"/>
      <c r="AN49" s="152"/>
    </row>
    <row r="50" spans="1:40" ht="15">
      <c r="A50" s="153" t="s">
        <v>403</v>
      </c>
      <c r="B50" s="153" t="s">
        <v>404</v>
      </c>
      <c r="G50" s="133"/>
      <c r="K50" s="133"/>
      <c r="N50" s="133"/>
      <c r="O50" s="133"/>
      <c r="R50" s="133"/>
      <c r="S50" s="133"/>
      <c r="V50" s="133"/>
      <c r="W50" s="133"/>
      <c r="Z50" s="148"/>
      <c r="AA50" s="133"/>
      <c r="AD50" s="133"/>
      <c r="AE50" s="133"/>
      <c r="AF50" s="32"/>
      <c r="AN50" s="152"/>
    </row>
    <row r="51" spans="1:40" ht="15">
      <c r="A51" s="153" t="s">
        <v>522</v>
      </c>
      <c r="B51" s="153" t="s">
        <v>85</v>
      </c>
      <c r="G51" s="133"/>
      <c r="K51" s="133"/>
      <c r="N51" s="133"/>
      <c r="O51" s="133"/>
      <c r="R51" s="133"/>
      <c r="S51" s="133"/>
      <c r="V51" s="133"/>
      <c r="W51" s="133"/>
      <c r="Z51" s="148"/>
      <c r="AA51" s="133"/>
      <c r="AD51" s="133"/>
      <c r="AE51" s="133"/>
      <c r="AF51" s="32"/>
      <c r="AN51" s="152"/>
    </row>
    <row r="52" spans="1:40" ht="15">
      <c r="A52" s="154" t="s">
        <v>199</v>
      </c>
      <c r="B52" s="155" t="s">
        <v>200</v>
      </c>
      <c r="C52" s="92"/>
      <c r="G52" s="133"/>
      <c r="K52" s="133"/>
      <c r="N52" s="133"/>
      <c r="O52" s="133"/>
      <c r="R52" s="133"/>
      <c r="S52" s="133"/>
      <c r="V52" s="133"/>
      <c r="W52" s="133"/>
      <c r="Z52" s="148"/>
      <c r="AA52" s="133"/>
      <c r="AD52" s="133"/>
      <c r="AE52" s="133"/>
      <c r="AF52" s="32"/>
      <c r="AN52" s="152"/>
    </row>
    <row r="53" spans="1:40" ht="15">
      <c r="A53" s="154" t="s">
        <v>523</v>
      </c>
      <c r="B53" s="155" t="s">
        <v>524</v>
      </c>
      <c r="C53" s="92"/>
      <c r="G53" s="133"/>
      <c r="K53" s="133"/>
      <c r="N53" s="133"/>
      <c r="O53" s="133"/>
      <c r="R53" s="133"/>
      <c r="S53" s="133"/>
      <c r="V53" s="133"/>
      <c r="W53" s="133"/>
      <c r="Z53" s="148"/>
      <c r="AA53" s="133"/>
      <c r="AD53" s="133"/>
      <c r="AE53" s="133"/>
      <c r="AF53" s="32"/>
      <c r="AN53" s="152"/>
    </row>
    <row r="54" spans="1:40" ht="13">
      <c r="G54" s="133"/>
      <c r="K54" s="133"/>
      <c r="N54" s="133"/>
      <c r="O54" s="133"/>
      <c r="R54" s="133"/>
      <c r="S54" s="133"/>
      <c r="V54" s="133"/>
      <c r="W54" s="133"/>
      <c r="Z54" s="148"/>
      <c r="AA54" s="133"/>
      <c r="AD54" s="133"/>
      <c r="AE54" s="133"/>
      <c r="AF54" s="32"/>
      <c r="AN54" s="152"/>
    </row>
    <row r="55" spans="1:40" ht="13">
      <c r="A55" s="156" t="s">
        <v>429</v>
      </c>
      <c r="B55" s="156">
        <v>304.11649749999992</v>
      </c>
      <c r="D55" s="157"/>
      <c r="E55" s="157"/>
      <c r="F55" s="157"/>
      <c r="G55" s="158"/>
      <c r="H55" s="157"/>
      <c r="I55" s="157"/>
      <c r="J55" s="157"/>
      <c r="K55" s="158"/>
      <c r="AF55" s="32"/>
      <c r="AN55" s="152"/>
    </row>
    <row r="56" spans="1:40" ht="13">
      <c r="A56" s="156" t="s">
        <v>525</v>
      </c>
      <c r="B56" s="159">
        <v>292.51685105263164</v>
      </c>
      <c r="D56" s="157"/>
      <c r="E56" s="157"/>
      <c r="F56" s="157"/>
      <c r="G56" s="158"/>
      <c r="H56" s="157"/>
      <c r="I56" s="157"/>
      <c r="J56" s="157"/>
      <c r="K56" s="158"/>
      <c r="AF56" s="32"/>
      <c r="AN56" s="152"/>
    </row>
    <row r="57" spans="1:40" s="319" customFormat="1" ht="18.75" customHeight="1"/>
    <row r="58" spans="1:40" s="319" customFormat="1" ht="13"/>
    <row r="59" spans="1:40" s="319" customFormat="1" ht="13"/>
    <row r="60" spans="1:40" s="319" customFormat="1" ht="13"/>
    <row r="61" spans="1:40" s="319" customFormat="1" ht="13"/>
    <row r="62" spans="1:40" s="319" customFormat="1" ht="13"/>
    <row r="63" spans="1:40" s="319" customFormat="1" ht="13"/>
    <row r="64" spans="1:40" s="319" customFormat="1" ht="13"/>
    <row r="65" s="319" customFormat="1" ht="13"/>
    <row r="66" s="319" customFormat="1" ht="13"/>
    <row r="67" s="319" customFormat="1" ht="13"/>
    <row r="68" s="319" customFormat="1" ht="13"/>
    <row r="69" s="319" customFormat="1" ht="13"/>
    <row r="70" s="319" customFormat="1" ht="13"/>
    <row r="71" s="319" customFormat="1" ht="13"/>
    <row r="72" s="319" customFormat="1" ht="13"/>
    <row r="73" s="319" customFormat="1" ht="13"/>
    <row r="74" s="319" customFormat="1" ht="13"/>
    <row r="75" s="319" customFormat="1" ht="13"/>
    <row r="76" s="319" customFormat="1" ht="13"/>
    <row r="77" s="319" customFormat="1" ht="13"/>
    <row r="78" s="319" customFormat="1" ht="13"/>
    <row r="79" s="319" customFormat="1" ht="13"/>
    <row r="80" s="319" customFormat="1" ht="13"/>
    <row r="81" s="319" customFormat="1" ht="13"/>
    <row r="82" s="319" customFormat="1" ht="13"/>
    <row r="83" s="319" customFormat="1" ht="13"/>
    <row r="84" s="319" customFormat="1" ht="13"/>
    <row r="85" s="319" customFormat="1" ht="13"/>
    <row r="86" s="319" customFormat="1" ht="13"/>
    <row r="87" s="319" customFormat="1" ht="13"/>
    <row r="88" s="319" customFormat="1" ht="13"/>
    <row r="89" s="319" customFormat="1" ht="13"/>
    <row r="90" s="319" customFormat="1" ht="13"/>
    <row r="91" s="319" customFormat="1" ht="13"/>
    <row r="92" s="319" customFormat="1" ht="13"/>
    <row r="93" s="319" customFormat="1" ht="13"/>
    <row r="94" s="319" customFormat="1" ht="13"/>
    <row r="95" s="319" customFormat="1" ht="13"/>
    <row r="96" s="319" customFormat="1" ht="13"/>
    <row r="97" s="319" customFormat="1" ht="13"/>
    <row r="98" s="319" customFormat="1" ht="13"/>
    <row r="99" s="319" customFormat="1" ht="13"/>
    <row r="100" s="319" customFormat="1" ht="13"/>
    <row r="101" s="319" customFormat="1" ht="13"/>
    <row r="102" s="319" customFormat="1" ht="13"/>
    <row r="103" s="319" customFormat="1" ht="13"/>
    <row r="104" s="319" customFormat="1" ht="13"/>
    <row r="105" s="319" customFormat="1" ht="13"/>
    <row r="106" s="319" customFormat="1" ht="13"/>
    <row r="107" s="319" customFormat="1" ht="13"/>
    <row r="108" s="319" customFormat="1" ht="13"/>
    <row r="109" s="319" customFormat="1" ht="13"/>
    <row r="110" s="319" customFormat="1" ht="13"/>
    <row r="111" s="319" customFormat="1" ht="13"/>
    <row r="112" s="319" customFormat="1" ht="13"/>
    <row r="113" s="319" customFormat="1" ht="13"/>
    <row r="114" s="319" customFormat="1" ht="13"/>
    <row r="115" s="319" customFormat="1" ht="13"/>
    <row r="116" s="319" customFormat="1" ht="13"/>
    <row r="117" s="319" customFormat="1" ht="13"/>
    <row r="118" s="319" customFormat="1" ht="13"/>
    <row r="119" s="319" customFormat="1" ht="13"/>
    <row r="120" s="319" customFormat="1" ht="13"/>
    <row r="121" s="319" customFormat="1" ht="13"/>
    <row r="122" s="319" customFormat="1" ht="13"/>
    <row r="123" s="319" customFormat="1" ht="13"/>
    <row r="124" s="319" customFormat="1" ht="13"/>
    <row r="125" s="319" customFormat="1" ht="13"/>
    <row r="126" s="319" customFormat="1" ht="13"/>
    <row r="127" s="319" customFormat="1" ht="13"/>
    <row r="128" s="319" customFormat="1" ht="13"/>
    <row r="129" s="319" customFormat="1" ht="13"/>
    <row r="130" s="319" customFormat="1" ht="13"/>
    <row r="131" s="319" customFormat="1" ht="13"/>
    <row r="132" s="319" customFormat="1" ht="13"/>
    <row r="133" s="319" customFormat="1" ht="13"/>
    <row r="134" s="319" customFormat="1" ht="13"/>
    <row r="135" s="319" customFormat="1" ht="13"/>
    <row r="136" s="319" customFormat="1" ht="13"/>
    <row r="137" s="319" customFormat="1" ht="13"/>
    <row r="138" s="319" customFormat="1" ht="13"/>
    <row r="139" s="319" customFormat="1" ht="13"/>
    <row r="140" s="319" customFormat="1" ht="13"/>
    <row r="141" s="319" customFormat="1" ht="13"/>
    <row r="142" s="319" customFormat="1" ht="13"/>
    <row r="143" s="319" customFormat="1" ht="13"/>
    <row r="144" s="319" customFormat="1" ht="13"/>
    <row r="145" s="319" customFormat="1" ht="13"/>
    <row r="146" s="319" customFormat="1" ht="13"/>
    <row r="147" s="319" customFormat="1" ht="13"/>
    <row r="148" s="319" customFormat="1" ht="13"/>
    <row r="149" s="319" customFormat="1" ht="13"/>
    <row r="150" s="319" customFormat="1" ht="13"/>
    <row r="151" s="319" customFormat="1" ht="13"/>
    <row r="152" s="319" customFormat="1" ht="13"/>
    <row r="153" s="319" customFormat="1" ht="13"/>
    <row r="154" s="319" customFormat="1" ht="13"/>
    <row r="155" s="319" customFormat="1" ht="13"/>
    <row r="156" s="319" customFormat="1" ht="13"/>
    <row r="157" s="319" customFormat="1" ht="13"/>
    <row r="158" s="319" customFormat="1" ht="13"/>
    <row r="159" s="319" customFormat="1" ht="13"/>
    <row r="160" s="319" customFormat="1" ht="13"/>
    <row r="161" s="319" customFormat="1" ht="13"/>
    <row r="162" s="319" customFormat="1" ht="13"/>
    <row r="163" s="319" customFormat="1" ht="13"/>
    <row r="164" s="319" customFormat="1" ht="13"/>
    <row r="165" s="319" customFormat="1" ht="13"/>
    <row r="166" s="319" customFormat="1" ht="13"/>
    <row r="167" s="319" customFormat="1" ht="13"/>
    <row r="168" s="319" customFormat="1" ht="13"/>
    <row r="169" s="319" customFormat="1" ht="13"/>
    <row r="170" s="319" customFormat="1" ht="13"/>
    <row r="171" s="319" customFormat="1" ht="13"/>
    <row r="172" s="319" customFormat="1" ht="13"/>
    <row r="173" s="319" customFormat="1" ht="13"/>
    <row r="174" s="319" customFormat="1" ht="13"/>
    <row r="175" s="319" customFormat="1" ht="13"/>
    <row r="176" s="319" customFormat="1" ht="13"/>
    <row r="177" s="319" customFormat="1" ht="13"/>
    <row r="178" s="319" customFormat="1" ht="13"/>
    <row r="179" s="319" customFormat="1" ht="13"/>
    <row r="180" s="319" customFormat="1" ht="13"/>
    <row r="181" s="319" customFormat="1" ht="13"/>
    <row r="182" s="319" customFormat="1" ht="13"/>
    <row r="183" s="319" customFormat="1" ht="13"/>
    <row r="184" s="319" customFormat="1" ht="13"/>
    <row r="185" s="319" customFormat="1" ht="13"/>
    <row r="186" s="319" customFormat="1" ht="13"/>
    <row r="187" s="319" customFormat="1" ht="13"/>
    <row r="188" s="319" customFormat="1" ht="13"/>
    <row r="189" s="319" customFormat="1" ht="13"/>
    <row r="190" s="319" customFormat="1" ht="13"/>
    <row r="191" s="319" customFormat="1" ht="13"/>
    <row r="192" s="319" customFormat="1" ht="13"/>
    <row r="193" s="319" customFormat="1" ht="13"/>
    <row r="194" s="319" customFormat="1" ht="13"/>
    <row r="195" s="319" customFormat="1" ht="13"/>
    <row r="196" s="319" customFormat="1" ht="13"/>
    <row r="197" s="319" customFormat="1" ht="13"/>
    <row r="198" s="319" customFormat="1" ht="13"/>
    <row r="199" s="319" customFormat="1" ht="13"/>
    <row r="200" s="319" customFormat="1" ht="13"/>
    <row r="201" s="319" customFormat="1" ht="13"/>
    <row r="202" s="319" customFormat="1" ht="13"/>
    <row r="203" s="319" customFormat="1" ht="13"/>
    <row r="204" s="319" customFormat="1" ht="13"/>
    <row r="205" s="319" customFormat="1" ht="13"/>
    <row r="206" s="319" customFormat="1" ht="13"/>
    <row r="207" s="319" customFormat="1" ht="13"/>
    <row r="208" s="319" customFormat="1" ht="13"/>
    <row r="209" s="319" customFormat="1" ht="13"/>
    <row r="210" s="319" customFormat="1" ht="13"/>
    <row r="211" s="319" customFormat="1" ht="13"/>
    <row r="212" s="319" customFormat="1" ht="13"/>
    <row r="213" s="319" customFormat="1" ht="13"/>
    <row r="214" s="319" customFormat="1" ht="13"/>
    <row r="215" s="319" customFormat="1" ht="13"/>
    <row r="216" s="319" customFormat="1" ht="13"/>
    <row r="217" s="319" customFormat="1" ht="13"/>
    <row r="218" s="319" customFormat="1" ht="13"/>
    <row r="219" s="319" customFormat="1" ht="13"/>
    <row r="220" s="319" customFormat="1" ht="13"/>
    <row r="221" s="319" customFormat="1" ht="13"/>
    <row r="222" s="319" customFormat="1" ht="13"/>
    <row r="223" s="319" customFormat="1" ht="13"/>
    <row r="224" s="319" customFormat="1" ht="13"/>
    <row r="225" spans="7:40" s="319" customFormat="1" ht="13"/>
    <row r="226" spans="7:40" s="319" customFormat="1" ht="13"/>
    <row r="227" spans="7:40" s="319" customFormat="1" ht="13"/>
    <row r="228" spans="7:40" s="319" customFormat="1" ht="13"/>
    <row r="229" spans="7:40" s="319" customFormat="1" ht="13"/>
    <row r="230" spans="7:40" s="319" customFormat="1" ht="13"/>
    <row r="231" spans="7:40" s="319" customFormat="1" ht="13"/>
    <row r="232" spans="7:40" s="319" customFormat="1" ht="13"/>
    <row r="233" spans="7:40" s="319" customFormat="1" ht="13"/>
    <row r="234" spans="7:40" s="319" customFormat="1" ht="13"/>
    <row r="235" spans="7:40" s="319" customFormat="1" ht="13"/>
    <row r="236" spans="7:40" s="319" customFormat="1" ht="13"/>
    <row r="237" spans="7:40" s="319" customFormat="1" ht="13"/>
    <row r="238" spans="7:40" s="319" customFormat="1" ht="13"/>
    <row r="239" spans="7:40" s="319" customFormat="1" ht="13"/>
    <row r="240" spans="7:40" ht="13">
      <c r="G240" s="133"/>
      <c r="K240" s="133"/>
      <c r="N240" s="133"/>
      <c r="O240" s="133"/>
      <c r="R240" s="133"/>
      <c r="S240" s="133"/>
      <c r="V240" s="133"/>
      <c r="W240" s="133"/>
      <c r="Z240" s="148"/>
      <c r="AA240" s="133"/>
      <c r="AD240" s="133"/>
      <c r="AE240" s="133"/>
      <c r="AF240" s="32"/>
      <c r="AN240" s="152"/>
    </row>
    <row r="241" spans="7:40" ht="13">
      <c r="G241" s="133"/>
      <c r="K241" s="133"/>
      <c r="N241" s="133"/>
      <c r="O241" s="133"/>
      <c r="R241" s="133"/>
      <c r="S241" s="133"/>
      <c r="V241" s="133"/>
      <c r="W241" s="133"/>
      <c r="Z241" s="148"/>
      <c r="AA241" s="133"/>
      <c r="AD241" s="133"/>
      <c r="AE241" s="133"/>
      <c r="AF241" s="32"/>
      <c r="AN241" s="152"/>
    </row>
    <row r="242" spans="7:40" ht="13">
      <c r="G242" s="133"/>
      <c r="K242" s="133"/>
      <c r="N242" s="133"/>
      <c r="O242" s="133"/>
      <c r="R242" s="133"/>
      <c r="S242" s="133"/>
      <c r="V242" s="133"/>
      <c r="W242" s="133"/>
      <c r="Z242" s="148"/>
      <c r="AA242" s="133"/>
      <c r="AD242" s="133"/>
      <c r="AE242" s="133"/>
      <c r="AF242" s="32"/>
      <c r="AN242" s="152"/>
    </row>
    <row r="243" spans="7:40" ht="13">
      <c r="G243" s="133"/>
      <c r="K243" s="133"/>
      <c r="N243" s="133"/>
      <c r="O243" s="133"/>
      <c r="R243" s="133"/>
      <c r="S243" s="133"/>
      <c r="V243" s="133"/>
      <c r="W243" s="133"/>
      <c r="Z243" s="148"/>
      <c r="AA243" s="133"/>
      <c r="AD243" s="133"/>
      <c r="AE243" s="133"/>
      <c r="AF243" s="32"/>
      <c r="AN243" s="152"/>
    </row>
    <row r="244" spans="7:40" ht="13">
      <c r="G244" s="133"/>
      <c r="K244" s="133"/>
      <c r="N244" s="133"/>
      <c r="O244" s="133"/>
      <c r="R244" s="133"/>
      <c r="S244" s="133"/>
      <c r="V244" s="133"/>
      <c r="W244" s="133"/>
      <c r="Z244" s="148"/>
      <c r="AA244" s="133"/>
      <c r="AD244" s="133"/>
      <c r="AE244" s="133"/>
      <c r="AF244" s="32"/>
      <c r="AN244" s="152"/>
    </row>
    <row r="245" spans="7:40" ht="13">
      <c r="G245" s="133"/>
      <c r="K245" s="133"/>
      <c r="N245" s="133"/>
      <c r="O245" s="133"/>
      <c r="R245" s="133"/>
      <c r="S245" s="133"/>
      <c r="V245" s="133"/>
      <c r="W245" s="133"/>
      <c r="Z245" s="148"/>
      <c r="AA245" s="133"/>
      <c r="AD245" s="133"/>
      <c r="AE245" s="133"/>
      <c r="AF245" s="32"/>
      <c r="AN245" s="152"/>
    </row>
    <row r="246" spans="7:40" ht="13">
      <c r="G246" s="133"/>
      <c r="K246" s="133"/>
      <c r="N246" s="133"/>
      <c r="O246" s="133"/>
      <c r="R246" s="133"/>
      <c r="S246" s="133"/>
      <c r="V246" s="133"/>
      <c r="W246" s="133"/>
      <c r="Z246" s="148"/>
      <c r="AA246" s="133"/>
      <c r="AD246" s="133"/>
      <c r="AE246" s="133"/>
      <c r="AF246" s="32"/>
      <c r="AN246" s="152"/>
    </row>
    <row r="247" spans="7:40" ht="13">
      <c r="G247" s="133"/>
      <c r="K247" s="133"/>
      <c r="N247" s="133"/>
      <c r="O247" s="133"/>
      <c r="R247" s="133"/>
      <c r="S247" s="133"/>
      <c r="V247" s="133"/>
      <c r="W247" s="133"/>
      <c r="Z247" s="148"/>
      <c r="AA247" s="133"/>
      <c r="AD247" s="133"/>
      <c r="AE247" s="133"/>
      <c r="AF247" s="32"/>
      <c r="AN247" s="152"/>
    </row>
    <row r="248" spans="7:40" ht="13">
      <c r="G248" s="133"/>
      <c r="K248" s="133"/>
      <c r="N248" s="133"/>
      <c r="O248" s="133"/>
      <c r="R248" s="133"/>
      <c r="S248" s="133"/>
      <c r="V248" s="133"/>
      <c r="W248" s="133"/>
      <c r="Z248" s="148"/>
      <c r="AA248" s="133"/>
      <c r="AD248" s="133"/>
      <c r="AE248" s="133"/>
      <c r="AF248" s="32"/>
      <c r="AN248" s="152"/>
    </row>
    <row r="249" spans="7:40" ht="13">
      <c r="G249" s="133"/>
      <c r="K249" s="133"/>
      <c r="N249" s="133"/>
      <c r="O249" s="133"/>
      <c r="R249" s="133"/>
      <c r="S249" s="133"/>
      <c r="V249" s="133"/>
      <c r="W249" s="133"/>
      <c r="Z249" s="148"/>
      <c r="AA249" s="133"/>
      <c r="AD249" s="133"/>
      <c r="AE249" s="133"/>
      <c r="AF249" s="32"/>
      <c r="AN249" s="152"/>
    </row>
    <row r="250" spans="7:40" ht="13">
      <c r="G250" s="133"/>
      <c r="K250" s="133"/>
      <c r="N250" s="133"/>
      <c r="O250" s="133"/>
      <c r="R250" s="133"/>
      <c r="S250" s="133"/>
      <c r="V250" s="133"/>
      <c r="W250" s="133"/>
      <c r="Z250" s="148"/>
      <c r="AA250" s="133"/>
      <c r="AD250" s="133"/>
      <c r="AE250" s="133"/>
      <c r="AF250" s="32"/>
      <c r="AN250" s="152"/>
    </row>
    <row r="251" spans="7:40" ht="13">
      <c r="G251" s="133"/>
      <c r="K251" s="133"/>
      <c r="N251" s="133"/>
      <c r="O251" s="133"/>
      <c r="R251" s="133"/>
      <c r="S251" s="133"/>
      <c r="V251" s="133"/>
      <c r="W251" s="133"/>
      <c r="Z251" s="148"/>
      <c r="AA251" s="133"/>
      <c r="AD251" s="133"/>
      <c r="AE251" s="133"/>
      <c r="AF251" s="32"/>
      <c r="AN251" s="152"/>
    </row>
    <row r="252" spans="7:40" ht="13">
      <c r="G252" s="133"/>
      <c r="K252" s="133"/>
      <c r="N252" s="133"/>
      <c r="O252" s="133"/>
      <c r="R252" s="133"/>
      <c r="S252" s="133"/>
      <c r="V252" s="133"/>
      <c r="W252" s="133"/>
      <c r="Z252" s="148"/>
      <c r="AA252" s="133"/>
      <c r="AD252" s="133"/>
      <c r="AE252" s="133"/>
      <c r="AF252" s="32"/>
      <c r="AN252" s="152"/>
    </row>
    <row r="253" spans="7:40" ht="13">
      <c r="G253" s="133"/>
      <c r="K253" s="133"/>
      <c r="N253" s="133"/>
      <c r="O253" s="133"/>
      <c r="R253" s="133"/>
      <c r="S253" s="133"/>
      <c r="V253" s="133"/>
      <c r="W253" s="133"/>
      <c r="Z253" s="148"/>
      <c r="AA253" s="133"/>
      <c r="AD253" s="133"/>
      <c r="AE253" s="133"/>
      <c r="AF253" s="32"/>
      <c r="AN253" s="152"/>
    </row>
    <row r="254" spans="7:40" ht="13">
      <c r="G254" s="133"/>
      <c r="K254" s="133"/>
      <c r="N254" s="133"/>
      <c r="O254" s="133"/>
      <c r="R254" s="133"/>
      <c r="S254" s="133"/>
      <c r="V254" s="133"/>
      <c r="W254" s="133"/>
      <c r="Z254" s="148"/>
      <c r="AA254" s="133"/>
      <c r="AD254" s="133"/>
      <c r="AE254" s="133"/>
      <c r="AF254" s="32"/>
      <c r="AN254" s="152"/>
    </row>
    <row r="255" spans="7:40" ht="13">
      <c r="G255" s="133"/>
      <c r="K255" s="133"/>
      <c r="N255" s="133"/>
      <c r="O255" s="133"/>
      <c r="R255" s="133"/>
      <c r="S255" s="133"/>
      <c r="V255" s="133"/>
      <c r="W255" s="133"/>
      <c r="Z255" s="148"/>
      <c r="AA255" s="133"/>
      <c r="AD255" s="133"/>
      <c r="AE255" s="133"/>
      <c r="AF255" s="32"/>
      <c r="AN255" s="152"/>
    </row>
    <row r="256" spans="7:40" ht="13">
      <c r="G256" s="133"/>
      <c r="K256" s="133"/>
      <c r="N256" s="133"/>
      <c r="O256" s="133"/>
      <c r="R256" s="133"/>
      <c r="S256" s="133"/>
      <c r="V256" s="133"/>
      <c r="W256" s="133"/>
      <c r="Z256" s="148"/>
      <c r="AA256" s="133"/>
      <c r="AD256" s="133"/>
      <c r="AE256" s="133"/>
      <c r="AF256" s="32"/>
      <c r="AN256" s="152"/>
    </row>
    <row r="257" spans="7:40" ht="13">
      <c r="G257" s="133"/>
      <c r="K257" s="133"/>
      <c r="N257" s="133"/>
      <c r="O257" s="133"/>
      <c r="R257" s="133"/>
      <c r="S257" s="133"/>
      <c r="V257" s="133"/>
      <c r="W257" s="133"/>
      <c r="Z257" s="148"/>
      <c r="AA257" s="133"/>
      <c r="AD257" s="133"/>
      <c r="AE257" s="133"/>
      <c r="AF257" s="32"/>
      <c r="AN257" s="152"/>
    </row>
    <row r="258" spans="7:40" ht="13">
      <c r="G258" s="133"/>
      <c r="K258" s="133"/>
      <c r="N258" s="133"/>
      <c r="O258" s="133"/>
      <c r="R258" s="133"/>
      <c r="S258" s="133"/>
      <c r="V258" s="133"/>
      <c r="W258" s="133"/>
      <c r="Z258" s="148"/>
      <c r="AA258" s="133"/>
      <c r="AD258" s="133"/>
      <c r="AE258" s="133"/>
      <c r="AF258" s="32"/>
      <c r="AN258" s="152"/>
    </row>
    <row r="259" spans="7:40" ht="13">
      <c r="G259" s="133"/>
      <c r="K259" s="133"/>
      <c r="N259" s="133"/>
      <c r="O259" s="133"/>
      <c r="R259" s="133"/>
      <c r="S259" s="133"/>
      <c r="V259" s="133"/>
      <c r="W259" s="133"/>
      <c r="Z259" s="148"/>
      <c r="AA259" s="133"/>
      <c r="AD259" s="133"/>
      <c r="AE259" s="133"/>
      <c r="AF259" s="32"/>
      <c r="AN259" s="152"/>
    </row>
    <row r="260" spans="7:40" ht="13">
      <c r="G260" s="133"/>
      <c r="K260" s="133"/>
      <c r="N260" s="133"/>
      <c r="O260" s="133"/>
      <c r="R260" s="133"/>
      <c r="S260" s="133"/>
      <c r="V260" s="133"/>
      <c r="W260" s="133"/>
      <c r="Z260" s="148"/>
      <c r="AA260" s="133"/>
      <c r="AD260" s="133"/>
      <c r="AE260" s="133"/>
      <c r="AF260" s="32"/>
      <c r="AN260" s="152"/>
    </row>
    <row r="261" spans="7:40" ht="13">
      <c r="G261" s="133"/>
      <c r="K261" s="133"/>
      <c r="N261" s="133"/>
      <c r="O261" s="133"/>
      <c r="R261" s="133"/>
      <c r="S261" s="133"/>
      <c r="V261" s="133"/>
      <c r="W261" s="133"/>
      <c r="Z261" s="148"/>
      <c r="AA261" s="133"/>
      <c r="AD261" s="133"/>
      <c r="AE261" s="133"/>
      <c r="AF261" s="32"/>
      <c r="AN261" s="152"/>
    </row>
    <row r="262" spans="7:40" ht="13">
      <c r="G262" s="133"/>
      <c r="K262" s="133"/>
      <c r="N262" s="133"/>
      <c r="O262" s="133"/>
      <c r="R262" s="133"/>
      <c r="S262" s="133"/>
      <c r="V262" s="133"/>
      <c r="W262" s="133"/>
      <c r="Z262" s="148"/>
      <c r="AA262" s="133"/>
      <c r="AD262" s="133"/>
      <c r="AE262" s="133"/>
      <c r="AF262" s="32"/>
      <c r="AN262" s="152"/>
    </row>
    <row r="263" spans="7:40" ht="13">
      <c r="G263" s="133"/>
      <c r="K263" s="133"/>
      <c r="N263" s="133"/>
      <c r="O263" s="133"/>
      <c r="R263" s="133"/>
      <c r="S263" s="133"/>
      <c r="V263" s="133"/>
      <c r="W263" s="133"/>
      <c r="Z263" s="148"/>
      <c r="AA263" s="133"/>
      <c r="AD263" s="133"/>
      <c r="AE263" s="133"/>
      <c r="AF263" s="32"/>
      <c r="AN263" s="152"/>
    </row>
    <row r="264" spans="7:40" ht="13">
      <c r="G264" s="133"/>
      <c r="K264" s="133"/>
      <c r="N264" s="133"/>
      <c r="O264" s="133"/>
      <c r="R264" s="133"/>
      <c r="S264" s="133"/>
      <c r="V264" s="133"/>
      <c r="W264" s="133"/>
      <c r="Z264" s="148"/>
      <c r="AA264" s="133"/>
      <c r="AD264" s="133"/>
      <c r="AE264" s="133"/>
      <c r="AF264" s="32"/>
      <c r="AN264" s="152"/>
    </row>
    <row r="265" spans="7:40" ht="13">
      <c r="G265" s="133"/>
      <c r="K265" s="133"/>
      <c r="N265" s="133"/>
      <c r="O265" s="133"/>
      <c r="R265" s="133"/>
      <c r="S265" s="133"/>
      <c r="V265" s="133"/>
      <c r="W265" s="133"/>
      <c r="Z265" s="148"/>
      <c r="AA265" s="133"/>
      <c r="AD265" s="133"/>
      <c r="AE265" s="133"/>
      <c r="AF265" s="32"/>
      <c r="AN265" s="152"/>
    </row>
    <row r="266" spans="7:40" ht="13">
      <c r="G266" s="133"/>
      <c r="K266" s="133"/>
      <c r="N266" s="133"/>
      <c r="O266" s="133"/>
      <c r="R266" s="133"/>
      <c r="S266" s="133"/>
      <c r="V266" s="133"/>
      <c r="W266" s="133"/>
      <c r="Z266" s="148"/>
      <c r="AA266" s="133"/>
      <c r="AD266" s="133"/>
      <c r="AE266" s="133"/>
      <c r="AF266" s="32"/>
      <c r="AN266" s="152"/>
    </row>
    <row r="267" spans="7:40" ht="13">
      <c r="G267" s="133"/>
      <c r="K267" s="133"/>
      <c r="N267" s="133"/>
      <c r="O267" s="133"/>
      <c r="R267" s="133"/>
      <c r="S267" s="133"/>
      <c r="V267" s="133"/>
      <c r="W267" s="133"/>
      <c r="Z267" s="148"/>
      <c r="AA267" s="133"/>
      <c r="AD267" s="133"/>
      <c r="AE267" s="133"/>
      <c r="AF267" s="32"/>
      <c r="AN267" s="152"/>
    </row>
    <row r="268" spans="7:40" ht="13">
      <c r="G268" s="133"/>
      <c r="K268" s="133"/>
      <c r="N268" s="133"/>
      <c r="O268" s="133"/>
      <c r="R268" s="133"/>
      <c r="S268" s="133"/>
      <c r="V268" s="133"/>
      <c r="W268" s="133"/>
      <c r="Z268" s="148"/>
      <c r="AA268" s="133"/>
      <c r="AD268" s="133"/>
      <c r="AE268" s="133"/>
      <c r="AF268" s="32"/>
      <c r="AN268" s="152"/>
    </row>
    <row r="269" spans="7:40" ht="13">
      <c r="G269" s="133"/>
      <c r="K269" s="133"/>
      <c r="N269" s="133"/>
      <c r="O269" s="133"/>
      <c r="R269" s="133"/>
      <c r="S269" s="133"/>
      <c r="V269" s="133"/>
      <c r="W269" s="133"/>
      <c r="Z269" s="148"/>
      <c r="AA269" s="133"/>
      <c r="AD269" s="133"/>
      <c r="AE269" s="133"/>
      <c r="AF269" s="32"/>
      <c r="AN269" s="152"/>
    </row>
    <row r="270" spans="7:40" ht="13">
      <c r="G270" s="133"/>
      <c r="K270" s="133"/>
      <c r="N270" s="133"/>
      <c r="O270" s="133"/>
      <c r="R270" s="133"/>
      <c r="S270" s="133"/>
      <c r="V270" s="133"/>
      <c r="W270" s="133"/>
      <c r="Z270" s="148"/>
      <c r="AA270" s="133"/>
      <c r="AD270" s="133"/>
      <c r="AE270" s="133"/>
      <c r="AF270" s="32"/>
      <c r="AN270" s="152"/>
    </row>
    <row r="271" spans="7:40" ht="13">
      <c r="G271" s="133"/>
      <c r="K271" s="133"/>
      <c r="N271" s="133"/>
      <c r="O271" s="133"/>
      <c r="R271" s="133"/>
      <c r="S271" s="133"/>
      <c r="V271" s="133"/>
      <c r="W271" s="133"/>
      <c r="Z271" s="148"/>
      <c r="AA271" s="133"/>
      <c r="AD271" s="133"/>
      <c r="AE271" s="133"/>
      <c r="AF271" s="32"/>
      <c r="AN271" s="152"/>
    </row>
    <row r="272" spans="7:40" ht="13">
      <c r="G272" s="133"/>
      <c r="K272" s="133"/>
      <c r="N272" s="133"/>
      <c r="O272" s="133"/>
      <c r="R272" s="133"/>
      <c r="S272" s="133"/>
      <c r="V272" s="133"/>
      <c r="W272" s="133"/>
      <c r="Z272" s="148"/>
      <c r="AA272" s="133"/>
      <c r="AD272" s="133"/>
      <c r="AE272" s="133"/>
      <c r="AF272" s="32"/>
      <c r="AN272" s="152"/>
    </row>
    <row r="273" spans="7:40" ht="13">
      <c r="G273" s="133"/>
      <c r="K273" s="133"/>
      <c r="N273" s="133"/>
      <c r="O273" s="133"/>
      <c r="R273" s="133"/>
      <c r="S273" s="133"/>
      <c r="V273" s="133"/>
      <c r="W273" s="133"/>
      <c r="Z273" s="148"/>
      <c r="AA273" s="133"/>
      <c r="AD273" s="133"/>
      <c r="AE273" s="133"/>
      <c r="AF273" s="32"/>
      <c r="AN273" s="152"/>
    </row>
    <row r="274" spans="7:40" ht="13">
      <c r="G274" s="133"/>
      <c r="K274" s="133"/>
      <c r="N274" s="133"/>
      <c r="O274" s="133"/>
      <c r="R274" s="133"/>
      <c r="S274" s="133"/>
      <c r="V274" s="133"/>
      <c r="W274" s="133"/>
      <c r="Z274" s="148"/>
      <c r="AA274" s="133"/>
      <c r="AD274" s="133"/>
      <c r="AE274" s="133"/>
      <c r="AF274" s="32"/>
      <c r="AN274" s="152"/>
    </row>
    <row r="275" spans="7:40" ht="13">
      <c r="G275" s="133"/>
      <c r="K275" s="133"/>
      <c r="N275" s="133"/>
      <c r="O275" s="133"/>
      <c r="R275" s="133"/>
      <c r="S275" s="133"/>
      <c r="V275" s="133"/>
      <c r="W275" s="133"/>
      <c r="Z275" s="148"/>
      <c r="AA275" s="133"/>
      <c r="AD275" s="133"/>
      <c r="AE275" s="133"/>
      <c r="AF275" s="32"/>
      <c r="AN275" s="152"/>
    </row>
    <row r="276" spans="7:40" ht="13">
      <c r="G276" s="133"/>
      <c r="K276" s="133"/>
      <c r="N276" s="133"/>
      <c r="O276" s="133"/>
      <c r="R276" s="133"/>
      <c r="S276" s="133"/>
      <c r="V276" s="133"/>
      <c r="W276" s="133"/>
      <c r="Z276" s="148"/>
      <c r="AA276" s="133"/>
      <c r="AD276" s="133"/>
      <c r="AE276" s="133"/>
      <c r="AF276" s="32"/>
      <c r="AN276" s="152"/>
    </row>
    <row r="277" spans="7:40" ht="13">
      <c r="G277" s="133"/>
      <c r="K277" s="133"/>
      <c r="N277" s="133"/>
      <c r="O277" s="133"/>
      <c r="R277" s="133"/>
      <c r="S277" s="133"/>
      <c r="V277" s="133"/>
      <c r="W277" s="133"/>
      <c r="Z277" s="148"/>
      <c r="AA277" s="133"/>
      <c r="AD277" s="133"/>
      <c r="AE277" s="133"/>
      <c r="AF277" s="32"/>
      <c r="AN277" s="152"/>
    </row>
    <row r="278" spans="7:40" ht="13">
      <c r="G278" s="133"/>
      <c r="K278" s="133"/>
      <c r="N278" s="133"/>
      <c r="O278" s="133"/>
      <c r="R278" s="133"/>
      <c r="S278" s="133"/>
      <c r="V278" s="133"/>
      <c r="W278" s="133"/>
      <c r="Z278" s="148"/>
      <c r="AA278" s="133"/>
      <c r="AD278" s="133"/>
      <c r="AE278" s="133"/>
      <c r="AF278" s="32"/>
      <c r="AN278" s="152"/>
    </row>
    <row r="279" spans="7:40" ht="13">
      <c r="G279" s="133"/>
      <c r="K279" s="133"/>
      <c r="N279" s="133"/>
      <c r="O279" s="133"/>
      <c r="R279" s="133"/>
      <c r="S279" s="133"/>
      <c r="V279" s="133"/>
      <c r="W279" s="133"/>
      <c r="Z279" s="148"/>
      <c r="AA279" s="133"/>
      <c r="AD279" s="133"/>
      <c r="AE279" s="133"/>
      <c r="AF279" s="32"/>
      <c r="AN279" s="152"/>
    </row>
    <row r="280" spans="7:40" ht="13">
      <c r="G280" s="133"/>
      <c r="K280" s="133"/>
      <c r="N280" s="133"/>
      <c r="O280" s="133"/>
      <c r="R280" s="133"/>
      <c r="S280" s="133"/>
      <c r="V280" s="133"/>
      <c r="W280" s="133"/>
      <c r="Z280" s="148"/>
      <c r="AA280" s="133"/>
      <c r="AD280" s="133"/>
      <c r="AE280" s="133"/>
      <c r="AF280" s="32"/>
      <c r="AN280" s="152"/>
    </row>
    <row r="281" spans="7:40" ht="13">
      <c r="G281" s="133"/>
      <c r="K281" s="133"/>
      <c r="N281" s="133"/>
      <c r="O281" s="133"/>
      <c r="R281" s="133"/>
      <c r="S281" s="133"/>
      <c r="V281" s="133"/>
      <c r="W281" s="133"/>
      <c r="Z281" s="148"/>
      <c r="AA281" s="133"/>
      <c r="AD281" s="133"/>
      <c r="AE281" s="133"/>
      <c r="AF281" s="32"/>
      <c r="AN281" s="152"/>
    </row>
    <row r="282" spans="7:40" ht="13">
      <c r="G282" s="133"/>
      <c r="K282" s="133"/>
      <c r="N282" s="133"/>
      <c r="O282" s="133"/>
      <c r="R282" s="133"/>
      <c r="S282" s="133"/>
      <c r="V282" s="133"/>
      <c r="W282" s="133"/>
      <c r="Z282" s="148"/>
      <c r="AA282" s="133"/>
      <c r="AD282" s="133"/>
      <c r="AE282" s="133"/>
      <c r="AF282" s="32"/>
      <c r="AN282" s="152"/>
    </row>
    <row r="283" spans="7:40" ht="13">
      <c r="G283" s="133"/>
      <c r="K283" s="133"/>
      <c r="N283" s="133"/>
      <c r="O283" s="133"/>
      <c r="R283" s="133"/>
      <c r="S283" s="133"/>
      <c r="V283" s="133"/>
      <c r="W283" s="133"/>
      <c r="Z283" s="148"/>
      <c r="AA283" s="133"/>
      <c r="AD283" s="133"/>
      <c r="AE283" s="133"/>
      <c r="AF283" s="32"/>
      <c r="AN283" s="152"/>
    </row>
    <row r="284" spans="7:40" ht="13">
      <c r="G284" s="133"/>
      <c r="K284" s="133"/>
      <c r="N284" s="133"/>
      <c r="O284" s="133"/>
      <c r="R284" s="133"/>
      <c r="S284" s="133"/>
      <c r="V284" s="133"/>
      <c r="W284" s="133"/>
      <c r="Z284" s="148"/>
      <c r="AA284" s="133"/>
      <c r="AD284" s="133"/>
      <c r="AE284" s="133"/>
      <c r="AF284" s="32"/>
      <c r="AN284" s="152"/>
    </row>
    <row r="285" spans="7:40" ht="13">
      <c r="G285" s="133"/>
      <c r="K285" s="133"/>
      <c r="N285" s="133"/>
      <c r="O285" s="133"/>
      <c r="R285" s="133"/>
      <c r="S285" s="133"/>
      <c r="V285" s="133"/>
      <c r="W285" s="133"/>
      <c r="Z285" s="148"/>
      <c r="AA285" s="133"/>
      <c r="AD285" s="133"/>
      <c r="AE285" s="133"/>
      <c r="AF285" s="32"/>
      <c r="AN285" s="152"/>
    </row>
    <row r="286" spans="7:40" ht="13">
      <c r="G286" s="133"/>
      <c r="K286" s="133"/>
      <c r="N286" s="133"/>
      <c r="O286" s="133"/>
      <c r="R286" s="133"/>
      <c r="S286" s="133"/>
      <c r="V286" s="133"/>
      <c r="W286" s="133"/>
      <c r="Z286" s="148"/>
      <c r="AA286" s="133"/>
      <c r="AD286" s="133"/>
      <c r="AE286" s="133"/>
      <c r="AF286" s="32"/>
      <c r="AN286" s="152"/>
    </row>
    <row r="287" spans="7:40" ht="13">
      <c r="G287" s="133"/>
      <c r="K287" s="133"/>
      <c r="N287" s="133"/>
      <c r="O287" s="133"/>
      <c r="R287" s="133"/>
      <c r="S287" s="133"/>
      <c r="V287" s="133"/>
      <c r="W287" s="133"/>
      <c r="Z287" s="148"/>
      <c r="AA287" s="133"/>
      <c r="AD287" s="133"/>
      <c r="AE287" s="133"/>
      <c r="AF287" s="32"/>
      <c r="AN287" s="152"/>
    </row>
    <row r="288" spans="7:40" ht="13">
      <c r="G288" s="133"/>
      <c r="K288" s="133"/>
      <c r="N288" s="133"/>
      <c r="O288" s="133"/>
      <c r="R288" s="133"/>
      <c r="S288" s="133"/>
      <c r="V288" s="133"/>
      <c r="W288" s="133"/>
      <c r="Z288" s="148"/>
      <c r="AA288" s="133"/>
      <c r="AD288" s="133"/>
      <c r="AE288" s="133"/>
      <c r="AF288" s="32"/>
      <c r="AN288" s="152"/>
    </row>
    <row r="289" spans="7:40" ht="13">
      <c r="G289" s="133"/>
      <c r="K289" s="133"/>
      <c r="N289" s="133"/>
      <c r="O289" s="133"/>
      <c r="R289" s="133"/>
      <c r="S289" s="133"/>
      <c r="V289" s="133"/>
      <c r="W289" s="133"/>
      <c r="Z289" s="148"/>
      <c r="AA289" s="133"/>
      <c r="AD289" s="133"/>
      <c r="AE289" s="133"/>
      <c r="AF289" s="32"/>
      <c r="AN289" s="152"/>
    </row>
    <row r="290" spans="7:40" ht="13">
      <c r="G290" s="133"/>
      <c r="K290" s="133"/>
      <c r="N290" s="133"/>
      <c r="O290" s="133"/>
      <c r="R290" s="133"/>
      <c r="S290" s="133"/>
      <c r="V290" s="133"/>
      <c r="W290" s="133"/>
      <c r="Z290" s="148"/>
      <c r="AA290" s="133"/>
      <c r="AD290" s="133"/>
      <c r="AE290" s="133"/>
      <c r="AF290" s="32"/>
      <c r="AN290" s="152"/>
    </row>
    <row r="291" spans="7:40" ht="13">
      <c r="G291" s="133"/>
      <c r="K291" s="133"/>
      <c r="N291" s="133"/>
      <c r="O291" s="133"/>
      <c r="R291" s="133"/>
      <c r="S291" s="133"/>
      <c r="V291" s="133"/>
      <c r="W291" s="133"/>
      <c r="Z291" s="148"/>
      <c r="AA291" s="133"/>
      <c r="AD291" s="133"/>
      <c r="AE291" s="133"/>
      <c r="AF291" s="32"/>
      <c r="AN291" s="152"/>
    </row>
    <row r="292" spans="7:40" ht="13">
      <c r="G292" s="133"/>
      <c r="K292" s="133"/>
      <c r="N292" s="133"/>
      <c r="O292" s="133"/>
      <c r="R292" s="133"/>
      <c r="S292" s="133"/>
      <c r="V292" s="133"/>
      <c r="W292" s="133"/>
      <c r="Z292" s="148"/>
      <c r="AA292" s="133"/>
      <c r="AD292" s="133"/>
      <c r="AE292" s="133"/>
      <c r="AF292" s="32"/>
      <c r="AN292" s="152"/>
    </row>
    <row r="293" spans="7:40" ht="13">
      <c r="G293" s="133"/>
      <c r="K293" s="133"/>
      <c r="N293" s="133"/>
      <c r="O293" s="133"/>
      <c r="R293" s="133"/>
      <c r="S293" s="133"/>
      <c r="V293" s="133"/>
      <c r="W293" s="133"/>
      <c r="Z293" s="148"/>
      <c r="AA293" s="133"/>
      <c r="AD293" s="133"/>
      <c r="AE293" s="133"/>
      <c r="AF293" s="32"/>
      <c r="AN293" s="152"/>
    </row>
    <row r="294" spans="7:40" ht="13">
      <c r="G294" s="133"/>
      <c r="K294" s="133"/>
      <c r="N294" s="133"/>
      <c r="O294" s="133"/>
      <c r="R294" s="133"/>
      <c r="S294" s="133"/>
      <c r="V294" s="133"/>
      <c r="W294" s="133"/>
      <c r="Z294" s="148"/>
      <c r="AA294" s="133"/>
      <c r="AD294" s="133"/>
      <c r="AE294" s="133"/>
      <c r="AF294" s="32"/>
      <c r="AN294" s="152"/>
    </row>
    <row r="295" spans="7:40" ht="13">
      <c r="G295" s="133"/>
      <c r="K295" s="133"/>
      <c r="N295" s="133"/>
      <c r="O295" s="133"/>
      <c r="R295" s="133"/>
      <c r="S295" s="133"/>
      <c r="V295" s="133"/>
      <c r="W295" s="133"/>
      <c r="Z295" s="148"/>
      <c r="AA295" s="133"/>
      <c r="AD295" s="133"/>
      <c r="AE295" s="133"/>
      <c r="AF295" s="32"/>
      <c r="AN295" s="152"/>
    </row>
    <row r="296" spans="7:40" ht="13">
      <c r="G296" s="133"/>
      <c r="K296" s="133"/>
      <c r="N296" s="133"/>
      <c r="O296" s="133"/>
      <c r="R296" s="133"/>
      <c r="S296" s="133"/>
      <c r="V296" s="133"/>
      <c r="W296" s="133"/>
      <c r="Z296" s="148"/>
      <c r="AA296" s="133"/>
      <c r="AD296" s="133"/>
      <c r="AE296" s="133"/>
      <c r="AF296" s="32"/>
      <c r="AN296" s="152"/>
    </row>
    <row r="297" spans="7:40" ht="13">
      <c r="G297" s="133"/>
      <c r="K297" s="133"/>
      <c r="N297" s="133"/>
      <c r="O297" s="133"/>
      <c r="R297" s="133"/>
      <c r="S297" s="133"/>
      <c r="V297" s="133"/>
      <c r="W297" s="133"/>
      <c r="Z297" s="148"/>
      <c r="AA297" s="133"/>
      <c r="AD297" s="133"/>
      <c r="AE297" s="133"/>
      <c r="AF297" s="32"/>
      <c r="AN297" s="152"/>
    </row>
    <row r="298" spans="7:40" ht="13">
      <c r="G298" s="133"/>
      <c r="K298" s="133"/>
      <c r="N298" s="133"/>
      <c r="O298" s="133"/>
      <c r="R298" s="133"/>
      <c r="S298" s="133"/>
      <c r="V298" s="133"/>
      <c r="W298" s="133"/>
      <c r="Z298" s="148"/>
      <c r="AA298" s="133"/>
      <c r="AD298" s="133"/>
      <c r="AE298" s="133"/>
      <c r="AF298" s="32"/>
      <c r="AN298" s="152"/>
    </row>
    <row r="299" spans="7:40" ht="13">
      <c r="G299" s="133"/>
      <c r="K299" s="133"/>
      <c r="N299" s="133"/>
      <c r="O299" s="133"/>
      <c r="R299" s="133"/>
      <c r="S299" s="133"/>
      <c r="V299" s="133"/>
      <c r="W299" s="133"/>
      <c r="Z299" s="148"/>
      <c r="AA299" s="133"/>
      <c r="AD299" s="133"/>
      <c r="AE299" s="133"/>
      <c r="AF299" s="32"/>
      <c r="AN299" s="152"/>
    </row>
    <row r="300" spans="7:40" ht="13">
      <c r="G300" s="133"/>
      <c r="K300" s="133"/>
      <c r="N300" s="133"/>
      <c r="O300" s="133"/>
      <c r="R300" s="133"/>
      <c r="S300" s="133"/>
      <c r="V300" s="133"/>
      <c r="W300" s="133"/>
      <c r="Z300" s="148"/>
      <c r="AA300" s="133"/>
      <c r="AD300" s="133"/>
      <c r="AE300" s="133"/>
      <c r="AF300" s="32"/>
      <c r="AN300" s="152"/>
    </row>
    <row r="301" spans="7:40" ht="13">
      <c r="G301" s="133"/>
      <c r="K301" s="133"/>
      <c r="N301" s="133"/>
      <c r="O301" s="133"/>
      <c r="R301" s="133"/>
      <c r="S301" s="133"/>
      <c r="V301" s="133"/>
      <c r="W301" s="133"/>
      <c r="Z301" s="148"/>
      <c r="AA301" s="133"/>
      <c r="AD301" s="133"/>
      <c r="AE301" s="133"/>
      <c r="AF301" s="32"/>
      <c r="AN301" s="152"/>
    </row>
    <row r="302" spans="7:40" ht="13">
      <c r="G302" s="133"/>
      <c r="K302" s="133"/>
      <c r="N302" s="133"/>
      <c r="O302" s="133"/>
      <c r="R302" s="133"/>
      <c r="S302" s="133"/>
      <c r="V302" s="133"/>
      <c r="W302" s="133"/>
      <c r="Z302" s="148"/>
      <c r="AA302" s="133"/>
      <c r="AD302" s="133"/>
      <c r="AE302" s="133"/>
      <c r="AF302" s="32"/>
      <c r="AN302" s="152"/>
    </row>
    <row r="303" spans="7:40" ht="13">
      <c r="G303" s="133"/>
      <c r="K303" s="133"/>
      <c r="N303" s="133"/>
      <c r="O303" s="133"/>
      <c r="R303" s="133"/>
      <c r="S303" s="133"/>
      <c r="V303" s="133"/>
      <c r="W303" s="133"/>
      <c r="Z303" s="148"/>
      <c r="AA303" s="133"/>
      <c r="AD303" s="133"/>
      <c r="AE303" s="133"/>
      <c r="AF303" s="32"/>
      <c r="AN303" s="152"/>
    </row>
    <row r="304" spans="7:40" ht="13">
      <c r="G304" s="133"/>
      <c r="K304" s="133"/>
      <c r="N304" s="133"/>
      <c r="O304" s="133"/>
      <c r="R304" s="133"/>
      <c r="S304" s="133"/>
      <c r="V304" s="133"/>
      <c r="W304" s="133"/>
      <c r="Z304" s="148"/>
      <c r="AA304" s="133"/>
      <c r="AD304" s="133"/>
      <c r="AE304" s="133"/>
      <c r="AF304" s="32"/>
      <c r="AN304" s="152"/>
    </row>
    <row r="305" spans="7:40" ht="13">
      <c r="G305" s="133"/>
      <c r="K305" s="133"/>
      <c r="N305" s="133"/>
      <c r="O305" s="133"/>
      <c r="R305" s="133"/>
      <c r="S305" s="133"/>
      <c r="V305" s="133"/>
      <c r="W305" s="133"/>
      <c r="Z305" s="148"/>
      <c r="AA305" s="133"/>
      <c r="AD305" s="133"/>
      <c r="AE305" s="133"/>
      <c r="AF305" s="32"/>
      <c r="AN305" s="152"/>
    </row>
    <row r="306" spans="7:40" ht="13">
      <c r="G306" s="133"/>
      <c r="K306" s="133"/>
      <c r="N306" s="133"/>
      <c r="O306" s="133"/>
      <c r="R306" s="133"/>
      <c r="S306" s="133"/>
      <c r="V306" s="133"/>
      <c r="W306" s="133"/>
      <c r="Z306" s="148"/>
      <c r="AA306" s="133"/>
      <c r="AD306" s="133"/>
      <c r="AE306" s="133"/>
      <c r="AF306" s="32"/>
      <c r="AN306" s="152"/>
    </row>
    <row r="307" spans="7:40" ht="13">
      <c r="G307" s="133"/>
      <c r="K307" s="133"/>
      <c r="N307" s="133"/>
      <c r="O307" s="133"/>
      <c r="R307" s="133"/>
      <c r="S307" s="133"/>
      <c r="V307" s="133"/>
      <c r="W307" s="133"/>
      <c r="Z307" s="148"/>
      <c r="AA307" s="133"/>
      <c r="AD307" s="133"/>
      <c r="AE307" s="133"/>
      <c r="AF307" s="32"/>
      <c r="AN307" s="152"/>
    </row>
    <row r="308" spans="7:40" ht="13">
      <c r="G308" s="133"/>
      <c r="K308" s="133"/>
      <c r="N308" s="133"/>
      <c r="O308" s="133"/>
      <c r="R308" s="133"/>
      <c r="S308" s="133"/>
      <c r="V308" s="133"/>
      <c r="W308" s="133"/>
      <c r="Z308" s="148"/>
      <c r="AA308" s="133"/>
      <c r="AD308" s="133"/>
      <c r="AE308" s="133"/>
      <c r="AF308" s="32"/>
      <c r="AN308" s="152"/>
    </row>
    <row r="309" spans="7:40" ht="13">
      <c r="G309" s="133"/>
      <c r="K309" s="133"/>
      <c r="N309" s="133"/>
      <c r="O309" s="133"/>
      <c r="R309" s="133"/>
      <c r="S309" s="133"/>
      <c r="V309" s="133"/>
      <c r="W309" s="133"/>
      <c r="Z309" s="148"/>
      <c r="AA309" s="133"/>
      <c r="AD309" s="133"/>
      <c r="AE309" s="133"/>
      <c r="AF309" s="32"/>
      <c r="AN309" s="152"/>
    </row>
    <row r="310" spans="7:40" ht="13">
      <c r="G310" s="133"/>
      <c r="K310" s="133"/>
      <c r="N310" s="133"/>
      <c r="O310" s="133"/>
      <c r="R310" s="133"/>
      <c r="S310" s="133"/>
      <c r="V310" s="133"/>
      <c r="W310" s="133"/>
      <c r="Z310" s="148"/>
      <c r="AA310" s="133"/>
      <c r="AD310" s="133"/>
      <c r="AE310" s="133"/>
      <c r="AF310" s="32"/>
      <c r="AN310" s="152"/>
    </row>
    <row r="311" spans="7:40" ht="13">
      <c r="G311" s="133"/>
      <c r="K311" s="133"/>
      <c r="N311" s="133"/>
      <c r="O311" s="133"/>
      <c r="R311" s="133"/>
      <c r="S311" s="133"/>
      <c r="V311" s="133"/>
      <c r="W311" s="133"/>
      <c r="Z311" s="148"/>
      <c r="AA311" s="133"/>
      <c r="AD311" s="133"/>
      <c r="AE311" s="133"/>
      <c r="AF311" s="32"/>
      <c r="AN311" s="152"/>
    </row>
    <row r="312" spans="7:40" ht="13">
      <c r="G312" s="133"/>
      <c r="K312" s="133"/>
      <c r="N312" s="133"/>
      <c r="O312" s="133"/>
      <c r="R312" s="133"/>
      <c r="S312" s="133"/>
      <c r="V312" s="133"/>
      <c r="W312" s="133"/>
      <c r="Z312" s="148"/>
      <c r="AA312" s="133"/>
      <c r="AD312" s="133"/>
      <c r="AE312" s="133"/>
      <c r="AF312" s="32"/>
      <c r="AN312" s="152"/>
    </row>
    <row r="313" spans="7:40" ht="13">
      <c r="G313" s="133"/>
      <c r="K313" s="133"/>
      <c r="N313" s="133"/>
      <c r="O313" s="133"/>
      <c r="R313" s="133"/>
      <c r="S313" s="133"/>
      <c r="V313" s="133"/>
      <c r="W313" s="133"/>
      <c r="Z313" s="148"/>
      <c r="AA313" s="133"/>
      <c r="AD313" s="133"/>
      <c r="AE313" s="133"/>
      <c r="AF313" s="32"/>
      <c r="AN313" s="152"/>
    </row>
    <row r="314" spans="7:40" ht="13">
      <c r="G314" s="133"/>
      <c r="K314" s="133"/>
      <c r="N314" s="133"/>
      <c r="O314" s="133"/>
      <c r="R314" s="133"/>
      <c r="S314" s="133"/>
      <c r="V314" s="133"/>
      <c r="W314" s="133"/>
      <c r="Z314" s="148"/>
      <c r="AA314" s="133"/>
      <c r="AD314" s="133"/>
      <c r="AE314" s="133"/>
      <c r="AF314" s="32"/>
      <c r="AN314" s="152"/>
    </row>
    <row r="315" spans="7:40" ht="13">
      <c r="G315" s="133"/>
      <c r="K315" s="133"/>
      <c r="N315" s="133"/>
      <c r="O315" s="133"/>
      <c r="R315" s="133"/>
      <c r="S315" s="133"/>
      <c r="V315" s="133"/>
      <c r="W315" s="133"/>
      <c r="Z315" s="148"/>
      <c r="AA315" s="133"/>
      <c r="AD315" s="133"/>
      <c r="AE315" s="133"/>
      <c r="AF315" s="32"/>
      <c r="AN315" s="152"/>
    </row>
    <row r="316" spans="7:40" ht="13">
      <c r="G316" s="133"/>
      <c r="K316" s="133"/>
      <c r="N316" s="133"/>
      <c r="O316" s="133"/>
      <c r="R316" s="133"/>
      <c r="S316" s="133"/>
      <c r="V316" s="133"/>
      <c r="W316" s="133"/>
      <c r="Z316" s="148"/>
      <c r="AA316" s="133"/>
      <c r="AD316" s="133"/>
      <c r="AE316" s="133"/>
      <c r="AF316" s="32"/>
      <c r="AN316" s="152"/>
    </row>
    <row r="317" spans="7:40" ht="13">
      <c r="G317" s="133"/>
      <c r="K317" s="133"/>
      <c r="N317" s="133"/>
      <c r="O317" s="133"/>
      <c r="R317" s="133"/>
      <c r="S317" s="133"/>
      <c r="V317" s="133"/>
      <c r="W317" s="133"/>
      <c r="Z317" s="148"/>
      <c r="AA317" s="133"/>
      <c r="AD317" s="133"/>
      <c r="AE317" s="133"/>
      <c r="AF317" s="32"/>
      <c r="AN317" s="152"/>
    </row>
    <row r="318" spans="7:40" ht="13">
      <c r="G318" s="133"/>
      <c r="K318" s="133"/>
      <c r="N318" s="133"/>
      <c r="O318" s="133"/>
      <c r="R318" s="133"/>
      <c r="S318" s="133"/>
      <c r="V318" s="133"/>
      <c r="W318" s="133"/>
      <c r="Z318" s="148"/>
      <c r="AA318" s="133"/>
      <c r="AD318" s="133"/>
      <c r="AE318" s="133"/>
      <c r="AF318" s="32"/>
      <c r="AN318" s="152"/>
    </row>
    <row r="319" spans="7:40" ht="13">
      <c r="G319" s="133"/>
      <c r="K319" s="133"/>
      <c r="N319" s="133"/>
      <c r="O319" s="133"/>
      <c r="R319" s="133"/>
      <c r="S319" s="133"/>
      <c r="V319" s="133"/>
      <c r="W319" s="133"/>
      <c r="Z319" s="148"/>
      <c r="AA319" s="133"/>
      <c r="AD319" s="133"/>
      <c r="AE319" s="133"/>
      <c r="AF319" s="32"/>
      <c r="AN319" s="152"/>
    </row>
    <row r="320" spans="7:40" ht="13">
      <c r="G320" s="133"/>
      <c r="K320" s="133"/>
      <c r="N320" s="133"/>
      <c r="O320" s="133"/>
      <c r="R320" s="133"/>
      <c r="S320" s="133"/>
      <c r="V320" s="133"/>
      <c r="W320" s="133"/>
      <c r="Z320" s="148"/>
      <c r="AA320" s="133"/>
      <c r="AD320" s="133"/>
      <c r="AE320" s="133"/>
      <c r="AF320" s="32"/>
      <c r="AN320" s="152"/>
    </row>
    <row r="321" spans="7:40" ht="13">
      <c r="G321" s="133"/>
      <c r="K321" s="133"/>
      <c r="N321" s="133"/>
      <c r="O321" s="133"/>
      <c r="R321" s="133"/>
      <c r="S321" s="133"/>
      <c r="V321" s="133"/>
      <c r="W321" s="133"/>
      <c r="Z321" s="148"/>
      <c r="AA321" s="133"/>
      <c r="AD321" s="133"/>
      <c r="AE321" s="133"/>
      <c r="AF321" s="32"/>
      <c r="AN321" s="152"/>
    </row>
    <row r="322" spans="7:40" ht="13">
      <c r="G322" s="133"/>
      <c r="K322" s="133"/>
      <c r="N322" s="133"/>
      <c r="O322" s="133"/>
      <c r="R322" s="133"/>
      <c r="S322" s="133"/>
      <c r="V322" s="133"/>
      <c r="W322" s="133"/>
      <c r="Z322" s="148"/>
      <c r="AA322" s="133"/>
      <c r="AD322" s="133"/>
      <c r="AE322" s="133"/>
      <c r="AF322" s="32"/>
      <c r="AN322" s="152"/>
    </row>
    <row r="323" spans="7:40" ht="13">
      <c r="G323" s="133"/>
      <c r="K323" s="133"/>
      <c r="N323" s="133"/>
      <c r="O323" s="133"/>
      <c r="R323" s="133"/>
      <c r="S323" s="133"/>
      <c r="V323" s="133"/>
      <c r="W323" s="133"/>
      <c r="Z323" s="148"/>
      <c r="AA323" s="133"/>
      <c r="AD323" s="133"/>
      <c r="AE323" s="133"/>
      <c r="AF323" s="32"/>
      <c r="AN323" s="152"/>
    </row>
    <row r="324" spans="7:40" ht="13">
      <c r="G324" s="133"/>
      <c r="K324" s="133"/>
      <c r="N324" s="133"/>
      <c r="O324" s="133"/>
      <c r="R324" s="133"/>
      <c r="S324" s="133"/>
      <c r="V324" s="133"/>
      <c r="W324" s="133"/>
      <c r="Z324" s="148"/>
      <c r="AA324" s="133"/>
      <c r="AD324" s="133"/>
      <c r="AE324" s="133"/>
      <c r="AF324" s="32"/>
      <c r="AN324" s="152"/>
    </row>
    <row r="325" spans="7:40" ht="13">
      <c r="G325" s="133"/>
      <c r="K325" s="133"/>
      <c r="N325" s="133"/>
      <c r="O325" s="133"/>
      <c r="R325" s="133"/>
      <c r="S325" s="133"/>
      <c r="V325" s="133"/>
      <c r="W325" s="133"/>
      <c r="Z325" s="148"/>
      <c r="AA325" s="133"/>
      <c r="AD325" s="133"/>
      <c r="AE325" s="133"/>
      <c r="AF325" s="32"/>
      <c r="AN325" s="152"/>
    </row>
    <row r="326" spans="7:40" ht="13">
      <c r="G326" s="133"/>
      <c r="K326" s="133"/>
      <c r="N326" s="133"/>
      <c r="O326" s="133"/>
      <c r="R326" s="133"/>
      <c r="S326" s="133"/>
      <c r="V326" s="133"/>
      <c r="W326" s="133"/>
      <c r="Z326" s="148"/>
      <c r="AA326" s="133"/>
      <c r="AD326" s="133"/>
      <c r="AE326" s="133"/>
      <c r="AF326" s="32"/>
      <c r="AN326" s="152"/>
    </row>
    <row r="327" spans="7:40" ht="13">
      <c r="G327" s="133"/>
      <c r="K327" s="133"/>
      <c r="N327" s="133"/>
      <c r="O327" s="133"/>
      <c r="R327" s="133"/>
      <c r="S327" s="133"/>
      <c r="V327" s="133"/>
      <c r="W327" s="133"/>
      <c r="Z327" s="148"/>
      <c r="AA327" s="133"/>
      <c r="AD327" s="133"/>
      <c r="AE327" s="133"/>
      <c r="AF327" s="32"/>
      <c r="AN327" s="152"/>
    </row>
    <row r="328" spans="7:40" ht="13">
      <c r="G328" s="133"/>
      <c r="K328" s="133"/>
      <c r="N328" s="133"/>
      <c r="O328" s="133"/>
      <c r="R328" s="133"/>
      <c r="S328" s="133"/>
      <c r="V328" s="133"/>
      <c r="W328" s="133"/>
      <c r="Z328" s="148"/>
      <c r="AA328" s="133"/>
      <c r="AD328" s="133"/>
      <c r="AE328" s="133"/>
      <c r="AF328" s="32"/>
      <c r="AN328" s="152"/>
    </row>
    <row r="329" spans="7:40" ht="13">
      <c r="G329" s="133"/>
      <c r="K329" s="133"/>
      <c r="N329" s="133"/>
      <c r="O329" s="133"/>
      <c r="R329" s="133"/>
      <c r="S329" s="133"/>
      <c r="V329" s="133"/>
      <c r="W329" s="133"/>
      <c r="Z329" s="148"/>
      <c r="AA329" s="133"/>
      <c r="AD329" s="133"/>
      <c r="AE329" s="133"/>
      <c r="AF329" s="32"/>
      <c r="AN329" s="152"/>
    </row>
    <row r="330" spans="7:40" ht="13">
      <c r="G330" s="133"/>
      <c r="K330" s="133"/>
      <c r="N330" s="133"/>
      <c r="O330" s="133"/>
      <c r="R330" s="133"/>
      <c r="S330" s="133"/>
      <c r="V330" s="133"/>
      <c r="W330" s="133"/>
      <c r="Z330" s="148"/>
      <c r="AA330" s="133"/>
      <c r="AD330" s="133"/>
      <c r="AE330" s="133"/>
      <c r="AF330" s="32"/>
      <c r="AN330" s="152"/>
    </row>
    <row r="331" spans="7:40" ht="13">
      <c r="G331" s="133"/>
      <c r="K331" s="133"/>
      <c r="N331" s="133"/>
      <c r="O331" s="133"/>
      <c r="R331" s="133"/>
      <c r="S331" s="133"/>
      <c r="V331" s="133"/>
      <c r="W331" s="133"/>
      <c r="Z331" s="148"/>
      <c r="AA331" s="133"/>
      <c r="AD331" s="133"/>
      <c r="AE331" s="133"/>
      <c r="AF331" s="32"/>
      <c r="AN331" s="152"/>
    </row>
    <row r="332" spans="7:40" ht="13">
      <c r="G332" s="133"/>
      <c r="K332" s="133"/>
      <c r="N332" s="133"/>
      <c r="O332" s="133"/>
      <c r="R332" s="133"/>
      <c r="S332" s="133"/>
      <c r="V332" s="133"/>
      <c r="W332" s="133"/>
      <c r="Z332" s="148"/>
      <c r="AA332" s="133"/>
      <c r="AD332" s="133"/>
      <c r="AE332" s="133"/>
      <c r="AF332" s="32"/>
      <c r="AN332" s="152"/>
    </row>
    <row r="333" spans="7:40" ht="13">
      <c r="G333" s="133"/>
      <c r="K333" s="133"/>
      <c r="N333" s="133"/>
      <c r="O333" s="133"/>
      <c r="R333" s="133"/>
      <c r="S333" s="133"/>
      <c r="V333" s="133"/>
      <c r="W333" s="133"/>
      <c r="Z333" s="148"/>
      <c r="AA333" s="133"/>
      <c r="AD333" s="133"/>
      <c r="AE333" s="133"/>
      <c r="AF333" s="32"/>
      <c r="AN333" s="152"/>
    </row>
    <row r="334" spans="7:40" ht="13">
      <c r="G334" s="133"/>
      <c r="K334" s="133"/>
      <c r="N334" s="133"/>
      <c r="O334" s="133"/>
      <c r="R334" s="133"/>
      <c r="S334" s="133"/>
      <c r="V334" s="133"/>
      <c r="W334" s="133"/>
      <c r="Z334" s="148"/>
      <c r="AA334" s="133"/>
      <c r="AD334" s="133"/>
      <c r="AE334" s="133"/>
      <c r="AF334" s="32"/>
      <c r="AN334" s="152"/>
    </row>
    <row r="335" spans="7:40" ht="13">
      <c r="G335" s="133"/>
      <c r="K335" s="133"/>
      <c r="N335" s="133"/>
      <c r="O335" s="133"/>
      <c r="R335" s="133"/>
      <c r="S335" s="133"/>
      <c r="V335" s="133"/>
      <c r="W335" s="133"/>
      <c r="Z335" s="148"/>
      <c r="AA335" s="133"/>
      <c r="AD335" s="133"/>
      <c r="AE335" s="133"/>
      <c r="AF335" s="32"/>
      <c r="AN335" s="152"/>
    </row>
    <row r="336" spans="7:40" ht="13">
      <c r="G336" s="133"/>
      <c r="K336" s="133"/>
      <c r="N336" s="133"/>
      <c r="O336" s="133"/>
      <c r="R336" s="133"/>
      <c r="S336" s="133"/>
      <c r="V336" s="133"/>
      <c r="W336" s="133"/>
      <c r="Z336" s="148"/>
      <c r="AA336" s="133"/>
      <c r="AD336" s="133"/>
      <c r="AE336" s="133"/>
      <c r="AF336" s="32"/>
      <c r="AN336" s="152"/>
    </row>
    <row r="337" spans="7:40" ht="13">
      <c r="G337" s="133"/>
      <c r="K337" s="133"/>
      <c r="N337" s="133"/>
      <c r="O337" s="133"/>
      <c r="R337" s="133"/>
      <c r="S337" s="133"/>
      <c r="V337" s="133"/>
      <c r="W337" s="133"/>
      <c r="Z337" s="148"/>
      <c r="AA337" s="133"/>
      <c r="AD337" s="133"/>
      <c r="AE337" s="133"/>
      <c r="AF337" s="32"/>
      <c r="AN337" s="152"/>
    </row>
    <row r="338" spans="7:40" ht="13">
      <c r="G338" s="133"/>
      <c r="K338" s="133"/>
      <c r="N338" s="133"/>
      <c r="O338" s="133"/>
      <c r="R338" s="133"/>
      <c r="S338" s="133"/>
      <c r="V338" s="133"/>
      <c r="W338" s="133"/>
      <c r="Z338" s="148"/>
      <c r="AA338" s="133"/>
      <c r="AD338" s="133"/>
      <c r="AE338" s="133"/>
      <c r="AF338" s="32"/>
      <c r="AN338" s="152"/>
    </row>
    <row r="339" spans="7:40" ht="13">
      <c r="G339" s="133"/>
      <c r="K339" s="133"/>
      <c r="N339" s="133"/>
      <c r="O339" s="133"/>
      <c r="R339" s="133"/>
      <c r="S339" s="133"/>
      <c r="V339" s="133"/>
      <c r="W339" s="133"/>
      <c r="Z339" s="148"/>
      <c r="AA339" s="133"/>
      <c r="AD339" s="133"/>
      <c r="AE339" s="133"/>
      <c r="AF339" s="32"/>
      <c r="AN339" s="152"/>
    </row>
    <row r="340" spans="7:40" ht="13">
      <c r="G340" s="133"/>
      <c r="K340" s="133"/>
      <c r="N340" s="133"/>
      <c r="O340" s="133"/>
      <c r="R340" s="133"/>
      <c r="S340" s="133"/>
      <c r="V340" s="133"/>
      <c r="W340" s="133"/>
      <c r="Z340" s="148"/>
      <c r="AA340" s="133"/>
      <c r="AD340" s="133"/>
      <c r="AE340" s="133"/>
      <c r="AF340" s="32"/>
      <c r="AN340" s="152"/>
    </row>
    <row r="341" spans="7:40" ht="13">
      <c r="G341" s="133"/>
      <c r="K341" s="133"/>
      <c r="N341" s="133"/>
      <c r="O341" s="133"/>
      <c r="R341" s="133"/>
      <c r="S341" s="133"/>
      <c r="V341" s="133"/>
      <c r="W341" s="133"/>
      <c r="Z341" s="148"/>
      <c r="AA341" s="133"/>
      <c r="AD341" s="133"/>
      <c r="AE341" s="133"/>
      <c r="AF341" s="32"/>
      <c r="AN341" s="152"/>
    </row>
    <row r="342" spans="7:40" ht="13">
      <c r="G342" s="133"/>
      <c r="K342" s="133"/>
      <c r="N342" s="133"/>
      <c r="O342" s="133"/>
      <c r="R342" s="133"/>
      <c r="S342" s="133"/>
      <c r="V342" s="133"/>
      <c r="W342" s="133"/>
      <c r="Z342" s="148"/>
      <c r="AA342" s="133"/>
      <c r="AD342" s="133"/>
      <c r="AE342" s="133"/>
      <c r="AF342" s="32"/>
      <c r="AN342" s="152"/>
    </row>
    <row r="343" spans="7:40" ht="13">
      <c r="G343" s="133"/>
      <c r="K343" s="133"/>
      <c r="N343" s="133"/>
      <c r="O343" s="133"/>
      <c r="R343" s="133"/>
      <c r="S343" s="133"/>
      <c r="V343" s="133"/>
      <c r="W343" s="133"/>
      <c r="Z343" s="148"/>
      <c r="AA343" s="133"/>
      <c r="AD343" s="133"/>
      <c r="AE343" s="133"/>
      <c r="AF343" s="32"/>
      <c r="AN343" s="152"/>
    </row>
    <row r="344" spans="7:40" ht="13">
      <c r="G344" s="133"/>
      <c r="K344" s="133"/>
      <c r="N344" s="133"/>
      <c r="O344" s="133"/>
      <c r="R344" s="133"/>
      <c r="S344" s="133"/>
      <c r="V344" s="133"/>
      <c r="W344" s="133"/>
      <c r="Z344" s="148"/>
      <c r="AA344" s="133"/>
      <c r="AD344" s="133"/>
      <c r="AE344" s="133"/>
      <c r="AF344" s="32"/>
      <c r="AN344" s="152"/>
    </row>
    <row r="345" spans="7:40" ht="13">
      <c r="G345" s="133"/>
      <c r="K345" s="133"/>
      <c r="N345" s="133"/>
      <c r="O345" s="133"/>
      <c r="R345" s="133"/>
      <c r="S345" s="133"/>
      <c r="V345" s="133"/>
      <c r="W345" s="133"/>
      <c r="Z345" s="148"/>
      <c r="AA345" s="133"/>
      <c r="AD345" s="133"/>
      <c r="AE345" s="133"/>
      <c r="AF345" s="32"/>
      <c r="AN345" s="152"/>
    </row>
    <row r="346" spans="7:40" ht="13">
      <c r="G346" s="133"/>
      <c r="K346" s="133"/>
      <c r="N346" s="133"/>
      <c r="O346" s="133"/>
      <c r="R346" s="133"/>
      <c r="S346" s="133"/>
      <c r="V346" s="133"/>
      <c r="W346" s="133"/>
      <c r="Z346" s="148"/>
      <c r="AA346" s="133"/>
      <c r="AD346" s="133"/>
      <c r="AE346" s="133"/>
      <c r="AF346" s="32"/>
      <c r="AN346" s="152"/>
    </row>
    <row r="347" spans="7:40" ht="13">
      <c r="G347" s="133"/>
      <c r="K347" s="133"/>
      <c r="N347" s="133"/>
      <c r="O347" s="133"/>
      <c r="R347" s="133"/>
      <c r="S347" s="133"/>
      <c r="V347" s="133"/>
      <c r="W347" s="133"/>
      <c r="Z347" s="148"/>
      <c r="AA347" s="133"/>
      <c r="AD347" s="133"/>
      <c r="AE347" s="133"/>
      <c r="AF347" s="32"/>
      <c r="AN347" s="152"/>
    </row>
    <row r="348" spans="7:40" ht="13">
      <c r="G348" s="133"/>
      <c r="K348" s="133"/>
      <c r="N348" s="133"/>
      <c r="O348" s="133"/>
      <c r="R348" s="133"/>
      <c r="S348" s="133"/>
      <c r="V348" s="133"/>
      <c r="W348" s="133"/>
      <c r="Z348" s="148"/>
      <c r="AA348" s="133"/>
      <c r="AD348" s="133"/>
      <c r="AE348" s="133"/>
      <c r="AF348" s="32"/>
      <c r="AN348" s="152"/>
    </row>
    <row r="349" spans="7:40" ht="13">
      <c r="G349" s="133"/>
      <c r="K349" s="133"/>
      <c r="N349" s="133"/>
      <c r="O349" s="133"/>
      <c r="R349" s="133"/>
      <c r="S349" s="133"/>
      <c r="V349" s="133"/>
      <c r="W349" s="133"/>
      <c r="Z349" s="148"/>
      <c r="AA349" s="133"/>
      <c r="AD349" s="133"/>
      <c r="AE349" s="133"/>
      <c r="AF349" s="32"/>
      <c r="AN349" s="152"/>
    </row>
    <row r="350" spans="7:40" ht="13">
      <c r="G350" s="133"/>
      <c r="K350" s="133"/>
      <c r="N350" s="133"/>
      <c r="O350" s="133"/>
      <c r="R350" s="133"/>
      <c r="S350" s="133"/>
      <c r="V350" s="133"/>
      <c r="W350" s="133"/>
      <c r="Z350" s="148"/>
      <c r="AA350" s="133"/>
      <c r="AD350" s="133"/>
      <c r="AE350" s="133"/>
      <c r="AF350" s="32"/>
      <c r="AN350" s="152"/>
    </row>
    <row r="351" spans="7:40" ht="13">
      <c r="G351" s="133"/>
      <c r="K351" s="133"/>
      <c r="N351" s="133"/>
      <c r="O351" s="133"/>
      <c r="R351" s="133"/>
      <c r="S351" s="133"/>
      <c r="V351" s="133"/>
      <c r="W351" s="133"/>
      <c r="Z351" s="148"/>
      <c r="AA351" s="133"/>
      <c r="AD351" s="133"/>
      <c r="AE351" s="133"/>
      <c r="AF351" s="32"/>
      <c r="AN351" s="152"/>
    </row>
    <row r="352" spans="7:40" ht="13">
      <c r="G352" s="133"/>
      <c r="K352" s="133"/>
      <c r="N352" s="133"/>
      <c r="O352" s="133"/>
      <c r="R352" s="133"/>
      <c r="S352" s="133"/>
      <c r="V352" s="133"/>
      <c r="W352" s="133"/>
      <c r="Z352" s="148"/>
      <c r="AA352" s="133"/>
      <c r="AD352" s="133"/>
      <c r="AE352" s="133"/>
      <c r="AF352" s="32"/>
      <c r="AN352" s="152"/>
    </row>
    <row r="353" spans="7:40" ht="13">
      <c r="G353" s="133"/>
      <c r="K353" s="133"/>
      <c r="N353" s="133"/>
      <c r="O353" s="133"/>
      <c r="R353" s="133"/>
      <c r="S353" s="133"/>
      <c r="V353" s="133"/>
      <c r="W353" s="133"/>
      <c r="Z353" s="148"/>
      <c r="AA353" s="133"/>
      <c r="AD353" s="133"/>
      <c r="AE353" s="133"/>
      <c r="AF353" s="32"/>
      <c r="AN353" s="152"/>
    </row>
    <row r="354" spans="7:40" ht="13">
      <c r="G354" s="133"/>
      <c r="K354" s="133"/>
      <c r="N354" s="133"/>
      <c r="O354" s="133"/>
      <c r="R354" s="133"/>
      <c r="S354" s="133"/>
      <c r="V354" s="133"/>
      <c r="W354" s="133"/>
      <c r="Z354" s="148"/>
      <c r="AA354" s="133"/>
      <c r="AD354" s="133"/>
      <c r="AE354" s="133"/>
      <c r="AF354" s="32"/>
      <c r="AN354" s="152"/>
    </row>
    <row r="355" spans="7:40" ht="13">
      <c r="G355" s="133"/>
      <c r="K355" s="133"/>
      <c r="N355" s="133"/>
      <c r="O355" s="133"/>
      <c r="R355" s="133"/>
      <c r="S355" s="133"/>
      <c r="V355" s="133"/>
      <c r="W355" s="133"/>
      <c r="Z355" s="148"/>
      <c r="AA355" s="133"/>
      <c r="AD355" s="133"/>
      <c r="AE355" s="133"/>
      <c r="AF355" s="32"/>
      <c r="AN355" s="152"/>
    </row>
    <row r="356" spans="7:40" ht="13">
      <c r="G356" s="133"/>
      <c r="K356" s="133"/>
      <c r="N356" s="133"/>
      <c r="O356" s="133"/>
      <c r="R356" s="133"/>
      <c r="S356" s="133"/>
      <c r="V356" s="133"/>
      <c r="W356" s="133"/>
      <c r="Z356" s="148"/>
      <c r="AA356" s="133"/>
      <c r="AD356" s="133"/>
      <c r="AE356" s="133"/>
      <c r="AF356" s="32"/>
      <c r="AN356" s="152"/>
    </row>
    <row r="357" spans="7:40" ht="13">
      <c r="G357" s="133"/>
      <c r="K357" s="133"/>
      <c r="N357" s="133"/>
      <c r="O357" s="133"/>
      <c r="R357" s="133"/>
      <c r="S357" s="133"/>
      <c r="V357" s="133"/>
      <c r="W357" s="133"/>
      <c r="Z357" s="148"/>
      <c r="AA357" s="133"/>
      <c r="AD357" s="133"/>
      <c r="AE357" s="133"/>
      <c r="AF357" s="32"/>
      <c r="AN357" s="152"/>
    </row>
    <row r="358" spans="7:40" ht="13">
      <c r="G358" s="133"/>
      <c r="K358" s="133"/>
      <c r="N358" s="133"/>
      <c r="O358" s="133"/>
      <c r="R358" s="133"/>
      <c r="S358" s="133"/>
      <c r="V358" s="133"/>
      <c r="W358" s="133"/>
      <c r="Z358" s="148"/>
      <c r="AA358" s="133"/>
      <c r="AD358" s="133"/>
      <c r="AE358" s="133"/>
      <c r="AF358" s="32"/>
      <c r="AN358" s="152"/>
    </row>
    <row r="359" spans="7:40" ht="13">
      <c r="G359" s="133"/>
      <c r="K359" s="133"/>
      <c r="N359" s="133"/>
      <c r="O359" s="133"/>
      <c r="R359" s="133"/>
      <c r="S359" s="133"/>
      <c r="V359" s="133"/>
      <c r="W359" s="133"/>
      <c r="Z359" s="148"/>
      <c r="AA359" s="133"/>
      <c r="AD359" s="133"/>
      <c r="AE359" s="133"/>
      <c r="AF359" s="32"/>
      <c r="AN359" s="152"/>
    </row>
    <row r="360" spans="7:40" ht="13">
      <c r="G360" s="133"/>
      <c r="K360" s="133"/>
      <c r="N360" s="133"/>
      <c r="O360" s="133"/>
      <c r="R360" s="133"/>
      <c r="S360" s="133"/>
      <c r="V360" s="133"/>
      <c r="W360" s="133"/>
      <c r="Z360" s="148"/>
      <c r="AA360" s="133"/>
      <c r="AD360" s="133"/>
      <c r="AE360" s="133"/>
      <c r="AF360" s="32"/>
      <c r="AN360" s="152"/>
    </row>
    <row r="361" spans="7:40" ht="13">
      <c r="G361" s="133"/>
      <c r="K361" s="133"/>
      <c r="N361" s="133"/>
      <c r="O361" s="133"/>
      <c r="R361" s="133"/>
      <c r="S361" s="133"/>
      <c r="V361" s="133"/>
      <c r="W361" s="133"/>
      <c r="Z361" s="148"/>
      <c r="AA361" s="133"/>
      <c r="AD361" s="133"/>
      <c r="AE361" s="133"/>
      <c r="AF361" s="32"/>
      <c r="AN361" s="152"/>
    </row>
    <row r="362" spans="7:40" ht="13">
      <c r="G362" s="133"/>
      <c r="K362" s="133"/>
      <c r="N362" s="133"/>
      <c r="O362" s="133"/>
      <c r="R362" s="133"/>
      <c r="S362" s="133"/>
      <c r="V362" s="133"/>
      <c r="W362" s="133"/>
      <c r="Z362" s="148"/>
      <c r="AA362" s="133"/>
      <c r="AD362" s="133"/>
      <c r="AE362" s="133"/>
      <c r="AF362" s="32"/>
      <c r="AN362" s="152"/>
    </row>
    <row r="363" spans="7:40" ht="13">
      <c r="G363" s="133"/>
      <c r="K363" s="133"/>
      <c r="N363" s="133"/>
      <c r="O363" s="133"/>
      <c r="R363" s="133"/>
      <c r="S363" s="133"/>
      <c r="V363" s="133"/>
      <c r="W363" s="133"/>
      <c r="Z363" s="148"/>
      <c r="AA363" s="133"/>
      <c r="AD363" s="133"/>
      <c r="AE363" s="133"/>
      <c r="AF363" s="32"/>
      <c r="AN363" s="152"/>
    </row>
    <row r="364" spans="7:40" ht="13">
      <c r="G364" s="133"/>
      <c r="K364" s="133"/>
      <c r="N364" s="133"/>
      <c r="O364" s="133"/>
      <c r="R364" s="133"/>
      <c r="S364" s="133"/>
      <c r="V364" s="133"/>
      <c r="W364" s="133"/>
      <c r="Z364" s="148"/>
      <c r="AA364" s="133"/>
      <c r="AD364" s="133"/>
      <c r="AE364" s="133"/>
      <c r="AF364" s="32"/>
      <c r="AN364" s="152"/>
    </row>
    <row r="365" spans="7:40" ht="13">
      <c r="G365" s="133"/>
      <c r="K365" s="133"/>
      <c r="N365" s="133"/>
      <c r="O365" s="133"/>
      <c r="R365" s="133"/>
      <c r="S365" s="133"/>
      <c r="V365" s="133"/>
      <c r="W365" s="133"/>
      <c r="Z365" s="148"/>
      <c r="AA365" s="133"/>
      <c r="AD365" s="133"/>
      <c r="AE365" s="133"/>
      <c r="AF365" s="32"/>
      <c r="AN365" s="152"/>
    </row>
    <row r="366" spans="7:40" ht="13">
      <c r="G366" s="133"/>
      <c r="K366" s="133"/>
      <c r="N366" s="133"/>
      <c r="O366" s="133"/>
      <c r="R366" s="133"/>
      <c r="S366" s="133"/>
      <c r="V366" s="133"/>
      <c r="W366" s="133"/>
      <c r="Z366" s="148"/>
      <c r="AA366" s="133"/>
      <c r="AD366" s="133"/>
      <c r="AE366" s="133"/>
      <c r="AF366" s="32"/>
      <c r="AN366" s="152"/>
    </row>
    <row r="367" spans="7:40" ht="13">
      <c r="G367" s="133"/>
      <c r="K367" s="133"/>
      <c r="N367" s="133"/>
      <c r="O367" s="133"/>
      <c r="R367" s="133"/>
      <c r="S367" s="133"/>
      <c r="V367" s="133"/>
      <c r="W367" s="133"/>
      <c r="Z367" s="148"/>
      <c r="AA367" s="133"/>
      <c r="AD367" s="133"/>
      <c r="AE367" s="133"/>
      <c r="AF367" s="32"/>
      <c r="AN367" s="152"/>
    </row>
    <row r="368" spans="7:40" ht="13">
      <c r="G368" s="133"/>
      <c r="K368" s="133"/>
      <c r="N368" s="133"/>
      <c r="O368" s="133"/>
      <c r="R368" s="133"/>
      <c r="S368" s="133"/>
      <c r="V368" s="133"/>
      <c r="W368" s="133"/>
      <c r="Z368" s="148"/>
      <c r="AA368" s="133"/>
      <c r="AD368" s="133"/>
      <c r="AE368" s="133"/>
      <c r="AF368" s="32"/>
      <c r="AN368" s="152"/>
    </row>
    <row r="369" spans="7:40" ht="13">
      <c r="G369" s="133"/>
      <c r="K369" s="133"/>
      <c r="N369" s="133"/>
      <c r="O369" s="133"/>
      <c r="R369" s="133"/>
      <c r="S369" s="133"/>
      <c r="V369" s="133"/>
      <c r="W369" s="133"/>
      <c r="Z369" s="148"/>
      <c r="AA369" s="133"/>
      <c r="AD369" s="133"/>
      <c r="AE369" s="133"/>
      <c r="AF369" s="32"/>
      <c r="AN369" s="152"/>
    </row>
    <row r="370" spans="7:40" ht="13">
      <c r="G370" s="133"/>
      <c r="K370" s="133"/>
      <c r="N370" s="133"/>
      <c r="O370" s="133"/>
      <c r="R370" s="133"/>
      <c r="S370" s="133"/>
      <c r="V370" s="133"/>
      <c r="W370" s="133"/>
      <c r="Z370" s="148"/>
      <c r="AA370" s="133"/>
      <c r="AD370" s="133"/>
      <c r="AE370" s="133"/>
      <c r="AF370" s="32"/>
      <c r="AN370" s="152"/>
    </row>
    <row r="371" spans="7:40" ht="13">
      <c r="G371" s="133"/>
      <c r="K371" s="133"/>
      <c r="N371" s="133"/>
      <c r="O371" s="133"/>
      <c r="R371" s="133"/>
      <c r="S371" s="133"/>
      <c r="V371" s="133"/>
      <c r="W371" s="133"/>
      <c r="Z371" s="148"/>
      <c r="AA371" s="133"/>
      <c r="AD371" s="133"/>
      <c r="AE371" s="133"/>
      <c r="AF371" s="32"/>
      <c r="AN371" s="152"/>
    </row>
    <row r="372" spans="7:40" ht="13">
      <c r="G372" s="133"/>
      <c r="K372" s="133"/>
      <c r="N372" s="133"/>
      <c r="O372" s="133"/>
      <c r="R372" s="133"/>
      <c r="S372" s="133"/>
      <c r="V372" s="133"/>
      <c r="W372" s="133"/>
      <c r="Z372" s="148"/>
      <c r="AA372" s="133"/>
      <c r="AD372" s="133"/>
      <c r="AE372" s="133"/>
      <c r="AF372" s="32"/>
      <c r="AN372" s="152"/>
    </row>
    <row r="373" spans="7:40" ht="13">
      <c r="G373" s="133"/>
      <c r="K373" s="133"/>
      <c r="N373" s="133"/>
      <c r="O373" s="133"/>
      <c r="R373" s="133"/>
      <c r="S373" s="133"/>
      <c r="V373" s="133"/>
      <c r="W373" s="133"/>
      <c r="Z373" s="148"/>
      <c r="AA373" s="133"/>
      <c r="AD373" s="133"/>
      <c r="AE373" s="133"/>
      <c r="AF373" s="32"/>
      <c r="AN373" s="152"/>
    </row>
    <row r="374" spans="7:40" ht="13">
      <c r="G374" s="133"/>
      <c r="K374" s="133"/>
      <c r="N374" s="133"/>
      <c r="O374" s="133"/>
      <c r="R374" s="133"/>
      <c r="S374" s="133"/>
      <c r="V374" s="133"/>
      <c r="W374" s="133"/>
      <c r="Z374" s="148"/>
      <c r="AA374" s="133"/>
      <c r="AD374" s="133"/>
      <c r="AE374" s="133"/>
      <c r="AF374" s="32"/>
      <c r="AN374" s="152"/>
    </row>
    <row r="375" spans="7:40" ht="13">
      <c r="G375" s="133"/>
      <c r="K375" s="133"/>
      <c r="N375" s="133"/>
      <c r="O375" s="133"/>
      <c r="R375" s="133"/>
      <c r="S375" s="133"/>
      <c r="V375" s="133"/>
      <c r="W375" s="133"/>
      <c r="Z375" s="148"/>
      <c r="AA375" s="133"/>
      <c r="AD375" s="133"/>
      <c r="AE375" s="133"/>
      <c r="AF375" s="32"/>
      <c r="AN375" s="152"/>
    </row>
    <row r="376" spans="7:40" ht="13">
      <c r="G376" s="133"/>
      <c r="K376" s="133"/>
      <c r="N376" s="133"/>
      <c r="O376" s="133"/>
      <c r="R376" s="133"/>
      <c r="S376" s="133"/>
      <c r="V376" s="133"/>
      <c r="W376" s="133"/>
      <c r="Z376" s="148"/>
      <c r="AA376" s="133"/>
      <c r="AD376" s="133"/>
      <c r="AE376" s="133"/>
      <c r="AF376" s="32"/>
      <c r="AN376" s="152"/>
    </row>
    <row r="377" spans="7:40" ht="13">
      <c r="G377" s="133"/>
      <c r="K377" s="133"/>
      <c r="N377" s="133"/>
      <c r="O377" s="133"/>
      <c r="R377" s="133"/>
      <c r="S377" s="133"/>
      <c r="V377" s="133"/>
      <c r="W377" s="133"/>
      <c r="Z377" s="148"/>
      <c r="AA377" s="133"/>
      <c r="AD377" s="133"/>
      <c r="AE377" s="133"/>
      <c r="AF377" s="32"/>
      <c r="AN377" s="152"/>
    </row>
    <row r="378" spans="7:40" ht="13">
      <c r="G378" s="133"/>
      <c r="K378" s="133"/>
      <c r="N378" s="133"/>
      <c r="O378" s="133"/>
      <c r="R378" s="133"/>
      <c r="S378" s="133"/>
      <c r="V378" s="133"/>
      <c r="W378" s="133"/>
      <c r="Z378" s="148"/>
      <c r="AA378" s="133"/>
      <c r="AD378" s="133"/>
      <c r="AE378" s="133"/>
      <c r="AF378" s="32"/>
      <c r="AN378" s="152"/>
    </row>
    <row r="379" spans="7:40" ht="13">
      <c r="G379" s="133"/>
      <c r="K379" s="133"/>
      <c r="N379" s="133"/>
      <c r="O379" s="133"/>
      <c r="R379" s="133"/>
      <c r="S379" s="133"/>
      <c r="V379" s="133"/>
      <c r="W379" s="133"/>
      <c r="Z379" s="148"/>
      <c r="AA379" s="133"/>
      <c r="AD379" s="133"/>
      <c r="AE379" s="133"/>
      <c r="AF379" s="32"/>
      <c r="AN379" s="152"/>
    </row>
    <row r="380" spans="7:40" ht="13">
      <c r="G380" s="133"/>
      <c r="K380" s="133"/>
      <c r="N380" s="133"/>
      <c r="O380" s="133"/>
      <c r="R380" s="133"/>
      <c r="S380" s="133"/>
      <c r="V380" s="133"/>
      <c r="W380" s="133"/>
      <c r="Z380" s="148"/>
      <c r="AA380" s="133"/>
      <c r="AD380" s="133"/>
      <c r="AE380" s="133"/>
      <c r="AF380" s="32"/>
      <c r="AN380" s="152"/>
    </row>
    <row r="381" spans="7:40" ht="13">
      <c r="G381" s="133"/>
      <c r="K381" s="133"/>
      <c r="N381" s="133"/>
      <c r="O381" s="133"/>
      <c r="R381" s="133"/>
      <c r="S381" s="133"/>
      <c r="V381" s="133"/>
      <c r="W381" s="133"/>
      <c r="Z381" s="148"/>
      <c r="AA381" s="133"/>
      <c r="AD381" s="133"/>
      <c r="AE381" s="133"/>
      <c r="AF381" s="32"/>
      <c r="AN381" s="152"/>
    </row>
    <row r="382" spans="7:40" ht="13">
      <c r="G382" s="133"/>
      <c r="K382" s="133"/>
      <c r="N382" s="133"/>
      <c r="O382" s="133"/>
      <c r="R382" s="133"/>
      <c r="S382" s="133"/>
      <c r="V382" s="133"/>
      <c r="W382" s="133"/>
      <c r="Z382" s="148"/>
      <c r="AA382" s="133"/>
      <c r="AD382" s="133"/>
      <c r="AE382" s="133"/>
      <c r="AF382" s="32"/>
      <c r="AN382" s="152"/>
    </row>
    <row r="383" spans="7:40" ht="13">
      <c r="G383" s="133"/>
      <c r="K383" s="133"/>
      <c r="N383" s="133"/>
      <c r="O383" s="133"/>
      <c r="R383" s="133"/>
      <c r="S383" s="133"/>
      <c r="V383" s="133"/>
      <c r="W383" s="133"/>
      <c r="Z383" s="148"/>
      <c r="AA383" s="133"/>
      <c r="AD383" s="133"/>
      <c r="AE383" s="133"/>
      <c r="AF383" s="32"/>
      <c r="AN383" s="152"/>
    </row>
    <row r="384" spans="7:40" ht="13">
      <c r="G384" s="133"/>
      <c r="K384" s="133"/>
      <c r="N384" s="133"/>
      <c r="O384" s="133"/>
      <c r="R384" s="133"/>
      <c r="S384" s="133"/>
      <c r="V384" s="133"/>
      <c r="W384" s="133"/>
      <c r="Z384" s="148"/>
      <c r="AA384" s="133"/>
      <c r="AD384" s="133"/>
      <c r="AE384" s="133"/>
      <c r="AF384" s="32"/>
      <c r="AN384" s="152"/>
    </row>
    <row r="385" spans="7:40" ht="13">
      <c r="G385" s="133"/>
      <c r="K385" s="133"/>
      <c r="N385" s="133"/>
      <c r="O385" s="133"/>
      <c r="R385" s="133"/>
      <c r="S385" s="133"/>
      <c r="V385" s="133"/>
      <c r="W385" s="133"/>
      <c r="Z385" s="148"/>
      <c r="AA385" s="133"/>
      <c r="AD385" s="133"/>
      <c r="AE385" s="133"/>
      <c r="AF385" s="32"/>
      <c r="AN385" s="152"/>
    </row>
    <row r="386" spans="7:40" ht="13">
      <c r="G386" s="133"/>
      <c r="K386" s="133"/>
      <c r="N386" s="133"/>
      <c r="O386" s="133"/>
      <c r="R386" s="133"/>
      <c r="S386" s="133"/>
      <c r="V386" s="133"/>
      <c r="W386" s="133"/>
      <c r="Z386" s="148"/>
      <c r="AA386" s="133"/>
      <c r="AD386" s="133"/>
      <c r="AE386" s="133"/>
      <c r="AF386" s="32"/>
      <c r="AN386" s="152"/>
    </row>
    <row r="387" spans="7:40" ht="13">
      <c r="G387" s="133"/>
      <c r="K387" s="133"/>
      <c r="N387" s="133"/>
      <c r="O387" s="133"/>
      <c r="R387" s="133"/>
      <c r="S387" s="133"/>
      <c r="V387" s="133"/>
      <c r="W387" s="133"/>
      <c r="Z387" s="148"/>
      <c r="AA387" s="133"/>
      <c r="AD387" s="133"/>
      <c r="AE387" s="133"/>
      <c r="AF387" s="32"/>
      <c r="AN387" s="152"/>
    </row>
    <row r="388" spans="7:40" ht="13">
      <c r="G388" s="133"/>
      <c r="K388" s="133"/>
      <c r="N388" s="133"/>
      <c r="O388" s="133"/>
      <c r="R388" s="133"/>
      <c r="S388" s="133"/>
      <c r="V388" s="133"/>
      <c r="W388" s="133"/>
      <c r="Z388" s="148"/>
      <c r="AA388" s="133"/>
      <c r="AD388" s="133"/>
      <c r="AE388" s="133"/>
      <c r="AF388" s="32"/>
      <c r="AN388" s="152"/>
    </row>
    <row r="389" spans="7:40" ht="13">
      <c r="G389" s="133"/>
      <c r="K389" s="133"/>
      <c r="N389" s="133"/>
      <c r="O389" s="133"/>
      <c r="R389" s="133"/>
      <c r="S389" s="133"/>
      <c r="V389" s="133"/>
      <c r="W389" s="133"/>
      <c r="Z389" s="148"/>
      <c r="AA389" s="133"/>
      <c r="AD389" s="133"/>
      <c r="AE389" s="133"/>
      <c r="AF389" s="32"/>
      <c r="AN389" s="152"/>
    </row>
    <row r="390" spans="7:40" ht="13">
      <c r="G390" s="133"/>
      <c r="K390" s="133"/>
      <c r="N390" s="133"/>
      <c r="O390" s="133"/>
      <c r="R390" s="133"/>
      <c r="S390" s="133"/>
      <c r="V390" s="133"/>
      <c r="W390" s="133"/>
      <c r="Z390" s="148"/>
      <c r="AA390" s="133"/>
      <c r="AD390" s="133"/>
      <c r="AE390" s="133"/>
      <c r="AF390" s="32"/>
      <c r="AN390" s="152"/>
    </row>
    <row r="391" spans="7:40" ht="13">
      <c r="G391" s="133"/>
      <c r="K391" s="133"/>
      <c r="N391" s="133"/>
      <c r="O391" s="133"/>
      <c r="R391" s="133"/>
      <c r="S391" s="133"/>
      <c r="V391" s="133"/>
      <c r="W391" s="133"/>
      <c r="Z391" s="148"/>
      <c r="AA391" s="133"/>
      <c r="AD391" s="133"/>
      <c r="AE391" s="133"/>
      <c r="AF391" s="32"/>
      <c r="AN391" s="152"/>
    </row>
    <row r="392" spans="7:40" ht="13">
      <c r="G392" s="133"/>
      <c r="K392" s="133"/>
      <c r="N392" s="133"/>
      <c r="O392" s="133"/>
      <c r="R392" s="133"/>
      <c r="S392" s="133"/>
      <c r="V392" s="133"/>
      <c r="W392" s="133"/>
      <c r="Z392" s="148"/>
      <c r="AA392" s="133"/>
      <c r="AD392" s="133"/>
      <c r="AE392" s="133"/>
      <c r="AF392" s="32"/>
      <c r="AN392" s="152"/>
    </row>
    <row r="393" spans="7:40" ht="13">
      <c r="G393" s="133"/>
      <c r="K393" s="133"/>
      <c r="N393" s="133"/>
      <c r="O393" s="133"/>
      <c r="R393" s="133"/>
      <c r="S393" s="133"/>
      <c r="V393" s="133"/>
      <c r="W393" s="133"/>
      <c r="Z393" s="148"/>
      <c r="AA393" s="133"/>
      <c r="AD393" s="133"/>
      <c r="AE393" s="133"/>
      <c r="AF393" s="32"/>
      <c r="AN393" s="152"/>
    </row>
    <row r="394" spans="7:40" ht="13">
      <c r="G394" s="133"/>
      <c r="K394" s="133"/>
      <c r="N394" s="133"/>
      <c r="O394" s="133"/>
      <c r="R394" s="133"/>
      <c r="S394" s="133"/>
      <c r="V394" s="133"/>
      <c r="W394" s="133"/>
      <c r="Z394" s="148"/>
      <c r="AA394" s="133"/>
      <c r="AD394" s="133"/>
      <c r="AE394" s="133"/>
      <c r="AF394" s="32"/>
      <c r="AN394" s="152"/>
    </row>
    <row r="395" spans="7:40" ht="13">
      <c r="G395" s="133"/>
      <c r="K395" s="133"/>
      <c r="N395" s="133"/>
      <c r="O395" s="133"/>
      <c r="R395" s="133"/>
      <c r="S395" s="133"/>
      <c r="V395" s="133"/>
      <c r="W395" s="133"/>
      <c r="Z395" s="148"/>
      <c r="AA395" s="133"/>
      <c r="AD395" s="133"/>
      <c r="AE395" s="133"/>
      <c r="AF395" s="32"/>
      <c r="AN395" s="152"/>
    </row>
    <row r="396" spans="7:40" ht="13">
      <c r="G396" s="133"/>
      <c r="K396" s="133"/>
      <c r="N396" s="133"/>
      <c r="O396" s="133"/>
      <c r="R396" s="133"/>
      <c r="S396" s="133"/>
      <c r="V396" s="133"/>
      <c r="W396" s="133"/>
      <c r="Z396" s="148"/>
      <c r="AA396" s="133"/>
      <c r="AD396" s="133"/>
      <c r="AE396" s="133"/>
      <c r="AF396" s="32"/>
      <c r="AN396" s="152"/>
    </row>
    <row r="397" spans="7:40" ht="13">
      <c r="G397" s="133"/>
      <c r="K397" s="133"/>
      <c r="N397" s="133"/>
      <c r="O397" s="133"/>
      <c r="R397" s="133"/>
      <c r="S397" s="133"/>
      <c r="V397" s="133"/>
      <c r="W397" s="133"/>
      <c r="Z397" s="148"/>
      <c r="AA397" s="133"/>
      <c r="AD397" s="133"/>
      <c r="AE397" s="133"/>
      <c r="AF397" s="32"/>
      <c r="AN397" s="152"/>
    </row>
    <row r="398" spans="7:40" ht="13">
      <c r="G398" s="133"/>
      <c r="K398" s="133"/>
      <c r="N398" s="133"/>
      <c r="O398" s="133"/>
      <c r="R398" s="133"/>
      <c r="S398" s="133"/>
      <c r="V398" s="133"/>
      <c r="W398" s="133"/>
      <c r="Z398" s="148"/>
      <c r="AA398" s="133"/>
      <c r="AD398" s="133"/>
      <c r="AE398" s="133"/>
      <c r="AF398" s="32"/>
      <c r="AN398" s="152"/>
    </row>
    <row r="399" spans="7:40" ht="13">
      <c r="G399" s="133"/>
      <c r="K399" s="133"/>
      <c r="N399" s="133"/>
      <c r="O399" s="133"/>
      <c r="R399" s="133"/>
      <c r="S399" s="133"/>
      <c r="V399" s="133"/>
      <c r="W399" s="133"/>
      <c r="Z399" s="148"/>
      <c r="AA399" s="133"/>
      <c r="AD399" s="133"/>
      <c r="AE399" s="133"/>
      <c r="AF399" s="32"/>
      <c r="AN399" s="152"/>
    </row>
    <row r="400" spans="7:40" ht="13">
      <c r="G400" s="133"/>
      <c r="K400" s="133"/>
      <c r="N400" s="133"/>
      <c r="O400" s="133"/>
      <c r="R400" s="133"/>
      <c r="S400" s="133"/>
      <c r="V400" s="133"/>
      <c r="W400" s="133"/>
      <c r="Z400" s="148"/>
      <c r="AA400" s="133"/>
      <c r="AD400" s="133"/>
      <c r="AE400" s="133"/>
      <c r="AF400" s="32"/>
      <c r="AN400" s="152"/>
    </row>
    <row r="401" spans="7:40" ht="13">
      <c r="G401" s="133"/>
      <c r="K401" s="133"/>
      <c r="N401" s="133"/>
      <c r="O401" s="133"/>
      <c r="R401" s="133"/>
      <c r="S401" s="133"/>
      <c r="V401" s="133"/>
      <c r="W401" s="133"/>
      <c r="Z401" s="148"/>
      <c r="AA401" s="133"/>
      <c r="AD401" s="133"/>
      <c r="AE401" s="133"/>
      <c r="AF401" s="32"/>
      <c r="AN401" s="152"/>
    </row>
    <row r="402" spans="7:40" ht="13">
      <c r="G402" s="133"/>
      <c r="K402" s="133"/>
      <c r="N402" s="133"/>
      <c r="O402" s="133"/>
      <c r="R402" s="133"/>
      <c r="S402" s="133"/>
      <c r="V402" s="133"/>
      <c r="W402" s="133"/>
      <c r="Z402" s="148"/>
      <c r="AA402" s="133"/>
      <c r="AD402" s="133"/>
      <c r="AE402" s="133"/>
      <c r="AF402" s="32"/>
      <c r="AN402" s="152"/>
    </row>
    <row r="403" spans="7:40" ht="13">
      <c r="G403" s="133"/>
      <c r="K403" s="133"/>
      <c r="N403" s="133"/>
      <c r="O403" s="133"/>
      <c r="R403" s="133"/>
      <c r="S403" s="133"/>
      <c r="V403" s="133"/>
      <c r="W403" s="133"/>
      <c r="Z403" s="148"/>
      <c r="AA403" s="133"/>
      <c r="AD403" s="133"/>
      <c r="AE403" s="133"/>
      <c r="AF403" s="32"/>
      <c r="AN403" s="152"/>
    </row>
    <row r="404" spans="7:40" ht="13">
      <c r="G404" s="133"/>
      <c r="K404" s="133"/>
      <c r="N404" s="133"/>
      <c r="O404" s="133"/>
      <c r="R404" s="133"/>
      <c r="S404" s="133"/>
      <c r="V404" s="133"/>
      <c r="W404" s="133"/>
      <c r="Z404" s="148"/>
      <c r="AA404" s="133"/>
      <c r="AD404" s="133"/>
      <c r="AE404" s="133"/>
      <c r="AF404" s="32"/>
      <c r="AN404" s="152"/>
    </row>
    <row r="405" spans="7:40" ht="13">
      <c r="G405" s="133"/>
      <c r="K405" s="133"/>
      <c r="N405" s="133"/>
      <c r="O405" s="133"/>
      <c r="R405" s="133"/>
      <c r="S405" s="133"/>
      <c r="V405" s="133"/>
      <c r="W405" s="133"/>
      <c r="Z405" s="148"/>
      <c r="AA405" s="133"/>
      <c r="AD405" s="133"/>
      <c r="AE405" s="133"/>
      <c r="AF405" s="32"/>
      <c r="AN405" s="152"/>
    </row>
    <row r="406" spans="7:40" ht="13">
      <c r="G406" s="133"/>
      <c r="K406" s="133"/>
      <c r="N406" s="133"/>
      <c r="O406" s="133"/>
      <c r="R406" s="133"/>
      <c r="S406" s="133"/>
      <c r="V406" s="133"/>
      <c r="W406" s="133"/>
      <c r="Z406" s="148"/>
      <c r="AA406" s="133"/>
      <c r="AD406" s="133"/>
      <c r="AE406" s="133"/>
      <c r="AF406" s="32"/>
      <c r="AN406" s="152"/>
    </row>
    <row r="407" spans="7:40" ht="13">
      <c r="G407" s="133"/>
      <c r="K407" s="133"/>
      <c r="N407" s="133"/>
      <c r="O407" s="133"/>
      <c r="R407" s="133"/>
      <c r="S407" s="133"/>
      <c r="V407" s="133"/>
      <c r="W407" s="133"/>
      <c r="Z407" s="148"/>
      <c r="AA407" s="133"/>
      <c r="AD407" s="133"/>
      <c r="AE407" s="133"/>
      <c r="AF407" s="32"/>
      <c r="AN407" s="152"/>
    </row>
    <row r="408" spans="7:40" ht="13">
      <c r="G408" s="133"/>
      <c r="K408" s="133"/>
      <c r="N408" s="133"/>
      <c r="O408" s="133"/>
      <c r="R408" s="133"/>
      <c r="S408" s="133"/>
      <c r="V408" s="133"/>
      <c r="W408" s="133"/>
      <c r="Z408" s="148"/>
      <c r="AA408" s="133"/>
      <c r="AD408" s="133"/>
      <c r="AE408" s="133"/>
      <c r="AF408" s="32"/>
      <c r="AN408" s="152"/>
    </row>
    <row r="409" spans="7:40" ht="13">
      <c r="G409" s="133"/>
      <c r="K409" s="133"/>
      <c r="N409" s="133"/>
      <c r="O409" s="133"/>
      <c r="R409" s="133"/>
      <c r="S409" s="133"/>
      <c r="V409" s="133"/>
      <c r="W409" s="133"/>
      <c r="Z409" s="148"/>
      <c r="AA409" s="133"/>
      <c r="AD409" s="133"/>
      <c r="AE409" s="133"/>
      <c r="AF409" s="32"/>
      <c r="AN409" s="152"/>
    </row>
    <row r="410" spans="7:40" ht="13">
      <c r="G410" s="133"/>
      <c r="K410" s="133"/>
      <c r="N410" s="133"/>
      <c r="O410" s="133"/>
      <c r="R410" s="133"/>
      <c r="S410" s="133"/>
      <c r="V410" s="133"/>
      <c r="W410" s="133"/>
      <c r="Z410" s="148"/>
      <c r="AA410" s="133"/>
      <c r="AD410" s="133"/>
      <c r="AE410" s="133"/>
      <c r="AF410" s="32"/>
      <c r="AN410" s="152"/>
    </row>
    <row r="411" spans="7:40" ht="13">
      <c r="G411" s="133"/>
      <c r="K411" s="133"/>
      <c r="N411" s="133"/>
      <c r="O411" s="133"/>
      <c r="R411" s="133"/>
      <c r="S411" s="133"/>
      <c r="V411" s="133"/>
      <c r="W411" s="133"/>
      <c r="Z411" s="148"/>
      <c r="AA411" s="133"/>
      <c r="AD411" s="133"/>
      <c r="AE411" s="133"/>
      <c r="AF411" s="32"/>
      <c r="AN411" s="152"/>
    </row>
    <row r="412" spans="7:40" ht="13">
      <c r="G412" s="133"/>
      <c r="K412" s="133"/>
      <c r="N412" s="133"/>
      <c r="O412" s="133"/>
      <c r="R412" s="133"/>
      <c r="S412" s="133"/>
      <c r="V412" s="133"/>
      <c r="W412" s="133"/>
      <c r="Z412" s="148"/>
      <c r="AA412" s="133"/>
      <c r="AD412" s="133"/>
      <c r="AE412" s="133"/>
      <c r="AF412" s="32"/>
      <c r="AN412" s="152"/>
    </row>
    <row r="413" spans="7:40" ht="13">
      <c r="G413" s="133"/>
      <c r="K413" s="133"/>
      <c r="N413" s="133"/>
      <c r="O413" s="133"/>
      <c r="R413" s="133"/>
      <c r="S413" s="133"/>
      <c r="V413" s="133"/>
      <c r="W413" s="133"/>
      <c r="Z413" s="148"/>
      <c r="AA413" s="133"/>
      <c r="AD413" s="133"/>
      <c r="AE413" s="133"/>
      <c r="AF413" s="32"/>
      <c r="AN413" s="152"/>
    </row>
    <row r="414" spans="7:40" ht="13">
      <c r="G414" s="133"/>
      <c r="K414" s="133"/>
      <c r="N414" s="133"/>
      <c r="O414" s="133"/>
      <c r="R414" s="133"/>
      <c r="S414" s="133"/>
      <c r="V414" s="133"/>
      <c r="W414" s="133"/>
      <c r="Z414" s="148"/>
      <c r="AA414" s="133"/>
      <c r="AD414" s="133"/>
      <c r="AE414" s="133"/>
      <c r="AF414" s="32"/>
      <c r="AN414" s="152"/>
    </row>
    <row r="415" spans="7:40" ht="13">
      <c r="G415" s="133"/>
      <c r="K415" s="133"/>
      <c r="N415" s="133"/>
      <c r="O415" s="133"/>
      <c r="R415" s="133"/>
      <c r="S415" s="133"/>
      <c r="V415" s="133"/>
      <c r="W415" s="133"/>
      <c r="Z415" s="148"/>
      <c r="AA415" s="133"/>
      <c r="AD415" s="133"/>
      <c r="AE415" s="133"/>
      <c r="AF415" s="32"/>
      <c r="AN415" s="152"/>
    </row>
    <row r="416" spans="7:40" ht="13">
      <c r="G416" s="133"/>
      <c r="K416" s="133"/>
      <c r="N416" s="133"/>
      <c r="O416" s="133"/>
      <c r="R416" s="133"/>
      <c r="S416" s="133"/>
      <c r="V416" s="133"/>
      <c r="W416" s="133"/>
      <c r="Z416" s="148"/>
      <c r="AA416" s="133"/>
      <c r="AD416" s="133"/>
      <c r="AE416" s="133"/>
      <c r="AF416" s="32"/>
      <c r="AN416" s="152"/>
    </row>
    <row r="417" spans="7:40" ht="13">
      <c r="G417" s="133"/>
      <c r="K417" s="133"/>
      <c r="N417" s="133"/>
      <c r="O417" s="133"/>
      <c r="R417" s="133"/>
      <c r="S417" s="133"/>
      <c r="V417" s="133"/>
      <c r="W417" s="133"/>
      <c r="Z417" s="148"/>
      <c r="AA417" s="133"/>
      <c r="AD417" s="133"/>
      <c r="AE417" s="133"/>
      <c r="AF417" s="32"/>
      <c r="AN417" s="152"/>
    </row>
    <row r="418" spans="7:40" ht="13">
      <c r="G418" s="133"/>
      <c r="K418" s="133"/>
      <c r="N418" s="133"/>
      <c r="O418" s="133"/>
      <c r="R418" s="133"/>
      <c r="S418" s="133"/>
      <c r="V418" s="133"/>
      <c r="W418" s="133"/>
      <c r="Z418" s="148"/>
      <c r="AA418" s="133"/>
      <c r="AD418" s="133"/>
      <c r="AE418" s="133"/>
      <c r="AF418" s="32"/>
      <c r="AN418" s="152"/>
    </row>
    <row r="419" spans="7:40" ht="13">
      <c r="G419" s="133"/>
      <c r="K419" s="133"/>
      <c r="N419" s="133"/>
      <c r="O419" s="133"/>
      <c r="R419" s="133"/>
      <c r="S419" s="133"/>
      <c r="V419" s="133"/>
      <c r="W419" s="133"/>
      <c r="Z419" s="148"/>
      <c r="AA419" s="133"/>
      <c r="AD419" s="133"/>
      <c r="AE419" s="133"/>
      <c r="AF419" s="32"/>
      <c r="AN419" s="152"/>
    </row>
    <row r="420" spans="7:40" ht="13">
      <c r="G420" s="133"/>
      <c r="K420" s="133"/>
      <c r="N420" s="133"/>
      <c r="O420" s="133"/>
      <c r="R420" s="133"/>
      <c r="S420" s="133"/>
      <c r="V420" s="133"/>
      <c r="W420" s="133"/>
      <c r="Z420" s="148"/>
      <c r="AA420" s="133"/>
      <c r="AD420" s="133"/>
      <c r="AE420" s="133"/>
      <c r="AF420" s="32"/>
      <c r="AN420" s="152"/>
    </row>
    <row r="421" spans="7:40" ht="13">
      <c r="G421" s="133"/>
      <c r="K421" s="133"/>
      <c r="N421" s="133"/>
      <c r="O421" s="133"/>
      <c r="R421" s="133"/>
      <c r="S421" s="133"/>
      <c r="V421" s="133"/>
      <c r="W421" s="133"/>
      <c r="Z421" s="148"/>
      <c r="AA421" s="133"/>
      <c r="AD421" s="133"/>
      <c r="AE421" s="133"/>
      <c r="AF421" s="32"/>
      <c r="AN421" s="152"/>
    </row>
    <row r="422" spans="7:40" ht="13">
      <c r="G422" s="133"/>
      <c r="K422" s="133"/>
      <c r="N422" s="133"/>
      <c r="O422" s="133"/>
      <c r="R422" s="133"/>
      <c r="S422" s="133"/>
      <c r="V422" s="133"/>
      <c r="W422" s="133"/>
      <c r="Z422" s="148"/>
      <c r="AA422" s="133"/>
      <c r="AD422" s="133"/>
      <c r="AE422" s="133"/>
      <c r="AF422" s="32"/>
      <c r="AN422" s="152"/>
    </row>
    <row r="423" spans="7:40" ht="13">
      <c r="G423" s="133"/>
      <c r="K423" s="133"/>
      <c r="N423" s="133"/>
      <c r="O423" s="133"/>
      <c r="R423" s="133"/>
      <c r="S423" s="133"/>
      <c r="V423" s="133"/>
      <c r="W423" s="133"/>
      <c r="Z423" s="148"/>
      <c r="AA423" s="133"/>
      <c r="AD423" s="133"/>
      <c r="AE423" s="133"/>
      <c r="AF423" s="32"/>
      <c r="AN423" s="152"/>
    </row>
    <row r="424" spans="7:40" ht="13">
      <c r="G424" s="133"/>
      <c r="K424" s="133"/>
      <c r="N424" s="133"/>
      <c r="O424" s="133"/>
      <c r="R424" s="133"/>
      <c r="S424" s="133"/>
      <c r="V424" s="133"/>
      <c r="W424" s="133"/>
      <c r="Z424" s="148"/>
      <c r="AA424" s="133"/>
      <c r="AD424" s="133"/>
      <c r="AE424" s="133"/>
      <c r="AF424" s="32"/>
      <c r="AN424" s="152"/>
    </row>
    <row r="425" spans="7:40" ht="13">
      <c r="G425" s="133"/>
      <c r="K425" s="133"/>
      <c r="N425" s="133"/>
      <c r="O425" s="133"/>
      <c r="R425" s="133"/>
      <c r="S425" s="133"/>
      <c r="V425" s="133"/>
      <c r="W425" s="133"/>
      <c r="Z425" s="148"/>
      <c r="AA425" s="133"/>
      <c r="AD425" s="133"/>
      <c r="AE425" s="133"/>
      <c r="AF425" s="32"/>
      <c r="AN425" s="152"/>
    </row>
    <row r="426" spans="7:40" ht="13">
      <c r="G426" s="133"/>
      <c r="K426" s="133"/>
      <c r="N426" s="133"/>
      <c r="O426" s="133"/>
      <c r="R426" s="133"/>
      <c r="S426" s="133"/>
      <c r="V426" s="133"/>
      <c r="W426" s="133"/>
      <c r="Z426" s="148"/>
      <c r="AA426" s="133"/>
      <c r="AD426" s="133"/>
      <c r="AE426" s="133"/>
      <c r="AF426" s="32"/>
      <c r="AN426" s="152"/>
    </row>
    <row r="427" spans="7:40" ht="13">
      <c r="G427" s="133"/>
      <c r="K427" s="133"/>
      <c r="N427" s="133"/>
      <c r="O427" s="133"/>
      <c r="R427" s="133"/>
      <c r="S427" s="133"/>
      <c r="V427" s="133"/>
      <c r="W427" s="133"/>
      <c r="Z427" s="148"/>
      <c r="AA427" s="133"/>
      <c r="AD427" s="133"/>
      <c r="AE427" s="133"/>
      <c r="AF427" s="32"/>
      <c r="AN427" s="152"/>
    </row>
    <row r="428" spans="7:40" ht="13">
      <c r="G428" s="133"/>
      <c r="K428" s="133"/>
      <c r="N428" s="133"/>
      <c r="O428" s="133"/>
      <c r="R428" s="133"/>
      <c r="S428" s="133"/>
      <c r="V428" s="133"/>
      <c r="W428" s="133"/>
      <c r="Z428" s="148"/>
      <c r="AA428" s="133"/>
      <c r="AD428" s="133"/>
      <c r="AE428" s="133"/>
      <c r="AF428" s="32"/>
      <c r="AN428" s="152"/>
    </row>
    <row r="429" spans="7:40" ht="13">
      <c r="G429" s="133"/>
      <c r="K429" s="133"/>
      <c r="N429" s="133"/>
      <c r="O429" s="133"/>
      <c r="R429" s="133"/>
      <c r="S429" s="133"/>
      <c r="V429" s="133"/>
      <c r="W429" s="133"/>
      <c r="Z429" s="148"/>
      <c r="AA429" s="133"/>
      <c r="AD429" s="133"/>
      <c r="AE429" s="133"/>
      <c r="AF429" s="32"/>
      <c r="AN429" s="152"/>
    </row>
    <row r="430" spans="7:40" ht="13">
      <c r="G430" s="133"/>
      <c r="K430" s="133"/>
      <c r="N430" s="133"/>
      <c r="O430" s="133"/>
      <c r="R430" s="133"/>
      <c r="S430" s="133"/>
      <c r="V430" s="133"/>
      <c r="W430" s="133"/>
      <c r="Z430" s="148"/>
      <c r="AA430" s="133"/>
      <c r="AD430" s="133"/>
      <c r="AE430" s="133"/>
      <c r="AF430" s="32"/>
      <c r="AN430" s="152"/>
    </row>
    <row r="431" spans="7:40" ht="13">
      <c r="G431" s="133"/>
      <c r="K431" s="133"/>
      <c r="N431" s="133"/>
      <c r="O431" s="133"/>
      <c r="R431" s="133"/>
      <c r="S431" s="133"/>
      <c r="V431" s="133"/>
      <c r="W431" s="133"/>
      <c r="Z431" s="148"/>
      <c r="AA431" s="133"/>
      <c r="AD431" s="133"/>
      <c r="AE431" s="133"/>
      <c r="AF431" s="32"/>
      <c r="AN431" s="152"/>
    </row>
    <row r="432" spans="7:40" ht="13">
      <c r="G432" s="133"/>
      <c r="K432" s="133"/>
      <c r="N432" s="133"/>
      <c r="O432" s="133"/>
      <c r="R432" s="133"/>
      <c r="S432" s="133"/>
      <c r="V432" s="133"/>
      <c r="W432" s="133"/>
      <c r="Z432" s="148"/>
      <c r="AA432" s="133"/>
      <c r="AD432" s="133"/>
      <c r="AE432" s="133"/>
      <c r="AF432" s="32"/>
      <c r="AN432" s="152"/>
    </row>
    <row r="433" spans="7:40" ht="13">
      <c r="G433" s="133"/>
      <c r="K433" s="133"/>
      <c r="N433" s="133"/>
      <c r="O433" s="133"/>
      <c r="R433" s="133"/>
      <c r="S433" s="133"/>
      <c r="V433" s="133"/>
      <c r="W433" s="133"/>
      <c r="Z433" s="148"/>
      <c r="AA433" s="133"/>
      <c r="AD433" s="133"/>
      <c r="AE433" s="133"/>
      <c r="AF433" s="32"/>
      <c r="AN433" s="152"/>
    </row>
    <row r="434" spans="7:40" ht="13">
      <c r="G434" s="133"/>
      <c r="K434" s="133"/>
      <c r="N434" s="133"/>
      <c r="O434" s="133"/>
      <c r="R434" s="133"/>
      <c r="S434" s="133"/>
      <c r="V434" s="133"/>
      <c r="W434" s="133"/>
      <c r="Z434" s="148"/>
      <c r="AA434" s="133"/>
      <c r="AD434" s="133"/>
      <c r="AE434" s="133"/>
      <c r="AF434" s="32"/>
      <c r="AN434" s="152"/>
    </row>
    <row r="435" spans="7:40" ht="13">
      <c r="G435" s="133"/>
      <c r="K435" s="133"/>
      <c r="N435" s="133"/>
      <c r="O435" s="133"/>
      <c r="R435" s="133"/>
      <c r="S435" s="133"/>
      <c r="V435" s="133"/>
      <c r="W435" s="133"/>
      <c r="Z435" s="148"/>
      <c r="AA435" s="133"/>
      <c r="AD435" s="133"/>
      <c r="AE435" s="133"/>
      <c r="AF435" s="32"/>
      <c r="AN435" s="152"/>
    </row>
    <row r="436" spans="7:40" ht="13">
      <c r="G436" s="133"/>
      <c r="K436" s="133"/>
      <c r="N436" s="133"/>
      <c r="O436" s="133"/>
      <c r="R436" s="133"/>
      <c r="S436" s="133"/>
      <c r="V436" s="133"/>
      <c r="W436" s="133"/>
      <c r="Z436" s="148"/>
      <c r="AA436" s="133"/>
      <c r="AD436" s="133"/>
      <c r="AE436" s="133"/>
      <c r="AF436" s="32"/>
      <c r="AN436" s="152"/>
    </row>
    <row r="437" spans="7:40" ht="13">
      <c r="G437" s="133"/>
      <c r="K437" s="133"/>
      <c r="N437" s="133"/>
      <c r="O437" s="133"/>
      <c r="R437" s="133"/>
      <c r="S437" s="133"/>
      <c r="V437" s="133"/>
      <c r="W437" s="133"/>
      <c r="Z437" s="148"/>
      <c r="AA437" s="133"/>
      <c r="AD437" s="133"/>
      <c r="AE437" s="133"/>
      <c r="AF437" s="32"/>
      <c r="AN437" s="152"/>
    </row>
    <row r="438" spans="7:40" ht="13">
      <c r="G438" s="133"/>
      <c r="K438" s="133"/>
      <c r="N438" s="133"/>
      <c r="O438" s="133"/>
      <c r="R438" s="133"/>
      <c r="S438" s="133"/>
      <c r="V438" s="133"/>
      <c r="W438" s="133"/>
      <c r="Z438" s="148"/>
      <c r="AA438" s="133"/>
      <c r="AD438" s="133"/>
      <c r="AE438" s="133"/>
      <c r="AF438" s="32"/>
      <c r="AN438" s="152"/>
    </row>
    <row r="439" spans="7:40" ht="13">
      <c r="G439" s="133"/>
      <c r="K439" s="133"/>
      <c r="N439" s="133"/>
      <c r="O439" s="133"/>
      <c r="R439" s="133"/>
      <c r="S439" s="133"/>
      <c r="V439" s="133"/>
      <c r="W439" s="133"/>
      <c r="Z439" s="148"/>
      <c r="AA439" s="133"/>
      <c r="AD439" s="133"/>
      <c r="AE439" s="133"/>
      <c r="AF439" s="32"/>
      <c r="AN439" s="152"/>
    </row>
    <row r="440" spans="7:40" ht="13">
      <c r="G440" s="133"/>
      <c r="K440" s="133"/>
      <c r="N440" s="133"/>
      <c r="O440" s="133"/>
      <c r="R440" s="133"/>
      <c r="S440" s="133"/>
      <c r="V440" s="133"/>
      <c r="W440" s="133"/>
      <c r="Z440" s="148"/>
      <c r="AA440" s="133"/>
      <c r="AD440" s="133"/>
      <c r="AE440" s="133"/>
      <c r="AF440" s="32"/>
      <c r="AN440" s="152"/>
    </row>
    <row r="441" spans="7:40" ht="13">
      <c r="G441" s="133"/>
      <c r="K441" s="133"/>
      <c r="N441" s="133"/>
      <c r="O441" s="133"/>
      <c r="R441" s="133"/>
      <c r="S441" s="133"/>
      <c r="V441" s="133"/>
      <c r="W441" s="133"/>
      <c r="Z441" s="148"/>
      <c r="AA441" s="133"/>
      <c r="AD441" s="133"/>
      <c r="AE441" s="133"/>
      <c r="AF441" s="32"/>
      <c r="AN441" s="152"/>
    </row>
    <row r="442" spans="7:40" ht="13">
      <c r="G442" s="133"/>
      <c r="K442" s="133"/>
      <c r="N442" s="133"/>
      <c r="O442" s="133"/>
      <c r="R442" s="133"/>
      <c r="S442" s="133"/>
      <c r="V442" s="133"/>
      <c r="W442" s="133"/>
      <c r="Z442" s="148"/>
      <c r="AA442" s="133"/>
      <c r="AD442" s="133"/>
      <c r="AE442" s="133"/>
      <c r="AF442" s="32"/>
      <c r="AN442" s="152"/>
    </row>
    <row r="443" spans="7:40" ht="13">
      <c r="G443" s="133"/>
      <c r="K443" s="133"/>
      <c r="N443" s="133"/>
      <c r="O443" s="133"/>
      <c r="R443" s="133"/>
      <c r="S443" s="133"/>
      <c r="V443" s="133"/>
      <c r="W443" s="133"/>
      <c r="Z443" s="148"/>
      <c r="AA443" s="133"/>
      <c r="AD443" s="133"/>
      <c r="AE443" s="133"/>
      <c r="AF443" s="32"/>
      <c r="AN443" s="152"/>
    </row>
    <row r="444" spans="7:40" ht="13">
      <c r="G444" s="133"/>
      <c r="K444" s="133"/>
      <c r="N444" s="133"/>
      <c r="O444" s="133"/>
      <c r="R444" s="133"/>
      <c r="S444" s="133"/>
      <c r="V444" s="133"/>
      <c r="W444" s="133"/>
      <c r="Z444" s="148"/>
      <c r="AA444" s="133"/>
      <c r="AD444" s="133"/>
      <c r="AE444" s="133"/>
      <c r="AF444" s="32"/>
      <c r="AN444" s="152"/>
    </row>
    <row r="445" spans="7:40" ht="13">
      <c r="G445" s="133"/>
      <c r="K445" s="133"/>
      <c r="N445" s="133"/>
      <c r="O445" s="133"/>
      <c r="R445" s="133"/>
      <c r="S445" s="133"/>
      <c r="V445" s="133"/>
      <c r="W445" s="133"/>
      <c r="Z445" s="148"/>
      <c r="AA445" s="133"/>
      <c r="AD445" s="133"/>
      <c r="AE445" s="133"/>
      <c r="AF445" s="32"/>
      <c r="AN445" s="152"/>
    </row>
    <row r="446" spans="7:40" ht="13">
      <c r="G446" s="133"/>
      <c r="K446" s="133"/>
      <c r="N446" s="133"/>
      <c r="O446" s="133"/>
      <c r="R446" s="133"/>
      <c r="S446" s="133"/>
      <c r="V446" s="133"/>
      <c r="W446" s="133"/>
      <c r="Z446" s="148"/>
      <c r="AA446" s="133"/>
      <c r="AD446" s="133"/>
      <c r="AE446" s="133"/>
      <c r="AF446" s="32"/>
      <c r="AN446" s="152"/>
    </row>
    <row r="447" spans="7:40" ht="13">
      <c r="G447" s="133"/>
      <c r="K447" s="133"/>
      <c r="N447" s="133"/>
      <c r="O447" s="133"/>
      <c r="R447" s="133"/>
      <c r="S447" s="133"/>
      <c r="V447" s="133"/>
      <c r="W447" s="133"/>
      <c r="Z447" s="148"/>
      <c r="AA447" s="133"/>
      <c r="AD447" s="133"/>
      <c r="AE447" s="133"/>
      <c r="AF447" s="32"/>
      <c r="AN447" s="152"/>
    </row>
    <row r="448" spans="7:40" ht="13">
      <c r="G448" s="133"/>
      <c r="K448" s="133"/>
      <c r="N448" s="133"/>
      <c r="O448" s="133"/>
      <c r="R448" s="133"/>
      <c r="S448" s="133"/>
      <c r="V448" s="133"/>
      <c r="W448" s="133"/>
      <c r="Z448" s="148"/>
      <c r="AA448" s="133"/>
      <c r="AD448" s="133"/>
      <c r="AE448" s="133"/>
      <c r="AF448" s="32"/>
      <c r="AN448" s="152"/>
    </row>
    <row r="449" spans="7:40" ht="13">
      <c r="G449" s="133"/>
      <c r="K449" s="133"/>
      <c r="N449" s="133"/>
      <c r="O449" s="133"/>
      <c r="R449" s="133"/>
      <c r="S449" s="133"/>
      <c r="V449" s="133"/>
      <c r="W449" s="133"/>
      <c r="Z449" s="148"/>
      <c r="AA449" s="133"/>
      <c r="AD449" s="133"/>
      <c r="AE449" s="133"/>
      <c r="AF449" s="32"/>
      <c r="AN449" s="152"/>
    </row>
    <row r="450" spans="7:40" ht="13">
      <c r="G450" s="133"/>
      <c r="K450" s="133"/>
      <c r="N450" s="133"/>
      <c r="O450" s="133"/>
      <c r="R450" s="133"/>
      <c r="S450" s="133"/>
      <c r="V450" s="133"/>
      <c r="W450" s="133"/>
      <c r="Z450" s="148"/>
      <c r="AA450" s="133"/>
      <c r="AD450" s="133"/>
      <c r="AE450" s="133"/>
      <c r="AF450" s="32"/>
      <c r="AN450" s="152"/>
    </row>
    <row r="451" spans="7:40" ht="13">
      <c r="G451" s="133"/>
      <c r="K451" s="133"/>
      <c r="N451" s="133"/>
      <c r="O451" s="133"/>
      <c r="R451" s="133"/>
      <c r="S451" s="133"/>
      <c r="V451" s="133"/>
      <c r="W451" s="133"/>
      <c r="Z451" s="148"/>
      <c r="AA451" s="133"/>
      <c r="AD451" s="133"/>
      <c r="AE451" s="133"/>
      <c r="AF451" s="32"/>
      <c r="AN451" s="152"/>
    </row>
    <row r="452" spans="7:40" ht="13">
      <c r="G452" s="133"/>
      <c r="K452" s="133"/>
      <c r="N452" s="133"/>
      <c r="O452" s="133"/>
      <c r="R452" s="133"/>
      <c r="S452" s="133"/>
      <c r="V452" s="133"/>
      <c r="W452" s="133"/>
      <c r="Z452" s="148"/>
      <c r="AA452" s="133"/>
      <c r="AD452" s="133"/>
      <c r="AE452" s="133"/>
      <c r="AF452" s="32"/>
      <c r="AN452" s="152"/>
    </row>
    <row r="453" spans="7:40" ht="13">
      <c r="G453" s="133"/>
      <c r="K453" s="133"/>
      <c r="N453" s="133"/>
      <c r="O453" s="133"/>
      <c r="R453" s="133"/>
      <c r="S453" s="133"/>
      <c r="V453" s="133"/>
      <c r="W453" s="133"/>
      <c r="Z453" s="148"/>
      <c r="AA453" s="133"/>
      <c r="AD453" s="133"/>
      <c r="AE453" s="133"/>
      <c r="AF453" s="32"/>
      <c r="AN453" s="152"/>
    </row>
    <row r="454" spans="7:40" ht="13">
      <c r="G454" s="133"/>
      <c r="K454" s="133"/>
      <c r="N454" s="133"/>
      <c r="O454" s="133"/>
      <c r="R454" s="133"/>
      <c r="S454" s="133"/>
      <c r="V454" s="133"/>
      <c r="W454" s="133"/>
      <c r="Z454" s="148"/>
      <c r="AA454" s="133"/>
      <c r="AD454" s="133"/>
      <c r="AE454" s="133"/>
      <c r="AF454" s="32"/>
      <c r="AN454" s="152"/>
    </row>
    <row r="455" spans="7:40" ht="13">
      <c r="G455" s="133"/>
      <c r="K455" s="133"/>
      <c r="N455" s="133"/>
      <c r="O455" s="133"/>
      <c r="R455" s="133"/>
      <c r="S455" s="133"/>
      <c r="V455" s="133"/>
      <c r="W455" s="133"/>
      <c r="Z455" s="148"/>
      <c r="AA455" s="133"/>
      <c r="AD455" s="133"/>
      <c r="AE455" s="133"/>
      <c r="AF455" s="32"/>
      <c r="AN455" s="152"/>
    </row>
    <row r="456" spans="7:40" ht="13">
      <c r="G456" s="133"/>
      <c r="K456" s="133"/>
      <c r="N456" s="133"/>
      <c r="O456" s="133"/>
      <c r="R456" s="133"/>
      <c r="S456" s="133"/>
      <c r="V456" s="133"/>
      <c r="W456" s="133"/>
      <c r="Z456" s="148"/>
      <c r="AA456" s="133"/>
      <c r="AD456" s="133"/>
      <c r="AE456" s="133"/>
      <c r="AF456" s="32"/>
      <c r="AN456" s="152"/>
    </row>
    <row r="457" spans="7:40" ht="13">
      <c r="G457" s="133"/>
      <c r="K457" s="133"/>
      <c r="N457" s="133"/>
      <c r="O457" s="133"/>
      <c r="R457" s="133"/>
      <c r="S457" s="133"/>
      <c r="V457" s="133"/>
      <c r="W457" s="133"/>
      <c r="Z457" s="148"/>
      <c r="AA457" s="133"/>
      <c r="AD457" s="133"/>
      <c r="AE457" s="133"/>
      <c r="AF457" s="32"/>
      <c r="AN457" s="152"/>
    </row>
    <row r="458" spans="7:40" ht="13">
      <c r="G458" s="133"/>
      <c r="K458" s="133"/>
      <c r="N458" s="133"/>
      <c r="O458" s="133"/>
      <c r="R458" s="133"/>
      <c r="S458" s="133"/>
      <c r="V458" s="133"/>
      <c r="W458" s="133"/>
      <c r="Z458" s="148"/>
      <c r="AA458" s="133"/>
      <c r="AD458" s="133"/>
      <c r="AE458" s="133"/>
      <c r="AF458" s="32"/>
      <c r="AN458" s="152"/>
    </row>
    <row r="459" spans="7:40" ht="13">
      <c r="G459" s="133"/>
      <c r="K459" s="133"/>
      <c r="N459" s="133"/>
      <c r="O459" s="133"/>
      <c r="R459" s="133"/>
      <c r="S459" s="133"/>
      <c r="V459" s="133"/>
      <c r="W459" s="133"/>
      <c r="Z459" s="148"/>
      <c r="AA459" s="133"/>
      <c r="AD459" s="133"/>
      <c r="AE459" s="133"/>
      <c r="AF459" s="32"/>
      <c r="AN459" s="152"/>
    </row>
    <row r="460" spans="7:40" ht="13">
      <c r="G460" s="133"/>
      <c r="K460" s="133"/>
      <c r="N460" s="133"/>
      <c r="O460" s="133"/>
      <c r="R460" s="133"/>
      <c r="S460" s="133"/>
      <c r="V460" s="133"/>
      <c r="W460" s="133"/>
      <c r="Z460" s="148"/>
      <c r="AA460" s="133"/>
      <c r="AD460" s="133"/>
      <c r="AE460" s="133"/>
      <c r="AF460" s="32"/>
      <c r="AN460" s="152"/>
    </row>
    <row r="461" spans="7:40" ht="13">
      <c r="G461" s="133"/>
      <c r="K461" s="133"/>
      <c r="N461" s="133"/>
      <c r="O461" s="133"/>
      <c r="R461" s="133"/>
      <c r="S461" s="133"/>
      <c r="V461" s="133"/>
      <c r="W461" s="133"/>
      <c r="Z461" s="148"/>
      <c r="AA461" s="133"/>
      <c r="AD461" s="133"/>
      <c r="AE461" s="133"/>
      <c r="AF461" s="32"/>
      <c r="AN461" s="152"/>
    </row>
    <row r="462" spans="7:40" ht="13">
      <c r="G462" s="133"/>
      <c r="K462" s="133"/>
      <c r="N462" s="133"/>
      <c r="O462" s="133"/>
      <c r="R462" s="133"/>
      <c r="S462" s="133"/>
      <c r="V462" s="133"/>
      <c r="W462" s="133"/>
      <c r="Z462" s="148"/>
      <c r="AA462" s="133"/>
      <c r="AD462" s="133"/>
      <c r="AE462" s="133"/>
      <c r="AF462" s="32"/>
      <c r="AN462" s="152"/>
    </row>
    <row r="463" spans="7:40" ht="13">
      <c r="G463" s="133"/>
      <c r="K463" s="133"/>
      <c r="N463" s="133"/>
      <c r="O463" s="133"/>
      <c r="R463" s="133"/>
      <c r="S463" s="133"/>
      <c r="V463" s="133"/>
      <c r="W463" s="133"/>
      <c r="Z463" s="148"/>
      <c r="AA463" s="133"/>
      <c r="AD463" s="133"/>
      <c r="AE463" s="133"/>
      <c r="AF463" s="32"/>
      <c r="AN463" s="152"/>
    </row>
    <row r="464" spans="7:40" ht="13">
      <c r="G464" s="133"/>
      <c r="K464" s="133"/>
      <c r="N464" s="133"/>
      <c r="O464" s="133"/>
      <c r="R464" s="133"/>
      <c r="S464" s="133"/>
      <c r="V464" s="133"/>
      <c r="W464" s="133"/>
      <c r="Z464" s="148"/>
      <c r="AA464" s="133"/>
      <c r="AD464" s="133"/>
      <c r="AE464" s="133"/>
      <c r="AF464" s="32"/>
      <c r="AN464" s="152"/>
    </row>
    <row r="465" spans="7:40" ht="13">
      <c r="G465" s="133"/>
      <c r="K465" s="133"/>
      <c r="N465" s="133"/>
      <c r="O465" s="133"/>
      <c r="R465" s="133"/>
      <c r="S465" s="133"/>
      <c r="V465" s="133"/>
      <c r="W465" s="133"/>
      <c r="Z465" s="148"/>
      <c r="AA465" s="133"/>
      <c r="AD465" s="133"/>
      <c r="AE465" s="133"/>
      <c r="AF465" s="32"/>
      <c r="AN465" s="152"/>
    </row>
    <row r="466" spans="7:40" ht="13">
      <c r="G466" s="133"/>
      <c r="K466" s="133"/>
      <c r="N466" s="133"/>
      <c r="O466" s="133"/>
      <c r="R466" s="133"/>
      <c r="S466" s="133"/>
      <c r="V466" s="133"/>
      <c r="W466" s="133"/>
      <c r="Z466" s="148"/>
      <c r="AA466" s="133"/>
      <c r="AD466" s="133"/>
      <c r="AE466" s="133"/>
      <c r="AF466" s="32"/>
      <c r="AN466" s="152"/>
    </row>
    <row r="467" spans="7:40" ht="13">
      <c r="G467" s="133"/>
      <c r="K467" s="133"/>
      <c r="N467" s="133"/>
      <c r="O467" s="133"/>
      <c r="R467" s="133"/>
      <c r="S467" s="133"/>
      <c r="V467" s="133"/>
      <c r="W467" s="133"/>
      <c r="Z467" s="148"/>
      <c r="AA467" s="133"/>
      <c r="AD467" s="133"/>
      <c r="AE467" s="133"/>
      <c r="AF467" s="32"/>
      <c r="AN467" s="152"/>
    </row>
    <row r="468" spans="7:40" ht="13">
      <c r="G468" s="133"/>
      <c r="K468" s="133"/>
      <c r="N468" s="133"/>
      <c r="O468" s="133"/>
      <c r="R468" s="133"/>
      <c r="S468" s="133"/>
      <c r="V468" s="133"/>
      <c r="W468" s="133"/>
      <c r="Z468" s="148"/>
      <c r="AA468" s="133"/>
      <c r="AD468" s="133"/>
      <c r="AE468" s="133"/>
      <c r="AF468" s="32"/>
      <c r="AN468" s="152"/>
    </row>
    <row r="469" spans="7:40" ht="13">
      <c r="G469" s="133"/>
      <c r="K469" s="133"/>
      <c r="N469" s="133"/>
      <c r="O469" s="133"/>
      <c r="R469" s="133"/>
      <c r="S469" s="133"/>
      <c r="V469" s="133"/>
      <c r="W469" s="133"/>
      <c r="Z469" s="148"/>
      <c r="AA469" s="133"/>
      <c r="AD469" s="133"/>
      <c r="AE469" s="133"/>
      <c r="AF469" s="32"/>
      <c r="AN469" s="152"/>
    </row>
    <row r="470" spans="7:40" ht="13">
      <c r="G470" s="133"/>
      <c r="K470" s="133"/>
      <c r="N470" s="133"/>
      <c r="O470" s="133"/>
      <c r="R470" s="133"/>
      <c r="S470" s="133"/>
      <c r="V470" s="133"/>
      <c r="W470" s="133"/>
      <c r="Z470" s="148"/>
      <c r="AA470" s="133"/>
      <c r="AD470" s="133"/>
      <c r="AE470" s="133"/>
      <c r="AF470" s="32"/>
      <c r="AN470" s="152"/>
    </row>
    <row r="471" spans="7:40" ht="13">
      <c r="G471" s="133"/>
      <c r="K471" s="133"/>
      <c r="N471" s="133"/>
      <c r="O471" s="133"/>
      <c r="R471" s="133"/>
      <c r="S471" s="133"/>
      <c r="V471" s="133"/>
      <c r="W471" s="133"/>
      <c r="Z471" s="148"/>
      <c r="AA471" s="133"/>
      <c r="AD471" s="133"/>
      <c r="AE471" s="133"/>
      <c r="AF471" s="32"/>
      <c r="AN471" s="152"/>
    </row>
    <row r="472" spans="7:40" ht="13">
      <c r="G472" s="133"/>
      <c r="K472" s="133"/>
      <c r="N472" s="133"/>
      <c r="O472" s="133"/>
      <c r="R472" s="133"/>
      <c r="S472" s="133"/>
      <c r="V472" s="133"/>
      <c r="W472" s="133"/>
      <c r="Z472" s="148"/>
      <c r="AA472" s="133"/>
      <c r="AD472" s="133"/>
      <c r="AE472" s="133"/>
      <c r="AF472" s="32"/>
      <c r="AN472" s="152"/>
    </row>
    <row r="473" spans="7:40" ht="13">
      <c r="G473" s="133"/>
      <c r="K473" s="133"/>
      <c r="N473" s="133"/>
      <c r="O473" s="133"/>
      <c r="R473" s="133"/>
      <c r="S473" s="133"/>
      <c r="V473" s="133"/>
      <c r="W473" s="133"/>
      <c r="Z473" s="148"/>
      <c r="AA473" s="133"/>
      <c r="AD473" s="133"/>
      <c r="AE473" s="133"/>
      <c r="AF473" s="32"/>
      <c r="AN473" s="152"/>
    </row>
    <row r="474" spans="7:40" ht="13">
      <c r="G474" s="133"/>
      <c r="K474" s="133"/>
      <c r="N474" s="133"/>
      <c r="O474" s="133"/>
      <c r="R474" s="133"/>
      <c r="S474" s="133"/>
      <c r="V474" s="133"/>
      <c r="W474" s="133"/>
      <c r="Z474" s="148"/>
      <c r="AA474" s="133"/>
      <c r="AD474" s="133"/>
      <c r="AE474" s="133"/>
      <c r="AF474" s="32"/>
      <c r="AN474" s="152"/>
    </row>
    <row r="475" spans="7:40" ht="13">
      <c r="G475" s="133"/>
      <c r="K475" s="133"/>
      <c r="N475" s="133"/>
      <c r="O475" s="133"/>
      <c r="R475" s="133"/>
      <c r="S475" s="133"/>
      <c r="V475" s="133"/>
      <c r="W475" s="133"/>
      <c r="Z475" s="148"/>
      <c r="AA475" s="133"/>
      <c r="AD475" s="133"/>
      <c r="AE475" s="133"/>
      <c r="AF475" s="32"/>
      <c r="AN475" s="152"/>
    </row>
    <row r="476" spans="7:40" ht="13">
      <c r="G476" s="133"/>
      <c r="K476" s="133"/>
      <c r="N476" s="133"/>
      <c r="O476" s="133"/>
      <c r="R476" s="133"/>
      <c r="S476" s="133"/>
      <c r="V476" s="133"/>
      <c r="W476" s="133"/>
      <c r="Z476" s="148"/>
      <c r="AA476" s="133"/>
      <c r="AD476" s="133"/>
      <c r="AE476" s="133"/>
      <c r="AF476" s="32"/>
      <c r="AN476" s="152"/>
    </row>
    <row r="477" spans="7:40" ht="13">
      <c r="G477" s="133"/>
      <c r="K477" s="133"/>
      <c r="N477" s="133"/>
      <c r="O477" s="133"/>
      <c r="R477" s="133"/>
      <c r="S477" s="133"/>
      <c r="V477" s="133"/>
      <c r="W477" s="133"/>
      <c r="Z477" s="148"/>
      <c r="AA477" s="133"/>
      <c r="AD477" s="133"/>
      <c r="AE477" s="133"/>
      <c r="AF477" s="32"/>
      <c r="AN477" s="152"/>
    </row>
    <row r="478" spans="7:40" ht="13">
      <c r="G478" s="133"/>
      <c r="K478" s="133"/>
      <c r="N478" s="133"/>
      <c r="O478" s="133"/>
      <c r="R478" s="133"/>
      <c r="S478" s="133"/>
      <c r="V478" s="133"/>
      <c r="W478" s="133"/>
      <c r="Z478" s="148"/>
      <c r="AA478" s="133"/>
      <c r="AD478" s="133"/>
      <c r="AE478" s="133"/>
      <c r="AF478" s="32"/>
      <c r="AN478" s="152"/>
    </row>
    <row r="479" spans="7:40" ht="13">
      <c r="G479" s="133"/>
      <c r="K479" s="133"/>
      <c r="N479" s="133"/>
      <c r="O479" s="133"/>
      <c r="R479" s="133"/>
      <c r="S479" s="133"/>
      <c r="V479" s="133"/>
      <c r="W479" s="133"/>
      <c r="Z479" s="148"/>
      <c r="AA479" s="133"/>
      <c r="AD479" s="133"/>
      <c r="AE479" s="133"/>
      <c r="AF479" s="32"/>
      <c r="AN479" s="152"/>
    </row>
    <row r="480" spans="7:40" ht="13">
      <c r="G480" s="133"/>
      <c r="K480" s="133"/>
      <c r="N480" s="133"/>
      <c r="O480" s="133"/>
      <c r="R480" s="133"/>
      <c r="S480" s="133"/>
      <c r="V480" s="133"/>
      <c r="W480" s="133"/>
      <c r="Z480" s="148"/>
      <c r="AA480" s="133"/>
      <c r="AD480" s="133"/>
      <c r="AE480" s="133"/>
      <c r="AF480" s="32"/>
      <c r="AN480" s="152"/>
    </row>
    <row r="481" spans="7:40" ht="13">
      <c r="G481" s="133"/>
      <c r="K481" s="133"/>
      <c r="N481" s="133"/>
      <c r="O481" s="133"/>
      <c r="R481" s="133"/>
      <c r="S481" s="133"/>
      <c r="V481" s="133"/>
      <c r="W481" s="133"/>
      <c r="Z481" s="148"/>
      <c r="AA481" s="133"/>
      <c r="AD481" s="133"/>
      <c r="AE481" s="133"/>
      <c r="AF481" s="32"/>
      <c r="AN481" s="152"/>
    </row>
    <row r="482" spans="7:40" ht="13">
      <c r="G482" s="133"/>
      <c r="K482" s="133"/>
      <c r="N482" s="133"/>
      <c r="O482" s="133"/>
      <c r="R482" s="133"/>
      <c r="S482" s="133"/>
      <c r="V482" s="133"/>
      <c r="W482" s="133"/>
      <c r="Z482" s="148"/>
      <c r="AA482" s="133"/>
      <c r="AD482" s="133"/>
      <c r="AE482" s="133"/>
      <c r="AF482" s="32"/>
      <c r="AN482" s="152"/>
    </row>
    <row r="483" spans="7:40" ht="13">
      <c r="G483" s="133"/>
      <c r="K483" s="133"/>
      <c r="N483" s="133"/>
      <c r="O483" s="133"/>
      <c r="R483" s="133"/>
      <c r="S483" s="133"/>
      <c r="V483" s="133"/>
      <c r="W483" s="133"/>
      <c r="Z483" s="148"/>
      <c r="AA483" s="133"/>
      <c r="AD483" s="133"/>
      <c r="AE483" s="133"/>
      <c r="AF483" s="32"/>
      <c r="AN483" s="152"/>
    </row>
    <row r="484" spans="7:40" ht="13">
      <c r="G484" s="133"/>
      <c r="K484" s="133"/>
      <c r="N484" s="133"/>
      <c r="O484" s="133"/>
      <c r="R484" s="133"/>
      <c r="S484" s="133"/>
      <c r="V484" s="133"/>
      <c r="W484" s="133"/>
      <c r="Z484" s="148"/>
      <c r="AA484" s="133"/>
      <c r="AD484" s="133"/>
      <c r="AE484" s="133"/>
      <c r="AF484" s="32"/>
      <c r="AN484" s="152"/>
    </row>
    <row r="485" spans="7:40" ht="13">
      <c r="G485" s="133"/>
      <c r="K485" s="133"/>
      <c r="N485" s="133"/>
      <c r="O485" s="133"/>
      <c r="R485" s="133"/>
      <c r="S485" s="133"/>
      <c r="V485" s="133"/>
      <c r="W485" s="133"/>
      <c r="Z485" s="148"/>
      <c r="AA485" s="133"/>
      <c r="AD485" s="133"/>
      <c r="AE485" s="133"/>
      <c r="AF485" s="32"/>
      <c r="AN485" s="152"/>
    </row>
    <row r="486" spans="7:40" ht="13">
      <c r="G486" s="133"/>
      <c r="K486" s="133"/>
      <c r="N486" s="133"/>
      <c r="O486" s="133"/>
      <c r="R486" s="133"/>
      <c r="S486" s="133"/>
      <c r="V486" s="133"/>
      <c r="W486" s="133"/>
      <c r="Z486" s="148"/>
      <c r="AA486" s="133"/>
      <c r="AD486" s="133"/>
      <c r="AE486" s="133"/>
      <c r="AF486" s="32"/>
      <c r="AN486" s="152"/>
    </row>
    <row r="487" spans="7:40" ht="13">
      <c r="G487" s="133"/>
      <c r="K487" s="133"/>
      <c r="N487" s="133"/>
      <c r="O487" s="133"/>
      <c r="R487" s="133"/>
      <c r="S487" s="133"/>
      <c r="V487" s="133"/>
      <c r="W487" s="133"/>
      <c r="Z487" s="148"/>
      <c r="AA487" s="133"/>
      <c r="AD487" s="133"/>
      <c r="AE487" s="133"/>
      <c r="AF487" s="32"/>
      <c r="AN487" s="152"/>
    </row>
    <row r="488" spans="7:40" ht="13">
      <c r="G488" s="133"/>
      <c r="K488" s="133"/>
      <c r="N488" s="133"/>
      <c r="O488" s="133"/>
      <c r="R488" s="133"/>
      <c r="S488" s="133"/>
      <c r="V488" s="133"/>
      <c r="W488" s="133"/>
      <c r="Z488" s="148"/>
      <c r="AA488" s="133"/>
      <c r="AD488" s="133"/>
      <c r="AE488" s="133"/>
      <c r="AF488" s="32"/>
      <c r="AN488" s="152"/>
    </row>
    <row r="489" spans="7:40" ht="13">
      <c r="G489" s="133"/>
      <c r="K489" s="133"/>
      <c r="N489" s="133"/>
      <c r="O489" s="133"/>
      <c r="R489" s="133"/>
      <c r="S489" s="133"/>
      <c r="V489" s="133"/>
      <c r="W489" s="133"/>
      <c r="Z489" s="148"/>
      <c r="AA489" s="133"/>
      <c r="AD489" s="133"/>
      <c r="AE489" s="133"/>
      <c r="AF489" s="32"/>
      <c r="AN489" s="152"/>
    </row>
    <row r="490" spans="7:40" ht="13">
      <c r="G490" s="133"/>
      <c r="K490" s="133"/>
      <c r="N490" s="133"/>
      <c r="O490" s="133"/>
      <c r="R490" s="133"/>
      <c r="S490" s="133"/>
      <c r="V490" s="133"/>
      <c r="W490" s="133"/>
      <c r="Z490" s="148"/>
      <c r="AA490" s="133"/>
      <c r="AD490" s="133"/>
      <c r="AE490" s="133"/>
      <c r="AF490" s="32"/>
      <c r="AN490" s="152"/>
    </row>
    <row r="491" spans="7:40" ht="13">
      <c r="G491" s="133"/>
      <c r="K491" s="133"/>
      <c r="N491" s="133"/>
      <c r="O491" s="133"/>
      <c r="R491" s="133"/>
      <c r="S491" s="133"/>
      <c r="V491" s="133"/>
      <c r="W491" s="133"/>
      <c r="Z491" s="148"/>
      <c r="AA491" s="133"/>
      <c r="AD491" s="133"/>
      <c r="AE491" s="133"/>
      <c r="AF491" s="32"/>
      <c r="AN491" s="152"/>
    </row>
    <row r="492" spans="7:40" ht="13">
      <c r="G492" s="133"/>
      <c r="K492" s="133"/>
      <c r="N492" s="133"/>
      <c r="O492" s="133"/>
      <c r="R492" s="133"/>
      <c r="S492" s="133"/>
      <c r="V492" s="133"/>
      <c r="W492" s="133"/>
      <c r="Z492" s="148"/>
      <c r="AA492" s="133"/>
      <c r="AD492" s="133"/>
      <c r="AE492" s="133"/>
      <c r="AF492" s="32"/>
      <c r="AN492" s="152"/>
    </row>
    <row r="493" spans="7:40" ht="13">
      <c r="G493" s="133"/>
      <c r="K493" s="133"/>
      <c r="N493" s="133"/>
      <c r="O493" s="133"/>
      <c r="R493" s="133"/>
      <c r="S493" s="133"/>
      <c r="V493" s="133"/>
      <c r="W493" s="133"/>
      <c r="Z493" s="148"/>
      <c r="AA493" s="133"/>
      <c r="AD493" s="133"/>
      <c r="AE493" s="133"/>
      <c r="AF493" s="32"/>
      <c r="AN493" s="152"/>
    </row>
    <row r="494" spans="7:40" ht="13">
      <c r="G494" s="133"/>
      <c r="K494" s="133"/>
      <c r="N494" s="133"/>
      <c r="O494" s="133"/>
      <c r="R494" s="133"/>
      <c r="S494" s="133"/>
      <c r="V494" s="133"/>
      <c r="W494" s="133"/>
      <c r="Z494" s="148"/>
      <c r="AA494" s="133"/>
      <c r="AD494" s="133"/>
      <c r="AE494" s="133"/>
      <c r="AF494" s="32"/>
      <c r="AN494" s="152"/>
    </row>
    <row r="495" spans="7:40" ht="13">
      <c r="G495" s="133"/>
      <c r="K495" s="133"/>
      <c r="N495" s="133"/>
      <c r="O495" s="133"/>
      <c r="R495" s="133"/>
      <c r="S495" s="133"/>
      <c r="V495" s="133"/>
      <c r="W495" s="133"/>
      <c r="Z495" s="148"/>
      <c r="AA495" s="133"/>
      <c r="AD495" s="133"/>
      <c r="AE495" s="133"/>
      <c r="AF495" s="32"/>
      <c r="AN495" s="152"/>
    </row>
    <row r="496" spans="7:40" ht="13">
      <c r="G496" s="133"/>
      <c r="K496" s="133"/>
      <c r="N496" s="133"/>
      <c r="O496" s="133"/>
      <c r="R496" s="133"/>
      <c r="S496" s="133"/>
      <c r="V496" s="133"/>
      <c r="W496" s="133"/>
      <c r="Z496" s="148"/>
      <c r="AA496" s="133"/>
      <c r="AD496" s="133"/>
      <c r="AE496" s="133"/>
      <c r="AF496" s="32"/>
      <c r="AN496" s="152"/>
    </row>
    <row r="497" spans="7:40" ht="13">
      <c r="G497" s="133"/>
      <c r="K497" s="133"/>
      <c r="N497" s="133"/>
      <c r="O497" s="133"/>
      <c r="R497" s="133"/>
      <c r="S497" s="133"/>
      <c r="V497" s="133"/>
      <c r="W497" s="133"/>
      <c r="Z497" s="148"/>
      <c r="AA497" s="133"/>
      <c r="AD497" s="133"/>
      <c r="AE497" s="133"/>
      <c r="AF497" s="32"/>
      <c r="AN497" s="152"/>
    </row>
    <row r="498" spans="7:40" ht="13">
      <c r="G498" s="133"/>
      <c r="K498" s="133"/>
      <c r="N498" s="133"/>
      <c r="O498" s="133"/>
      <c r="R498" s="133"/>
      <c r="S498" s="133"/>
      <c r="V498" s="133"/>
      <c r="W498" s="133"/>
      <c r="Z498" s="148"/>
      <c r="AA498" s="133"/>
      <c r="AD498" s="133"/>
      <c r="AE498" s="133"/>
      <c r="AF498" s="32"/>
      <c r="AN498" s="152"/>
    </row>
    <row r="499" spans="7:40" ht="13">
      <c r="G499" s="133"/>
      <c r="K499" s="133"/>
      <c r="N499" s="133"/>
      <c r="O499" s="133"/>
      <c r="R499" s="133"/>
      <c r="S499" s="133"/>
      <c r="V499" s="133"/>
      <c r="W499" s="133"/>
      <c r="Z499" s="148"/>
      <c r="AA499" s="133"/>
      <c r="AD499" s="133"/>
      <c r="AE499" s="133"/>
      <c r="AF499" s="32"/>
      <c r="AN499" s="152"/>
    </row>
    <row r="500" spans="7:40" ht="13">
      <c r="G500" s="133"/>
      <c r="K500" s="133"/>
      <c r="N500" s="133"/>
      <c r="O500" s="133"/>
      <c r="R500" s="133"/>
      <c r="S500" s="133"/>
      <c r="V500" s="133"/>
      <c r="W500" s="133"/>
      <c r="Z500" s="148"/>
      <c r="AA500" s="133"/>
      <c r="AD500" s="133"/>
      <c r="AE500" s="133"/>
      <c r="AF500" s="32"/>
      <c r="AN500" s="152"/>
    </row>
    <row r="501" spans="7:40" ht="13">
      <c r="G501" s="133"/>
      <c r="K501" s="133"/>
      <c r="N501" s="133"/>
      <c r="O501" s="133"/>
      <c r="R501" s="133"/>
      <c r="S501" s="133"/>
      <c r="V501" s="133"/>
      <c r="W501" s="133"/>
      <c r="Z501" s="148"/>
      <c r="AA501" s="133"/>
      <c r="AD501" s="133"/>
      <c r="AE501" s="133"/>
      <c r="AF501" s="32"/>
      <c r="AN501" s="152"/>
    </row>
    <row r="502" spans="7:40" ht="13">
      <c r="G502" s="133"/>
      <c r="K502" s="133"/>
      <c r="N502" s="133"/>
      <c r="O502" s="133"/>
      <c r="R502" s="133"/>
      <c r="S502" s="133"/>
      <c r="V502" s="133"/>
      <c r="W502" s="133"/>
      <c r="Z502" s="148"/>
      <c r="AA502" s="133"/>
      <c r="AD502" s="133"/>
      <c r="AE502" s="133"/>
      <c r="AF502" s="32"/>
      <c r="AN502" s="152"/>
    </row>
    <row r="503" spans="7:40" ht="13">
      <c r="G503" s="133"/>
      <c r="K503" s="133"/>
      <c r="N503" s="133"/>
      <c r="O503" s="133"/>
      <c r="R503" s="133"/>
      <c r="S503" s="133"/>
      <c r="V503" s="133"/>
      <c r="W503" s="133"/>
      <c r="Z503" s="148"/>
      <c r="AA503" s="133"/>
      <c r="AD503" s="133"/>
      <c r="AE503" s="133"/>
      <c r="AF503" s="32"/>
      <c r="AN503" s="152"/>
    </row>
    <row r="504" spans="7:40" ht="13">
      <c r="G504" s="133"/>
      <c r="K504" s="133"/>
      <c r="N504" s="133"/>
      <c r="O504" s="133"/>
      <c r="R504" s="133"/>
      <c r="S504" s="133"/>
      <c r="V504" s="133"/>
      <c r="W504" s="133"/>
      <c r="Z504" s="148"/>
      <c r="AA504" s="133"/>
      <c r="AD504" s="133"/>
      <c r="AE504" s="133"/>
      <c r="AF504" s="32"/>
      <c r="AN504" s="152"/>
    </row>
    <row r="505" spans="7:40" ht="13">
      <c r="G505" s="133"/>
      <c r="K505" s="133"/>
      <c r="N505" s="133"/>
      <c r="O505" s="133"/>
      <c r="R505" s="133"/>
      <c r="S505" s="133"/>
      <c r="V505" s="133"/>
      <c r="W505" s="133"/>
      <c r="Z505" s="148"/>
      <c r="AA505" s="133"/>
      <c r="AD505" s="133"/>
      <c r="AE505" s="133"/>
      <c r="AF505" s="32"/>
      <c r="AN505" s="152"/>
    </row>
    <row r="506" spans="7:40" ht="13">
      <c r="G506" s="133"/>
      <c r="K506" s="133"/>
      <c r="N506" s="133"/>
      <c r="O506" s="133"/>
      <c r="R506" s="133"/>
      <c r="S506" s="133"/>
      <c r="V506" s="133"/>
      <c r="W506" s="133"/>
      <c r="Z506" s="148"/>
      <c r="AA506" s="133"/>
      <c r="AD506" s="133"/>
      <c r="AE506" s="133"/>
      <c r="AF506" s="32"/>
      <c r="AN506" s="152"/>
    </row>
    <row r="507" spans="7:40" ht="13">
      <c r="G507" s="133"/>
      <c r="K507" s="133"/>
      <c r="N507" s="133"/>
      <c r="O507" s="133"/>
      <c r="R507" s="133"/>
      <c r="S507" s="133"/>
      <c r="V507" s="133"/>
      <c r="W507" s="133"/>
      <c r="Z507" s="148"/>
      <c r="AA507" s="133"/>
      <c r="AD507" s="133"/>
      <c r="AE507" s="133"/>
      <c r="AF507" s="32"/>
      <c r="AN507" s="152"/>
    </row>
    <row r="508" spans="7:40" ht="13">
      <c r="G508" s="133"/>
      <c r="K508" s="133"/>
      <c r="N508" s="133"/>
      <c r="O508" s="133"/>
      <c r="R508" s="133"/>
      <c r="S508" s="133"/>
      <c r="V508" s="133"/>
      <c r="W508" s="133"/>
      <c r="Z508" s="148"/>
      <c r="AA508" s="133"/>
      <c r="AD508" s="133"/>
      <c r="AE508" s="133"/>
      <c r="AF508" s="32"/>
      <c r="AN508" s="152"/>
    </row>
    <row r="509" spans="7:40" ht="13">
      <c r="G509" s="133"/>
      <c r="K509" s="133"/>
      <c r="N509" s="133"/>
      <c r="O509" s="133"/>
      <c r="R509" s="133"/>
      <c r="S509" s="133"/>
      <c r="V509" s="133"/>
      <c r="W509" s="133"/>
      <c r="Z509" s="148"/>
      <c r="AA509" s="133"/>
      <c r="AD509" s="133"/>
      <c r="AE509" s="133"/>
      <c r="AF509" s="32"/>
      <c r="AN509" s="152"/>
    </row>
    <row r="510" spans="7:40" ht="13">
      <c r="G510" s="133"/>
      <c r="K510" s="133"/>
      <c r="N510" s="133"/>
      <c r="O510" s="133"/>
      <c r="R510" s="133"/>
      <c r="S510" s="133"/>
      <c r="V510" s="133"/>
      <c r="W510" s="133"/>
      <c r="Z510" s="148"/>
      <c r="AA510" s="133"/>
      <c r="AD510" s="133"/>
      <c r="AE510" s="133"/>
      <c r="AF510" s="32"/>
      <c r="AN510" s="152"/>
    </row>
    <row r="511" spans="7:40" ht="13">
      <c r="G511" s="133"/>
      <c r="K511" s="133"/>
      <c r="N511" s="133"/>
      <c r="O511" s="133"/>
      <c r="R511" s="133"/>
      <c r="S511" s="133"/>
      <c r="V511" s="133"/>
      <c r="W511" s="133"/>
      <c r="Z511" s="148"/>
      <c r="AA511" s="133"/>
      <c r="AD511" s="133"/>
      <c r="AE511" s="133"/>
      <c r="AF511" s="32"/>
      <c r="AN511" s="152"/>
    </row>
    <row r="512" spans="7:40" ht="13">
      <c r="G512" s="133"/>
      <c r="K512" s="133"/>
      <c r="N512" s="133"/>
      <c r="O512" s="133"/>
      <c r="R512" s="133"/>
      <c r="S512" s="133"/>
      <c r="V512" s="133"/>
      <c r="W512" s="133"/>
      <c r="Z512" s="148"/>
      <c r="AA512" s="133"/>
      <c r="AD512" s="133"/>
      <c r="AE512" s="133"/>
      <c r="AF512" s="32"/>
      <c r="AN512" s="152"/>
    </row>
    <row r="513" spans="7:40" ht="13">
      <c r="G513" s="133"/>
      <c r="K513" s="133"/>
      <c r="N513" s="133"/>
      <c r="O513" s="133"/>
      <c r="R513" s="133"/>
      <c r="S513" s="133"/>
      <c r="V513" s="133"/>
      <c r="W513" s="133"/>
      <c r="Z513" s="148"/>
      <c r="AA513" s="133"/>
      <c r="AD513" s="133"/>
      <c r="AE513" s="133"/>
      <c r="AF513" s="32"/>
      <c r="AN513" s="152"/>
    </row>
    <row r="514" spans="7:40" ht="13">
      <c r="G514" s="133"/>
      <c r="K514" s="133"/>
      <c r="N514" s="133"/>
      <c r="O514" s="133"/>
      <c r="R514" s="133"/>
      <c r="S514" s="133"/>
      <c r="V514" s="133"/>
      <c r="W514" s="133"/>
      <c r="Z514" s="148"/>
      <c r="AA514" s="133"/>
      <c r="AD514" s="133"/>
      <c r="AE514" s="133"/>
      <c r="AF514" s="32"/>
      <c r="AN514" s="152"/>
    </row>
    <row r="515" spans="7:40" ht="13">
      <c r="G515" s="133"/>
      <c r="K515" s="133"/>
      <c r="N515" s="133"/>
      <c r="O515" s="133"/>
      <c r="R515" s="133"/>
      <c r="S515" s="133"/>
      <c r="V515" s="133"/>
      <c r="W515" s="133"/>
      <c r="Z515" s="148"/>
      <c r="AA515" s="133"/>
      <c r="AD515" s="133"/>
      <c r="AE515" s="133"/>
      <c r="AF515" s="32"/>
      <c r="AN515" s="152"/>
    </row>
    <row r="516" spans="7:40" ht="13">
      <c r="G516" s="133"/>
      <c r="K516" s="133"/>
      <c r="N516" s="133"/>
      <c r="O516" s="133"/>
      <c r="R516" s="133"/>
      <c r="S516" s="133"/>
      <c r="V516" s="133"/>
      <c r="W516" s="133"/>
      <c r="Z516" s="148"/>
      <c r="AA516" s="133"/>
      <c r="AD516" s="133"/>
      <c r="AE516" s="133"/>
      <c r="AF516" s="32"/>
      <c r="AN516" s="152"/>
    </row>
    <row r="517" spans="7:40" ht="13">
      <c r="G517" s="133"/>
      <c r="K517" s="133"/>
      <c r="N517" s="133"/>
      <c r="O517" s="133"/>
      <c r="R517" s="133"/>
      <c r="S517" s="133"/>
      <c r="V517" s="133"/>
      <c r="W517" s="133"/>
      <c r="Z517" s="148"/>
      <c r="AA517" s="133"/>
      <c r="AD517" s="133"/>
      <c r="AE517" s="133"/>
      <c r="AF517" s="32"/>
      <c r="AN517" s="152"/>
    </row>
    <row r="518" spans="7:40" ht="13">
      <c r="G518" s="133"/>
      <c r="K518" s="133"/>
      <c r="N518" s="133"/>
      <c r="O518" s="133"/>
      <c r="R518" s="133"/>
      <c r="S518" s="133"/>
      <c r="V518" s="133"/>
      <c r="W518" s="133"/>
      <c r="Z518" s="148"/>
      <c r="AA518" s="133"/>
      <c r="AD518" s="133"/>
      <c r="AE518" s="133"/>
      <c r="AF518" s="32"/>
      <c r="AN518" s="152"/>
    </row>
    <row r="519" spans="7:40" ht="13">
      <c r="G519" s="133"/>
      <c r="K519" s="133"/>
      <c r="N519" s="133"/>
      <c r="O519" s="133"/>
      <c r="R519" s="133"/>
      <c r="S519" s="133"/>
      <c r="V519" s="133"/>
      <c r="W519" s="133"/>
      <c r="Z519" s="148"/>
      <c r="AA519" s="133"/>
      <c r="AD519" s="133"/>
      <c r="AE519" s="133"/>
      <c r="AF519" s="32"/>
      <c r="AN519" s="152"/>
    </row>
    <row r="520" spans="7:40" ht="13">
      <c r="G520" s="133"/>
      <c r="K520" s="133"/>
      <c r="N520" s="133"/>
      <c r="O520" s="133"/>
      <c r="R520" s="133"/>
      <c r="S520" s="133"/>
      <c r="V520" s="133"/>
      <c r="W520" s="133"/>
      <c r="Z520" s="148"/>
      <c r="AA520" s="133"/>
      <c r="AD520" s="133"/>
      <c r="AE520" s="133"/>
      <c r="AF520" s="32"/>
      <c r="AN520" s="152"/>
    </row>
    <row r="521" spans="7:40" ht="13">
      <c r="G521" s="133"/>
      <c r="K521" s="133"/>
      <c r="N521" s="133"/>
      <c r="O521" s="133"/>
      <c r="R521" s="133"/>
      <c r="S521" s="133"/>
      <c r="V521" s="133"/>
      <c r="W521" s="133"/>
      <c r="Z521" s="148"/>
      <c r="AA521" s="133"/>
      <c r="AD521" s="133"/>
      <c r="AE521" s="133"/>
      <c r="AF521" s="32"/>
      <c r="AN521" s="152"/>
    </row>
    <row r="522" spans="7:40" ht="13">
      <c r="G522" s="133"/>
      <c r="K522" s="133"/>
      <c r="N522" s="133"/>
      <c r="O522" s="133"/>
      <c r="R522" s="133"/>
      <c r="S522" s="133"/>
      <c r="V522" s="133"/>
      <c r="W522" s="133"/>
      <c r="Z522" s="148"/>
      <c r="AA522" s="133"/>
      <c r="AD522" s="133"/>
      <c r="AE522" s="133"/>
      <c r="AF522" s="32"/>
      <c r="AN522" s="152"/>
    </row>
    <row r="523" spans="7:40" ht="13">
      <c r="G523" s="133"/>
      <c r="K523" s="133"/>
      <c r="N523" s="133"/>
      <c r="O523" s="133"/>
      <c r="R523" s="133"/>
      <c r="S523" s="133"/>
      <c r="V523" s="133"/>
      <c r="W523" s="133"/>
      <c r="Z523" s="148"/>
      <c r="AA523" s="133"/>
      <c r="AD523" s="133"/>
      <c r="AE523" s="133"/>
      <c r="AF523" s="32"/>
      <c r="AN523" s="152"/>
    </row>
    <row r="524" spans="7:40" ht="13">
      <c r="G524" s="133"/>
      <c r="K524" s="133"/>
      <c r="N524" s="133"/>
      <c r="O524" s="133"/>
      <c r="R524" s="133"/>
      <c r="S524" s="133"/>
      <c r="V524" s="133"/>
      <c r="W524" s="133"/>
      <c r="Z524" s="148"/>
      <c r="AA524" s="133"/>
      <c r="AD524" s="133"/>
      <c r="AE524" s="133"/>
      <c r="AF524" s="32"/>
      <c r="AN524" s="152"/>
    </row>
    <row r="525" spans="7:40" ht="13">
      <c r="G525" s="133"/>
      <c r="K525" s="133"/>
      <c r="N525" s="133"/>
      <c r="O525" s="133"/>
      <c r="R525" s="133"/>
      <c r="S525" s="133"/>
      <c r="V525" s="133"/>
      <c r="W525" s="133"/>
      <c r="Z525" s="148"/>
      <c r="AA525" s="133"/>
      <c r="AD525" s="133"/>
      <c r="AE525" s="133"/>
      <c r="AF525" s="32"/>
      <c r="AN525" s="152"/>
    </row>
    <row r="526" spans="7:40" ht="13">
      <c r="G526" s="133"/>
      <c r="K526" s="133"/>
      <c r="N526" s="133"/>
      <c r="O526" s="133"/>
      <c r="R526" s="133"/>
      <c r="S526" s="133"/>
      <c r="V526" s="133"/>
      <c r="W526" s="133"/>
      <c r="Z526" s="148"/>
      <c r="AA526" s="133"/>
      <c r="AD526" s="133"/>
      <c r="AE526" s="133"/>
      <c r="AF526" s="32"/>
      <c r="AN526" s="152"/>
    </row>
    <row r="527" spans="7:40" ht="13">
      <c r="G527" s="133"/>
      <c r="K527" s="133"/>
      <c r="N527" s="133"/>
      <c r="O527" s="133"/>
      <c r="R527" s="133"/>
      <c r="S527" s="133"/>
      <c r="V527" s="133"/>
      <c r="W527" s="133"/>
      <c r="Z527" s="148"/>
      <c r="AA527" s="133"/>
      <c r="AD527" s="133"/>
      <c r="AE527" s="133"/>
      <c r="AF527" s="32"/>
      <c r="AN527" s="152"/>
    </row>
    <row r="528" spans="7:40" ht="13">
      <c r="G528" s="133"/>
      <c r="K528" s="133"/>
      <c r="N528" s="133"/>
      <c r="O528" s="133"/>
      <c r="R528" s="133"/>
      <c r="S528" s="133"/>
      <c r="V528" s="133"/>
      <c r="W528" s="133"/>
      <c r="Z528" s="148"/>
      <c r="AA528" s="133"/>
      <c r="AD528" s="133"/>
      <c r="AE528" s="133"/>
      <c r="AF528" s="32"/>
      <c r="AN528" s="152"/>
    </row>
    <row r="529" spans="7:40" ht="13">
      <c r="G529" s="133"/>
      <c r="K529" s="133"/>
      <c r="N529" s="133"/>
      <c r="O529" s="133"/>
      <c r="R529" s="133"/>
      <c r="S529" s="133"/>
      <c r="V529" s="133"/>
      <c r="W529" s="133"/>
      <c r="Z529" s="148"/>
      <c r="AA529" s="133"/>
      <c r="AD529" s="133"/>
      <c r="AE529" s="133"/>
      <c r="AF529" s="32"/>
      <c r="AN529" s="152"/>
    </row>
    <row r="530" spans="7:40" ht="13">
      <c r="G530" s="133"/>
      <c r="K530" s="133"/>
      <c r="N530" s="133"/>
      <c r="O530" s="133"/>
      <c r="R530" s="133"/>
      <c r="S530" s="133"/>
      <c r="V530" s="133"/>
      <c r="W530" s="133"/>
      <c r="Z530" s="148"/>
      <c r="AA530" s="133"/>
      <c r="AD530" s="133"/>
      <c r="AE530" s="133"/>
      <c r="AF530" s="32"/>
      <c r="AN530" s="152"/>
    </row>
    <row r="531" spans="7:40" ht="13">
      <c r="G531" s="133"/>
      <c r="K531" s="133"/>
      <c r="N531" s="133"/>
      <c r="O531" s="133"/>
      <c r="R531" s="133"/>
      <c r="S531" s="133"/>
      <c r="V531" s="133"/>
      <c r="W531" s="133"/>
      <c r="Z531" s="148"/>
      <c r="AA531" s="133"/>
      <c r="AD531" s="133"/>
      <c r="AE531" s="133"/>
      <c r="AF531" s="32"/>
      <c r="AN531" s="152"/>
    </row>
    <row r="532" spans="7:40" ht="13">
      <c r="G532" s="133"/>
      <c r="K532" s="133"/>
      <c r="N532" s="133"/>
      <c r="O532" s="133"/>
      <c r="R532" s="133"/>
      <c r="S532" s="133"/>
      <c r="V532" s="133"/>
      <c r="W532" s="133"/>
      <c r="Z532" s="148"/>
      <c r="AA532" s="133"/>
      <c r="AD532" s="133"/>
      <c r="AE532" s="133"/>
      <c r="AF532" s="32"/>
      <c r="AN532" s="152"/>
    </row>
    <row r="533" spans="7:40" ht="13">
      <c r="G533" s="133"/>
      <c r="K533" s="133"/>
      <c r="N533" s="133"/>
      <c r="O533" s="133"/>
      <c r="R533" s="133"/>
      <c r="S533" s="133"/>
      <c r="V533" s="133"/>
      <c r="W533" s="133"/>
      <c r="Z533" s="148"/>
      <c r="AA533" s="133"/>
      <c r="AD533" s="133"/>
      <c r="AE533" s="133"/>
      <c r="AF533" s="32"/>
      <c r="AN533" s="152"/>
    </row>
    <row r="534" spans="7:40" ht="13">
      <c r="G534" s="133"/>
      <c r="K534" s="133"/>
      <c r="N534" s="133"/>
      <c r="O534" s="133"/>
      <c r="R534" s="133"/>
      <c r="S534" s="133"/>
      <c r="V534" s="133"/>
      <c r="W534" s="133"/>
      <c r="Z534" s="148"/>
      <c r="AA534" s="133"/>
      <c r="AD534" s="133"/>
      <c r="AE534" s="133"/>
      <c r="AF534" s="32"/>
      <c r="AN534" s="152"/>
    </row>
    <row r="535" spans="7:40" ht="13">
      <c r="G535" s="133"/>
      <c r="K535" s="133"/>
      <c r="N535" s="133"/>
      <c r="O535" s="133"/>
      <c r="R535" s="133"/>
      <c r="S535" s="133"/>
      <c r="V535" s="133"/>
      <c r="W535" s="133"/>
      <c r="Z535" s="148"/>
      <c r="AA535" s="133"/>
      <c r="AD535" s="133"/>
      <c r="AE535" s="133"/>
      <c r="AF535" s="32"/>
      <c r="AN535" s="152"/>
    </row>
    <row r="536" spans="7:40" ht="13">
      <c r="G536" s="133"/>
      <c r="K536" s="133"/>
      <c r="N536" s="133"/>
      <c r="O536" s="133"/>
      <c r="R536" s="133"/>
      <c r="S536" s="133"/>
      <c r="V536" s="133"/>
      <c r="W536" s="133"/>
      <c r="Z536" s="148"/>
      <c r="AA536" s="133"/>
      <c r="AD536" s="133"/>
      <c r="AE536" s="133"/>
      <c r="AF536" s="32"/>
      <c r="AN536" s="152"/>
    </row>
    <row r="537" spans="7:40" ht="13">
      <c r="G537" s="133"/>
      <c r="K537" s="133"/>
      <c r="N537" s="133"/>
      <c r="O537" s="133"/>
      <c r="R537" s="133"/>
      <c r="S537" s="133"/>
      <c r="V537" s="133"/>
      <c r="W537" s="133"/>
      <c r="Z537" s="148"/>
      <c r="AA537" s="133"/>
      <c r="AD537" s="133"/>
      <c r="AE537" s="133"/>
      <c r="AF537" s="32"/>
      <c r="AN537" s="152"/>
    </row>
    <row r="538" spans="7:40" ht="13">
      <c r="G538" s="133"/>
      <c r="K538" s="133"/>
      <c r="N538" s="133"/>
      <c r="O538" s="133"/>
      <c r="R538" s="133"/>
      <c r="S538" s="133"/>
      <c r="V538" s="133"/>
      <c r="W538" s="133"/>
      <c r="Z538" s="148"/>
      <c r="AA538" s="133"/>
      <c r="AD538" s="133"/>
      <c r="AE538" s="133"/>
      <c r="AF538" s="32"/>
      <c r="AN538" s="152"/>
    </row>
    <row r="539" spans="7:40" ht="13">
      <c r="G539" s="133"/>
      <c r="K539" s="133"/>
      <c r="N539" s="133"/>
      <c r="O539" s="133"/>
      <c r="R539" s="133"/>
      <c r="S539" s="133"/>
      <c r="V539" s="133"/>
      <c r="W539" s="133"/>
      <c r="Z539" s="148"/>
      <c r="AA539" s="133"/>
      <c r="AD539" s="133"/>
      <c r="AE539" s="133"/>
      <c r="AF539" s="32"/>
      <c r="AN539" s="152"/>
    </row>
    <row r="540" spans="7:40" ht="13">
      <c r="G540" s="133"/>
      <c r="K540" s="133"/>
      <c r="N540" s="133"/>
      <c r="O540" s="133"/>
      <c r="R540" s="133"/>
      <c r="S540" s="133"/>
      <c r="V540" s="133"/>
      <c r="W540" s="133"/>
      <c r="Z540" s="148"/>
      <c r="AA540" s="133"/>
      <c r="AD540" s="133"/>
      <c r="AE540" s="133"/>
      <c r="AF540" s="32"/>
      <c r="AN540" s="152"/>
    </row>
    <row r="541" spans="7:40" ht="13">
      <c r="G541" s="133"/>
      <c r="K541" s="133"/>
      <c r="N541" s="133"/>
      <c r="O541" s="133"/>
      <c r="R541" s="133"/>
      <c r="S541" s="133"/>
      <c r="V541" s="133"/>
      <c r="W541" s="133"/>
      <c r="Z541" s="148"/>
      <c r="AA541" s="133"/>
      <c r="AD541" s="133"/>
      <c r="AE541" s="133"/>
      <c r="AF541" s="32"/>
      <c r="AN541" s="152"/>
    </row>
    <row r="542" spans="7:40" ht="13">
      <c r="G542" s="133"/>
      <c r="K542" s="133"/>
      <c r="N542" s="133"/>
      <c r="O542" s="133"/>
      <c r="R542" s="133"/>
      <c r="S542" s="133"/>
      <c r="V542" s="133"/>
      <c r="W542" s="133"/>
      <c r="Z542" s="148"/>
      <c r="AA542" s="133"/>
      <c r="AD542" s="133"/>
      <c r="AE542" s="133"/>
      <c r="AF542" s="32"/>
      <c r="AN542" s="152"/>
    </row>
    <row r="543" spans="7:40" ht="13">
      <c r="G543" s="133"/>
      <c r="K543" s="133"/>
      <c r="N543" s="133"/>
      <c r="O543" s="133"/>
      <c r="R543" s="133"/>
      <c r="S543" s="133"/>
      <c r="V543" s="133"/>
      <c r="W543" s="133"/>
      <c r="Z543" s="148"/>
      <c r="AA543" s="133"/>
      <c r="AD543" s="133"/>
      <c r="AE543" s="133"/>
      <c r="AF543" s="32"/>
      <c r="AN543" s="152"/>
    </row>
    <row r="544" spans="7:40" ht="13">
      <c r="G544" s="133"/>
      <c r="K544" s="133"/>
      <c r="N544" s="133"/>
      <c r="O544" s="133"/>
      <c r="R544" s="133"/>
      <c r="S544" s="133"/>
      <c r="V544" s="133"/>
      <c r="W544" s="133"/>
      <c r="Z544" s="148"/>
      <c r="AA544" s="133"/>
      <c r="AD544" s="133"/>
      <c r="AE544" s="133"/>
      <c r="AF544" s="32"/>
      <c r="AN544" s="152"/>
    </row>
    <row r="545" spans="7:40" ht="13">
      <c r="G545" s="133"/>
      <c r="K545" s="133"/>
      <c r="N545" s="133"/>
      <c r="O545" s="133"/>
      <c r="R545" s="133"/>
      <c r="S545" s="133"/>
      <c r="V545" s="133"/>
      <c r="W545" s="133"/>
      <c r="Z545" s="148"/>
      <c r="AA545" s="133"/>
      <c r="AD545" s="133"/>
      <c r="AE545" s="133"/>
      <c r="AF545" s="32"/>
      <c r="AN545" s="152"/>
    </row>
    <row r="546" spans="7:40" ht="13">
      <c r="G546" s="133"/>
      <c r="K546" s="133"/>
      <c r="N546" s="133"/>
      <c r="O546" s="133"/>
      <c r="R546" s="133"/>
      <c r="S546" s="133"/>
      <c r="V546" s="133"/>
      <c r="W546" s="133"/>
      <c r="Z546" s="148"/>
      <c r="AA546" s="133"/>
      <c r="AD546" s="133"/>
      <c r="AE546" s="133"/>
      <c r="AF546" s="32"/>
      <c r="AN546" s="152"/>
    </row>
    <row r="547" spans="7:40" ht="13">
      <c r="G547" s="133"/>
      <c r="K547" s="133"/>
      <c r="N547" s="133"/>
      <c r="O547" s="133"/>
      <c r="R547" s="133"/>
      <c r="S547" s="133"/>
      <c r="V547" s="133"/>
      <c r="W547" s="133"/>
      <c r="Z547" s="148"/>
      <c r="AA547" s="133"/>
      <c r="AD547" s="133"/>
      <c r="AE547" s="133"/>
      <c r="AF547" s="32"/>
      <c r="AN547" s="152"/>
    </row>
    <row r="548" spans="7:40" ht="13">
      <c r="G548" s="133"/>
      <c r="K548" s="133"/>
      <c r="N548" s="133"/>
      <c r="O548" s="133"/>
      <c r="R548" s="133"/>
      <c r="S548" s="133"/>
      <c r="V548" s="133"/>
      <c r="W548" s="133"/>
      <c r="Z548" s="148"/>
      <c r="AA548" s="133"/>
      <c r="AD548" s="133"/>
      <c r="AE548" s="133"/>
      <c r="AF548" s="32"/>
      <c r="AN548" s="152"/>
    </row>
    <row r="549" spans="7:40" ht="13">
      <c r="G549" s="133"/>
      <c r="K549" s="133"/>
      <c r="N549" s="133"/>
      <c r="O549" s="133"/>
      <c r="R549" s="133"/>
      <c r="S549" s="133"/>
      <c r="V549" s="133"/>
      <c r="W549" s="133"/>
      <c r="Z549" s="148"/>
      <c r="AA549" s="133"/>
      <c r="AD549" s="133"/>
      <c r="AE549" s="133"/>
      <c r="AF549" s="32"/>
      <c r="AN549" s="152"/>
    </row>
    <row r="550" spans="7:40" ht="13">
      <c r="G550" s="133"/>
      <c r="K550" s="133"/>
      <c r="N550" s="133"/>
      <c r="O550" s="133"/>
      <c r="R550" s="133"/>
      <c r="S550" s="133"/>
      <c r="V550" s="133"/>
      <c r="W550" s="133"/>
      <c r="Z550" s="148"/>
      <c r="AA550" s="133"/>
      <c r="AD550" s="133"/>
      <c r="AE550" s="133"/>
      <c r="AF550" s="32"/>
      <c r="AN550" s="152"/>
    </row>
    <row r="551" spans="7:40" ht="13">
      <c r="G551" s="133"/>
      <c r="K551" s="133"/>
      <c r="N551" s="133"/>
      <c r="O551" s="133"/>
      <c r="R551" s="133"/>
      <c r="S551" s="133"/>
      <c r="V551" s="133"/>
      <c r="W551" s="133"/>
      <c r="Z551" s="148"/>
      <c r="AA551" s="133"/>
      <c r="AD551" s="133"/>
      <c r="AE551" s="133"/>
      <c r="AF551" s="32"/>
      <c r="AN551" s="152"/>
    </row>
    <row r="552" spans="7:40" ht="13">
      <c r="G552" s="133"/>
      <c r="K552" s="133"/>
      <c r="N552" s="133"/>
      <c r="O552" s="133"/>
      <c r="R552" s="133"/>
      <c r="S552" s="133"/>
      <c r="V552" s="133"/>
      <c r="W552" s="133"/>
      <c r="Z552" s="148"/>
      <c r="AA552" s="133"/>
      <c r="AD552" s="133"/>
      <c r="AE552" s="133"/>
      <c r="AF552" s="32"/>
      <c r="AN552" s="152"/>
    </row>
    <row r="553" spans="7:40" ht="13">
      <c r="G553" s="133"/>
      <c r="K553" s="133"/>
      <c r="N553" s="133"/>
      <c r="O553" s="133"/>
      <c r="R553" s="133"/>
      <c r="S553" s="133"/>
      <c r="V553" s="133"/>
      <c r="W553" s="133"/>
      <c r="Z553" s="148"/>
      <c r="AA553" s="133"/>
      <c r="AD553" s="133"/>
      <c r="AE553" s="133"/>
      <c r="AF553" s="32"/>
      <c r="AN553" s="152"/>
    </row>
    <row r="554" spans="7:40" ht="13">
      <c r="G554" s="133"/>
      <c r="K554" s="133"/>
      <c r="N554" s="133"/>
      <c r="O554" s="133"/>
      <c r="R554" s="133"/>
      <c r="S554" s="133"/>
      <c r="V554" s="133"/>
      <c r="W554" s="133"/>
      <c r="Z554" s="148"/>
      <c r="AA554" s="133"/>
      <c r="AD554" s="133"/>
      <c r="AE554" s="133"/>
      <c r="AF554" s="32"/>
      <c r="AN554" s="152"/>
    </row>
    <row r="555" spans="7:40" ht="13">
      <c r="G555" s="133"/>
      <c r="K555" s="133"/>
      <c r="N555" s="133"/>
      <c r="O555" s="133"/>
      <c r="R555" s="133"/>
      <c r="S555" s="133"/>
      <c r="V555" s="133"/>
      <c r="W555" s="133"/>
      <c r="Z555" s="148"/>
      <c r="AA555" s="133"/>
      <c r="AD555" s="133"/>
      <c r="AE555" s="133"/>
      <c r="AF555" s="32"/>
      <c r="AN555" s="152"/>
    </row>
    <row r="556" spans="7:40" ht="13">
      <c r="G556" s="133"/>
      <c r="K556" s="133"/>
      <c r="N556" s="133"/>
      <c r="O556" s="133"/>
      <c r="R556" s="133"/>
      <c r="S556" s="133"/>
      <c r="V556" s="133"/>
      <c r="W556" s="133"/>
      <c r="Z556" s="148"/>
      <c r="AA556" s="133"/>
      <c r="AD556" s="133"/>
      <c r="AE556" s="133"/>
      <c r="AF556" s="32"/>
      <c r="AN556" s="152"/>
    </row>
    <row r="557" spans="7:40" ht="13">
      <c r="G557" s="133"/>
      <c r="K557" s="133"/>
      <c r="N557" s="133"/>
      <c r="O557" s="133"/>
      <c r="R557" s="133"/>
      <c r="S557" s="133"/>
      <c r="V557" s="133"/>
      <c r="W557" s="133"/>
      <c r="Z557" s="148"/>
      <c r="AA557" s="133"/>
      <c r="AD557" s="133"/>
      <c r="AE557" s="133"/>
      <c r="AF557" s="32"/>
      <c r="AN557" s="152"/>
    </row>
    <row r="558" spans="7:40" ht="13">
      <c r="G558" s="133"/>
      <c r="K558" s="133"/>
      <c r="N558" s="133"/>
      <c r="O558" s="133"/>
      <c r="R558" s="133"/>
      <c r="S558" s="133"/>
      <c r="V558" s="133"/>
      <c r="W558" s="133"/>
      <c r="Z558" s="148"/>
      <c r="AA558" s="133"/>
      <c r="AD558" s="133"/>
      <c r="AE558" s="133"/>
      <c r="AF558" s="32"/>
      <c r="AN558" s="152"/>
    </row>
    <row r="559" spans="7:40" ht="13">
      <c r="G559" s="133"/>
      <c r="K559" s="133"/>
      <c r="N559" s="133"/>
      <c r="O559" s="133"/>
      <c r="R559" s="133"/>
      <c r="S559" s="133"/>
      <c r="V559" s="133"/>
      <c r="W559" s="133"/>
      <c r="Z559" s="148"/>
      <c r="AA559" s="133"/>
      <c r="AD559" s="133"/>
      <c r="AE559" s="133"/>
      <c r="AF559" s="32"/>
      <c r="AN559" s="152"/>
    </row>
    <row r="560" spans="7:40" ht="13">
      <c r="G560" s="133"/>
      <c r="K560" s="133"/>
      <c r="N560" s="133"/>
      <c r="O560" s="133"/>
      <c r="R560" s="133"/>
      <c r="S560" s="133"/>
      <c r="V560" s="133"/>
      <c r="W560" s="133"/>
      <c r="Z560" s="148"/>
      <c r="AA560" s="133"/>
      <c r="AD560" s="133"/>
      <c r="AE560" s="133"/>
      <c r="AF560" s="32"/>
      <c r="AN560" s="152"/>
    </row>
    <row r="561" spans="7:40" ht="13">
      <c r="G561" s="133"/>
      <c r="K561" s="133"/>
      <c r="N561" s="133"/>
      <c r="O561" s="133"/>
      <c r="R561" s="133"/>
      <c r="S561" s="133"/>
      <c r="V561" s="133"/>
      <c r="W561" s="133"/>
      <c r="Z561" s="148"/>
      <c r="AA561" s="133"/>
      <c r="AD561" s="133"/>
      <c r="AE561" s="133"/>
      <c r="AF561" s="32"/>
      <c r="AN561" s="152"/>
    </row>
    <row r="562" spans="7:40" ht="13">
      <c r="G562" s="133"/>
      <c r="K562" s="133"/>
      <c r="N562" s="133"/>
      <c r="O562" s="133"/>
      <c r="R562" s="133"/>
      <c r="S562" s="133"/>
      <c r="V562" s="133"/>
      <c r="W562" s="133"/>
      <c r="Z562" s="148"/>
      <c r="AA562" s="133"/>
      <c r="AD562" s="133"/>
      <c r="AE562" s="133"/>
      <c r="AF562" s="32"/>
      <c r="AN562" s="152"/>
    </row>
    <row r="563" spans="7:40" ht="13">
      <c r="G563" s="133"/>
      <c r="K563" s="133"/>
      <c r="N563" s="133"/>
      <c r="O563" s="133"/>
      <c r="R563" s="133"/>
      <c r="S563" s="133"/>
      <c r="V563" s="133"/>
      <c r="W563" s="133"/>
      <c r="Z563" s="148"/>
      <c r="AA563" s="133"/>
      <c r="AD563" s="133"/>
      <c r="AE563" s="133"/>
      <c r="AF563" s="32"/>
      <c r="AN563" s="152"/>
    </row>
    <row r="564" spans="7:40" ht="13">
      <c r="G564" s="133"/>
      <c r="K564" s="133"/>
      <c r="N564" s="133"/>
      <c r="O564" s="133"/>
      <c r="R564" s="133"/>
      <c r="S564" s="133"/>
      <c r="V564" s="133"/>
      <c r="W564" s="133"/>
      <c r="Z564" s="148"/>
      <c r="AA564" s="133"/>
      <c r="AD564" s="133"/>
      <c r="AE564" s="133"/>
      <c r="AF564" s="32"/>
      <c r="AN564" s="152"/>
    </row>
    <row r="565" spans="7:40" ht="13">
      <c r="G565" s="133"/>
      <c r="K565" s="133"/>
      <c r="N565" s="133"/>
      <c r="O565" s="133"/>
      <c r="R565" s="133"/>
      <c r="S565" s="133"/>
      <c r="V565" s="133"/>
      <c r="W565" s="133"/>
      <c r="Z565" s="148"/>
      <c r="AA565" s="133"/>
      <c r="AD565" s="133"/>
      <c r="AE565" s="133"/>
      <c r="AF565" s="32"/>
      <c r="AN565" s="152"/>
    </row>
    <row r="566" spans="7:40" ht="13">
      <c r="G566" s="133"/>
      <c r="K566" s="133"/>
      <c r="N566" s="133"/>
      <c r="O566" s="133"/>
      <c r="R566" s="133"/>
      <c r="S566" s="133"/>
      <c r="V566" s="133"/>
      <c r="W566" s="133"/>
      <c r="Z566" s="148"/>
      <c r="AA566" s="133"/>
      <c r="AD566" s="133"/>
      <c r="AE566" s="133"/>
      <c r="AF566" s="32"/>
      <c r="AN566" s="152"/>
    </row>
    <row r="567" spans="7:40" ht="13">
      <c r="G567" s="133"/>
      <c r="K567" s="133"/>
      <c r="N567" s="133"/>
      <c r="O567" s="133"/>
      <c r="R567" s="133"/>
      <c r="S567" s="133"/>
      <c r="V567" s="133"/>
      <c r="W567" s="133"/>
      <c r="Z567" s="148"/>
      <c r="AA567" s="133"/>
      <c r="AD567" s="133"/>
      <c r="AE567" s="133"/>
      <c r="AF567" s="32"/>
      <c r="AN567" s="152"/>
    </row>
    <row r="568" spans="7:40" ht="13">
      <c r="G568" s="133"/>
      <c r="K568" s="133"/>
      <c r="N568" s="133"/>
      <c r="O568" s="133"/>
      <c r="R568" s="133"/>
      <c r="S568" s="133"/>
      <c r="V568" s="133"/>
      <c r="W568" s="133"/>
      <c r="Z568" s="148"/>
      <c r="AA568" s="133"/>
      <c r="AD568" s="133"/>
      <c r="AE568" s="133"/>
      <c r="AF568" s="32"/>
      <c r="AN568" s="152"/>
    </row>
    <row r="569" spans="7:40" ht="13">
      <c r="G569" s="133"/>
      <c r="K569" s="133"/>
      <c r="N569" s="133"/>
      <c r="O569" s="133"/>
      <c r="R569" s="133"/>
      <c r="S569" s="133"/>
      <c r="V569" s="133"/>
      <c r="W569" s="133"/>
      <c r="Z569" s="148"/>
      <c r="AA569" s="133"/>
      <c r="AD569" s="133"/>
      <c r="AE569" s="133"/>
      <c r="AF569" s="32"/>
      <c r="AN569" s="152"/>
    </row>
    <row r="570" spans="7:40" ht="13">
      <c r="G570" s="133"/>
      <c r="K570" s="133"/>
      <c r="N570" s="133"/>
      <c r="O570" s="133"/>
      <c r="R570" s="133"/>
      <c r="S570" s="133"/>
      <c r="V570" s="133"/>
      <c r="W570" s="133"/>
      <c r="Z570" s="148"/>
      <c r="AA570" s="133"/>
      <c r="AD570" s="133"/>
      <c r="AE570" s="133"/>
      <c r="AF570" s="32"/>
      <c r="AN570" s="152"/>
    </row>
    <row r="571" spans="7:40" ht="13">
      <c r="G571" s="133"/>
      <c r="K571" s="133"/>
      <c r="N571" s="133"/>
      <c r="O571" s="133"/>
      <c r="R571" s="133"/>
      <c r="S571" s="133"/>
      <c r="V571" s="133"/>
      <c r="W571" s="133"/>
      <c r="Z571" s="148"/>
      <c r="AA571" s="133"/>
      <c r="AD571" s="133"/>
      <c r="AE571" s="133"/>
      <c r="AF571" s="32"/>
      <c r="AN571" s="152"/>
    </row>
    <row r="572" spans="7:40" ht="13">
      <c r="G572" s="133"/>
      <c r="K572" s="133"/>
      <c r="N572" s="133"/>
      <c r="O572" s="133"/>
      <c r="R572" s="133"/>
      <c r="S572" s="133"/>
      <c r="V572" s="133"/>
      <c r="W572" s="133"/>
      <c r="Z572" s="148"/>
      <c r="AA572" s="133"/>
      <c r="AD572" s="133"/>
      <c r="AE572" s="133"/>
      <c r="AF572" s="32"/>
      <c r="AN572" s="152"/>
    </row>
    <row r="573" spans="7:40" ht="13">
      <c r="G573" s="133"/>
      <c r="K573" s="133"/>
      <c r="N573" s="133"/>
      <c r="O573" s="133"/>
      <c r="R573" s="133"/>
      <c r="S573" s="133"/>
      <c r="V573" s="133"/>
      <c r="W573" s="133"/>
      <c r="Z573" s="148"/>
      <c r="AA573" s="133"/>
      <c r="AD573" s="133"/>
      <c r="AE573" s="133"/>
      <c r="AF573" s="32"/>
      <c r="AN573" s="152"/>
    </row>
    <row r="574" spans="7:40" ht="13">
      <c r="G574" s="133"/>
      <c r="K574" s="133"/>
      <c r="N574" s="133"/>
      <c r="O574" s="133"/>
      <c r="R574" s="133"/>
      <c r="S574" s="133"/>
      <c r="V574" s="133"/>
      <c r="W574" s="133"/>
      <c r="Z574" s="148"/>
      <c r="AA574" s="133"/>
      <c r="AD574" s="133"/>
      <c r="AE574" s="133"/>
      <c r="AF574" s="32"/>
      <c r="AN574" s="152"/>
    </row>
    <row r="575" spans="7:40" ht="13">
      <c r="G575" s="133"/>
      <c r="K575" s="133"/>
      <c r="N575" s="133"/>
      <c r="O575" s="133"/>
      <c r="R575" s="133"/>
      <c r="S575" s="133"/>
      <c r="V575" s="133"/>
      <c r="W575" s="133"/>
      <c r="Z575" s="148"/>
      <c r="AA575" s="133"/>
      <c r="AD575" s="133"/>
      <c r="AE575" s="133"/>
      <c r="AF575" s="32"/>
      <c r="AN575" s="152"/>
    </row>
    <row r="576" spans="7:40" ht="13">
      <c r="G576" s="133"/>
      <c r="K576" s="133"/>
      <c r="N576" s="133"/>
      <c r="O576" s="133"/>
      <c r="R576" s="133"/>
      <c r="S576" s="133"/>
      <c r="V576" s="133"/>
      <c r="W576" s="133"/>
      <c r="Z576" s="148"/>
      <c r="AA576" s="133"/>
      <c r="AD576" s="133"/>
      <c r="AE576" s="133"/>
      <c r="AF576" s="32"/>
      <c r="AN576" s="152"/>
    </row>
    <row r="577" spans="7:40" ht="13">
      <c r="G577" s="133"/>
      <c r="K577" s="133"/>
      <c r="N577" s="133"/>
      <c r="O577" s="133"/>
      <c r="R577" s="133"/>
      <c r="S577" s="133"/>
      <c r="V577" s="133"/>
      <c r="W577" s="133"/>
      <c r="Z577" s="148"/>
      <c r="AA577" s="133"/>
      <c r="AD577" s="133"/>
      <c r="AE577" s="133"/>
      <c r="AF577" s="32"/>
      <c r="AN577" s="152"/>
    </row>
    <row r="578" spans="7:40" ht="13">
      <c r="G578" s="133"/>
      <c r="K578" s="133"/>
      <c r="N578" s="133"/>
      <c r="O578" s="133"/>
      <c r="R578" s="133"/>
      <c r="S578" s="133"/>
      <c r="V578" s="133"/>
      <c r="W578" s="133"/>
      <c r="Z578" s="148"/>
      <c r="AA578" s="133"/>
      <c r="AD578" s="133"/>
      <c r="AE578" s="133"/>
      <c r="AF578" s="32"/>
      <c r="AN578" s="152"/>
    </row>
    <row r="579" spans="7:40" ht="13">
      <c r="G579" s="133"/>
      <c r="K579" s="133"/>
      <c r="N579" s="133"/>
      <c r="O579" s="133"/>
      <c r="R579" s="133"/>
      <c r="S579" s="133"/>
      <c r="V579" s="133"/>
      <c r="W579" s="133"/>
      <c r="Z579" s="148"/>
      <c r="AA579" s="133"/>
      <c r="AD579" s="133"/>
      <c r="AE579" s="133"/>
      <c r="AF579" s="32"/>
      <c r="AN579" s="152"/>
    </row>
    <row r="580" spans="7:40" ht="13">
      <c r="G580" s="133"/>
      <c r="K580" s="133"/>
      <c r="N580" s="133"/>
      <c r="O580" s="133"/>
      <c r="R580" s="133"/>
      <c r="S580" s="133"/>
      <c r="V580" s="133"/>
      <c r="W580" s="133"/>
      <c r="Z580" s="148"/>
      <c r="AA580" s="133"/>
      <c r="AD580" s="133"/>
      <c r="AE580" s="133"/>
      <c r="AF580" s="32"/>
      <c r="AN580" s="152"/>
    </row>
    <row r="581" spans="7:40" ht="13">
      <c r="G581" s="133"/>
      <c r="K581" s="133"/>
      <c r="N581" s="133"/>
      <c r="O581" s="133"/>
      <c r="R581" s="133"/>
      <c r="S581" s="133"/>
      <c r="V581" s="133"/>
      <c r="W581" s="133"/>
      <c r="Z581" s="148"/>
      <c r="AA581" s="133"/>
      <c r="AD581" s="133"/>
      <c r="AE581" s="133"/>
      <c r="AF581" s="32"/>
      <c r="AN581" s="152"/>
    </row>
    <row r="582" spans="7:40" ht="13">
      <c r="G582" s="133"/>
      <c r="K582" s="133"/>
      <c r="N582" s="133"/>
      <c r="O582" s="133"/>
      <c r="R582" s="133"/>
      <c r="S582" s="133"/>
      <c r="V582" s="133"/>
      <c r="W582" s="133"/>
      <c r="Z582" s="148"/>
      <c r="AA582" s="133"/>
      <c r="AD582" s="133"/>
      <c r="AE582" s="133"/>
      <c r="AF582" s="32"/>
      <c r="AN582" s="152"/>
    </row>
    <row r="583" spans="7:40" ht="13">
      <c r="G583" s="133"/>
      <c r="K583" s="133"/>
      <c r="N583" s="133"/>
      <c r="O583" s="133"/>
      <c r="R583" s="133"/>
      <c r="S583" s="133"/>
      <c r="V583" s="133"/>
      <c r="W583" s="133"/>
      <c r="Z583" s="148"/>
      <c r="AA583" s="133"/>
      <c r="AD583" s="133"/>
      <c r="AE583" s="133"/>
      <c r="AF583" s="32"/>
      <c r="AN583" s="152"/>
    </row>
    <row r="584" spans="7:40" ht="13">
      <c r="G584" s="133"/>
      <c r="K584" s="133"/>
      <c r="N584" s="133"/>
      <c r="O584" s="133"/>
      <c r="R584" s="133"/>
      <c r="S584" s="133"/>
      <c r="V584" s="133"/>
      <c r="W584" s="133"/>
      <c r="Z584" s="148"/>
      <c r="AA584" s="133"/>
      <c r="AD584" s="133"/>
      <c r="AE584" s="133"/>
      <c r="AF584" s="32"/>
      <c r="AN584" s="152"/>
    </row>
    <row r="585" spans="7:40" ht="13">
      <c r="G585" s="133"/>
      <c r="K585" s="133"/>
      <c r="N585" s="133"/>
      <c r="O585" s="133"/>
      <c r="R585" s="133"/>
      <c r="S585" s="133"/>
      <c r="V585" s="133"/>
      <c r="W585" s="133"/>
      <c r="Z585" s="148"/>
      <c r="AA585" s="133"/>
      <c r="AD585" s="133"/>
      <c r="AE585" s="133"/>
      <c r="AF585" s="32"/>
      <c r="AN585" s="152"/>
    </row>
    <row r="586" spans="7:40" ht="13">
      <c r="G586" s="133"/>
      <c r="K586" s="133"/>
      <c r="N586" s="133"/>
      <c r="O586" s="133"/>
      <c r="R586" s="133"/>
      <c r="S586" s="133"/>
      <c r="V586" s="133"/>
      <c r="W586" s="133"/>
      <c r="Z586" s="148"/>
      <c r="AA586" s="133"/>
      <c r="AD586" s="133"/>
      <c r="AE586" s="133"/>
      <c r="AF586" s="32"/>
      <c r="AN586" s="152"/>
    </row>
    <row r="587" spans="7:40" ht="13">
      <c r="G587" s="133"/>
      <c r="K587" s="133"/>
      <c r="N587" s="133"/>
      <c r="O587" s="133"/>
      <c r="R587" s="133"/>
      <c r="S587" s="133"/>
      <c r="V587" s="133"/>
      <c r="W587" s="133"/>
      <c r="Z587" s="148"/>
      <c r="AA587" s="133"/>
      <c r="AD587" s="133"/>
      <c r="AE587" s="133"/>
      <c r="AF587" s="32"/>
      <c r="AN587" s="152"/>
    </row>
    <row r="588" spans="7:40" ht="13">
      <c r="G588" s="133"/>
      <c r="K588" s="133"/>
      <c r="N588" s="133"/>
      <c r="O588" s="133"/>
      <c r="R588" s="133"/>
      <c r="S588" s="133"/>
      <c r="V588" s="133"/>
      <c r="W588" s="133"/>
      <c r="Z588" s="148"/>
      <c r="AA588" s="133"/>
      <c r="AD588" s="133"/>
      <c r="AE588" s="133"/>
      <c r="AF588" s="32"/>
      <c r="AN588" s="152"/>
    </row>
    <row r="589" spans="7:40" ht="13">
      <c r="G589" s="133"/>
      <c r="K589" s="133"/>
      <c r="N589" s="133"/>
      <c r="O589" s="133"/>
      <c r="R589" s="133"/>
      <c r="S589" s="133"/>
      <c r="V589" s="133"/>
      <c r="W589" s="133"/>
      <c r="Z589" s="148"/>
      <c r="AA589" s="133"/>
      <c r="AD589" s="133"/>
      <c r="AE589" s="133"/>
      <c r="AF589" s="32"/>
      <c r="AN589" s="152"/>
    </row>
    <row r="590" spans="7:40" ht="13">
      <c r="G590" s="133"/>
      <c r="K590" s="133"/>
      <c r="N590" s="133"/>
      <c r="O590" s="133"/>
      <c r="R590" s="133"/>
      <c r="S590" s="133"/>
      <c r="V590" s="133"/>
      <c r="W590" s="133"/>
      <c r="Z590" s="148"/>
      <c r="AA590" s="133"/>
      <c r="AD590" s="133"/>
      <c r="AE590" s="133"/>
      <c r="AF590" s="32"/>
      <c r="AN590" s="152"/>
    </row>
    <row r="591" spans="7:40" ht="13">
      <c r="G591" s="133"/>
      <c r="K591" s="133"/>
      <c r="N591" s="133"/>
      <c r="O591" s="133"/>
      <c r="R591" s="133"/>
      <c r="S591" s="133"/>
      <c r="V591" s="133"/>
      <c r="W591" s="133"/>
      <c r="Z591" s="148"/>
      <c r="AA591" s="133"/>
      <c r="AD591" s="133"/>
      <c r="AE591" s="133"/>
      <c r="AF591" s="32"/>
      <c r="AN591" s="152"/>
    </row>
    <row r="592" spans="7:40" ht="13">
      <c r="G592" s="133"/>
      <c r="K592" s="133"/>
      <c r="N592" s="133"/>
      <c r="O592" s="133"/>
      <c r="R592" s="133"/>
      <c r="S592" s="133"/>
      <c r="V592" s="133"/>
      <c r="W592" s="133"/>
      <c r="Z592" s="148"/>
      <c r="AA592" s="133"/>
      <c r="AD592" s="133"/>
      <c r="AE592" s="133"/>
      <c r="AF592" s="32"/>
      <c r="AN592" s="152"/>
    </row>
    <row r="593" spans="7:40" ht="13">
      <c r="G593" s="133"/>
      <c r="K593" s="133"/>
      <c r="N593" s="133"/>
      <c r="O593" s="133"/>
      <c r="R593" s="133"/>
      <c r="S593" s="133"/>
      <c r="V593" s="133"/>
      <c r="W593" s="133"/>
      <c r="Z593" s="148"/>
      <c r="AA593" s="133"/>
      <c r="AD593" s="133"/>
      <c r="AE593" s="133"/>
      <c r="AF593" s="32"/>
      <c r="AN593" s="152"/>
    </row>
    <row r="594" spans="7:40" ht="13">
      <c r="G594" s="133"/>
      <c r="K594" s="133"/>
      <c r="N594" s="133"/>
      <c r="O594" s="133"/>
      <c r="R594" s="133"/>
      <c r="S594" s="133"/>
      <c r="V594" s="133"/>
      <c r="W594" s="133"/>
      <c r="Z594" s="148"/>
      <c r="AA594" s="133"/>
      <c r="AD594" s="133"/>
      <c r="AE594" s="133"/>
      <c r="AF594" s="32"/>
      <c r="AN594" s="152"/>
    </row>
    <row r="595" spans="7:40" ht="13">
      <c r="G595" s="133"/>
      <c r="K595" s="133"/>
      <c r="N595" s="133"/>
      <c r="O595" s="133"/>
      <c r="R595" s="133"/>
      <c r="S595" s="133"/>
      <c r="V595" s="133"/>
      <c r="W595" s="133"/>
      <c r="Z595" s="148"/>
      <c r="AA595" s="133"/>
      <c r="AD595" s="133"/>
      <c r="AE595" s="133"/>
      <c r="AF595" s="32"/>
      <c r="AN595" s="152"/>
    </row>
    <row r="596" spans="7:40" ht="13">
      <c r="G596" s="133"/>
      <c r="K596" s="133"/>
      <c r="N596" s="133"/>
      <c r="O596" s="133"/>
      <c r="R596" s="133"/>
      <c r="S596" s="133"/>
      <c r="V596" s="133"/>
      <c r="W596" s="133"/>
      <c r="Z596" s="148"/>
      <c r="AA596" s="133"/>
      <c r="AD596" s="133"/>
      <c r="AE596" s="133"/>
      <c r="AF596" s="32"/>
      <c r="AN596" s="152"/>
    </row>
    <row r="597" spans="7:40" ht="13">
      <c r="G597" s="133"/>
      <c r="K597" s="133"/>
      <c r="N597" s="133"/>
      <c r="O597" s="133"/>
      <c r="R597" s="133"/>
      <c r="S597" s="133"/>
      <c r="V597" s="133"/>
      <c r="W597" s="133"/>
      <c r="Z597" s="148"/>
      <c r="AA597" s="133"/>
      <c r="AD597" s="133"/>
      <c r="AE597" s="133"/>
      <c r="AF597" s="32"/>
      <c r="AN597" s="152"/>
    </row>
    <row r="598" spans="7:40" ht="13">
      <c r="G598" s="133"/>
      <c r="K598" s="133"/>
      <c r="N598" s="133"/>
      <c r="O598" s="133"/>
      <c r="R598" s="133"/>
      <c r="S598" s="133"/>
      <c r="V598" s="133"/>
      <c r="W598" s="133"/>
      <c r="Z598" s="148"/>
      <c r="AA598" s="133"/>
      <c r="AD598" s="133"/>
      <c r="AE598" s="133"/>
      <c r="AF598" s="32"/>
      <c r="AN598" s="152"/>
    </row>
    <row r="599" spans="7:40" ht="13">
      <c r="G599" s="133"/>
      <c r="K599" s="133"/>
      <c r="N599" s="133"/>
      <c r="O599" s="133"/>
      <c r="R599" s="133"/>
      <c r="S599" s="133"/>
      <c r="V599" s="133"/>
      <c r="W599" s="133"/>
      <c r="Z599" s="148"/>
      <c r="AA599" s="133"/>
      <c r="AD599" s="133"/>
      <c r="AE599" s="133"/>
      <c r="AF599" s="32"/>
      <c r="AN599" s="152"/>
    </row>
    <row r="600" spans="7:40" ht="13">
      <c r="G600" s="133"/>
      <c r="K600" s="133"/>
      <c r="N600" s="133"/>
      <c r="O600" s="133"/>
      <c r="R600" s="133"/>
      <c r="S600" s="133"/>
      <c r="V600" s="133"/>
      <c r="W600" s="133"/>
      <c r="Z600" s="148"/>
      <c r="AA600" s="133"/>
      <c r="AD600" s="133"/>
      <c r="AE600" s="133"/>
      <c r="AF600" s="32"/>
      <c r="AN600" s="152"/>
    </row>
    <row r="601" spans="7:40" ht="13">
      <c r="G601" s="133"/>
      <c r="K601" s="133"/>
      <c r="N601" s="133"/>
      <c r="O601" s="133"/>
      <c r="R601" s="133"/>
      <c r="S601" s="133"/>
      <c r="V601" s="133"/>
      <c r="W601" s="133"/>
      <c r="Z601" s="148"/>
      <c r="AA601" s="133"/>
      <c r="AD601" s="133"/>
      <c r="AE601" s="133"/>
      <c r="AF601" s="32"/>
      <c r="AN601" s="152"/>
    </row>
    <row r="602" spans="7:40" ht="13">
      <c r="G602" s="133"/>
      <c r="K602" s="133"/>
      <c r="N602" s="133"/>
      <c r="O602" s="133"/>
      <c r="R602" s="133"/>
      <c r="S602" s="133"/>
      <c r="V602" s="133"/>
      <c r="W602" s="133"/>
      <c r="Z602" s="148"/>
      <c r="AA602" s="133"/>
      <c r="AD602" s="133"/>
      <c r="AE602" s="133"/>
      <c r="AF602" s="32"/>
      <c r="AN602" s="152"/>
    </row>
    <row r="603" spans="7:40" ht="13">
      <c r="G603" s="133"/>
      <c r="K603" s="133"/>
      <c r="N603" s="133"/>
      <c r="O603" s="133"/>
      <c r="R603" s="133"/>
      <c r="S603" s="133"/>
      <c r="V603" s="133"/>
      <c r="W603" s="133"/>
      <c r="Z603" s="148"/>
      <c r="AA603" s="133"/>
      <c r="AD603" s="133"/>
      <c r="AE603" s="133"/>
      <c r="AF603" s="32"/>
      <c r="AN603" s="152"/>
    </row>
    <row r="604" spans="7:40" ht="13">
      <c r="G604" s="133"/>
      <c r="K604" s="133"/>
      <c r="N604" s="133"/>
      <c r="O604" s="133"/>
      <c r="R604" s="133"/>
      <c r="S604" s="133"/>
      <c r="V604" s="133"/>
      <c r="W604" s="133"/>
      <c r="Z604" s="148"/>
      <c r="AA604" s="133"/>
      <c r="AD604" s="133"/>
      <c r="AE604" s="133"/>
      <c r="AF604" s="32"/>
      <c r="AN604" s="152"/>
    </row>
    <row r="605" spans="7:40" ht="13">
      <c r="G605" s="133"/>
      <c r="K605" s="133"/>
      <c r="N605" s="133"/>
      <c r="O605" s="133"/>
      <c r="R605" s="133"/>
      <c r="S605" s="133"/>
      <c r="V605" s="133"/>
      <c r="W605" s="133"/>
      <c r="Z605" s="148"/>
      <c r="AA605" s="133"/>
      <c r="AD605" s="133"/>
      <c r="AE605" s="133"/>
      <c r="AF605" s="32"/>
      <c r="AN605" s="152"/>
    </row>
    <row r="606" spans="7:40" ht="13">
      <c r="G606" s="133"/>
      <c r="K606" s="133"/>
      <c r="N606" s="133"/>
      <c r="O606" s="133"/>
      <c r="R606" s="133"/>
      <c r="S606" s="133"/>
      <c r="V606" s="133"/>
      <c r="W606" s="133"/>
      <c r="Z606" s="148"/>
      <c r="AA606" s="133"/>
      <c r="AD606" s="133"/>
      <c r="AE606" s="133"/>
      <c r="AF606" s="32"/>
      <c r="AN606" s="152"/>
    </row>
    <row r="607" spans="7:40" ht="13">
      <c r="G607" s="133"/>
      <c r="K607" s="133"/>
      <c r="N607" s="133"/>
      <c r="O607" s="133"/>
      <c r="R607" s="133"/>
      <c r="S607" s="133"/>
      <c r="V607" s="133"/>
      <c r="W607" s="133"/>
      <c r="Z607" s="148"/>
      <c r="AA607" s="133"/>
      <c r="AD607" s="133"/>
      <c r="AE607" s="133"/>
      <c r="AF607" s="32"/>
      <c r="AN607" s="152"/>
    </row>
    <row r="608" spans="7:40" ht="13">
      <c r="G608" s="133"/>
      <c r="K608" s="133"/>
      <c r="N608" s="133"/>
      <c r="O608" s="133"/>
      <c r="R608" s="133"/>
      <c r="S608" s="133"/>
      <c r="V608" s="133"/>
      <c r="W608" s="133"/>
      <c r="Z608" s="148"/>
      <c r="AA608" s="133"/>
      <c r="AD608" s="133"/>
      <c r="AE608" s="133"/>
      <c r="AF608" s="32"/>
      <c r="AN608" s="152"/>
    </row>
    <row r="609" spans="7:40" ht="13">
      <c r="G609" s="133"/>
      <c r="K609" s="133"/>
      <c r="N609" s="133"/>
      <c r="O609" s="133"/>
      <c r="R609" s="133"/>
      <c r="S609" s="133"/>
      <c r="V609" s="133"/>
      <c r="W609" s="133"/>
      <c r="Z609" s="148"/>
      <c r="AA609" s="133"/>
      <c r="AD609" s="133"/>
      <c r="AE609" s="133"/>
      <c r="AF609" s="32"/>
      <c r="AN609" s="152"/>
    </row>
    <row r="610" spans="7:40" ht="13">
      <c r="G610" s="133"/>
      <c r="K610" s="133"/>
      <c r="N610" s="133"/>
      <c r="O610" s="133"/>
      <c r="R610" s="133"/>
      <c r="S610" s="133"/>
      <c r="V610" s="133"/>
      <c r="W610" s="133"/>
      <c r="Z610" s="148"/>
      <c r="AA610" s="133"/>
      <c r="AD610" s="133"/>
      <c r="AE610" s="133"/>
      <c r="AF610" s="32"/>
      <c r="AN610" s="152"/>
    </row>
    <row r="611" spans="7:40" ht="13">
      <c r="G611" s="133"/>
      <c r="K611" s="133"/>
      <c r="N611" s="133"/>
      <c r="O611" s="133"/>
      <c r="R611" s="133"/>
      <c r="S611" s="133"/>
      <c r="V611" s="133"/>
      <c r="W611" s="133"/>
      <c r="Z611" s="148"/>
      <c r="AA611" s="133"/>
      <c r="AD611" s="133"/>
      <c r="AE611" s="133"/>
      <c r="AF611" s="32"/>
      <c r="AN611" s="152"/>
    </row>
    <row r="612" spans="7:40" ht="13">
      <c r="G612" s="133"/>
      <c r="K612" s="133"/>
      <c r="N612" s="133"/>
      <c r="O612" s="133"/>
      <c r="R612" s="133"/>
      <c r="S612" s="133"/>
      <c r="V612" s="133"/>
      <c r="W612" s="133"/>
      <c r="Z612" s="148"/>
      <c r="AA612" s="133"/>
      <c r="AD612" s="133"/>
      <c r="AE612" s="133"/>
      <c r="AF612" s="32"/>
      <c r="AN612" s="152"/>
    </row>
    <row r="613" spans="7:40" ht="13">
      <c r="G613" s="133"/>
      <c r="K613" s="133"/>
      <c r="N613" s="133"/>
      <c r="O613" s="133"/>
      <c r="R613" s="133"/>
      <c r="S613" s="133"/>
      <c r="V613" s="133"/>
      <c r="W613" s="133"/>
      <c r="Z613" s="148"/>
      <c r="AA613" s="133"/>
      <c r="AD613" s="133"/>
      <c r="AE613" s="133"/>
      <c r="AF613" s="32"/>
      <c r="AN613" s="152"/>
    </row>
    <row r="614" spans="7:40" ht="13">
      <c r="G614" s="133"/>
      <c r="K614" s="133"/>
      <c r="N614" s="133"/>
      <c r="O614" s="133"/>
      <c r="R614" s="133"/>
      <c r="S614" s="133"/>
      <c r="V614" s="133"/>
      <c r="W614" s="133"/>
      <c r="Z614" s="148"/>
      <c r="AA614" s="133"/>
      <c r="AD614" s="133"/>
      <c r="AE614" s="133"/>
      <c r="AF614" s="32"/>
      <c r="AN614" s="152"/>
    </row>
    <row r="615" spans="7:40" ht="13">
      <c r="G615" s="133"/>
      <c r="K615" s="133"/>
      <c r="N615" s="133"/>
      <c r="O615" s="133"/>
      <c r="R615" s="133"/>
      <c r="S615" s="133"/>
      <c r="V615" s="133"/>
      <c r="W615" s="133"/>
      <c r="Z615" s="148"/>
      <c r="AA615" s="133"/>
      <c r="AD615" s="133"/>
      <c r="AE615" s="133"/>
      <c r="AF615" s="32"/>
      <c r="AN615" s="152"/>
    </row>
    <row r="616" spans="7:40" ht="13">
      <c r="G616" s="133"/>
      <c r="K616" s="133"/>
      <c r="N616" s="133"/>
      <c r="O616" s="133"/>
      <c r="R616" s="133"/>
      <c r="S616" s="133"/>
      <c r="V616" s="133"/>
      <c r="W616" s="133"/>
      <c r="Z616" s="148"/>
      <c r="AA616" s="133"/>
      <c r="AD616" s="133"/>
      <c r="AE616" s="133"/>
      <c r="AF616" s="32"/>
      <c r="AN616" s="152"/>
    </row>
    <row r="617" spans="7:40" ht="13">
      <c r="G617" s="133"/>
      <c r="K617" s="133"/>
      <c r="N617" s="133"/>
      <c r="O617" s="133"/>
      <c r="R617" s="133"/>
      <c r="S617" s="133"/>
      <c r="V617" s="133"/>
      <c r="W617" s="133"/>
      <c r="Z617" s="148"/>
      <c r="AA617" s="133"/>
      <c r="AD617" s="133"/>
      <c r="AE617" s="133"/>
      <c r="AF617" s="32"/>
      <c r="AN617" s="152"/>
    </row>
    <row r="618" spans="7:40" ht="13">
      <c r="G618" s="133"/>
      <c r="K618" s="133"/>
      <c r="N618" s="133"/>
      <c r="O618" s="133"/>
      <c r="R618" s="133"/>
      <c r="S618" s="133"/>
      <c r="V618" s="133"/>
      <c r="W618" s="133"/>
      <c r="Z618" s="148"/>
      <c r="AA618" s="133"/>
      <c r="AD618" s="133"/>
      <c r="AE618" s="133"/>
      <c r="AF618" s="32"/>
      <c r="AN618" s="152"/>
    </row>
    <row r="619" spans="7:40" ht="13">
      <c r="G619" s="133"/>
      <c r="K619" s="133"/>
      <c r="N619" s="133"/>
      <c r="O619" s="133"/>
      <c r="R619" s="133"/>
      <c r="S619" s="133"/>
      <c r="V619" s="133"/>
      <c r="W619" s="133"/>
      <c r="Z619" s="148"/>
      <c r="AA619" s="133"/>
      <c r="AD619" s="133"/>
      <c r="AE619" s="133"/>
      <c r="AF619" s="32"/>
      <c r="AN619" s="152"/>
    </row>
    <row r="620" spans="7:40" ht="13">
      <c r="G620" s="133"/>
      <c r="K620" s="133"/>
      <c r="N620" s="133"/>
      <c r="O620" s="133"/>
      <c r="R620" s="133"/>
      <c r="S620" s="133"/>
      <c r="V620" s="133"/>
      <c r="W620" s="133"/>
      <c r="Z620" s="148"/>
      <c r="AA620" s="133"/>
      <c r="AD620" s="133"/>
      <c r="AE620" s="133"/>
      <c r="AF620" s="32"/>
      <c r="AN620" s="152"/>
    </row>
    <row r="621" spans="7:40" ht="13">
      <c r="G621" s="133"/>
      <c r="K621" s="133"/>
      <c r="N621" s="133"/>
      <c r="O621" s="133"/>
      <c r="R621" s="133"/>
      <c r="S621" s="133"/>
      <c r="V621" s="133"/>
      <c r="W621" s="133"/>
      <c r="Z621" s="148"/>
      <c r="AA621" s="133"/>
      <c r="AD621" s="133"/>
      <c r="AE621" s="133"/>
      <c r="AF621" s="32"/>
      <c r="AN621" s="152"/>
    </row>
    <row r="622" spans="7:40" ht="13">
      <c r="G622" s="133"/>
      <c r="K622" s="133"/>
      <c r="N622" s="133"/>
      <c r="O622" s="133"/>
      <c r="R622" s="133"/>
      <c r="S622" s="133"/>
      <c r="V622" s="133"/>
      <c r="W622" s="133"/>
      <c r="Z622" s="148"/>
      <c r="AA622" s="133"/>
      <c r="AD622" s="133"/>
      <c r="AE622" s="133"/>
      <c r="AF622" s="32"/>
      <c r="AN622" s="152"/>
    </row>
    <row r="623" spans="7:40" ht="13">
      <c r="G623" s="133"/>
      <c r="K623" s="133"/>
      <c r="N623" s="133"/>
      <c r="O623" s="133"/>
      <c r="R623" s="133"/>
      <c r="S623" s="133"/>
      <c r="V623" s="133"/>
      <c r="W623" s="133"/>
      <c r="Z623" s="148"/>
      <c r="AA623" s="133"/>
      <c r="AD623" s="133"/>
      <c r="AE623" s="133"/>
      <c r="AF623" s="32"/>
      <c r="AN623" s="152"/>
    </row>
    <row r="624" spans="7:40" ht="13">
      <c r="G624" s="133"/>
      <c r="K624" s="133"/>
      <c r="N624" s="133"/>
      <c r="O624" s="133"/>
      <c r="R624" s="133"/>
      <c r="S624" s="133"/>
      <c r="V624" s="133"/>
      <c r="W624" s="133"/>
      <c r="Z624" s="148"/>
      <c r="AA624" s="133"/>
      <c r="AD624" s="133"/>
      <c r="AE624" s="133"/>
      <c r="AF624" s="32"/>
      <c r="AN624" s="152"/>
    </row>
    <row r="625" spans="7:40" ht="13">
      <c r="G625" s="133"/>
      <c r="K625" s="133"/>
      <c r="N625" s="133"/>
      <c r="O625" s="133"/>
      <c r="R625" s="133"/>
      <c r="S625" s="133"/>
      <c r="V625" s="133"/>
      <c r="W625" s="133"/>
      <c r="Z625" s="148"/>
      <c r="AA625" s="133"/>
      <c r="AD625" s="133"/>
      <c r="AE625" s="133"/>
      <c r="AF625" s="32"/>
      <c r="AN625" s="152"/>
    </row>
    <row r="626" spans="7:40" ht="13">
      <c r="G626" s="133"/>
      <c r="K626" s="133"/>
      <c r="N626" s="133"/>
      <c r="O626" s="133"/>
      <c r="R626" s="133"/>
      <c r="S626" s="133"/>
      <c r="V626" s="133"/>
      <c r="W626" s="133"/>
      <c r="Z626" s="148"/>
      <c r="AA626" s="133"/>
      <c r="AD626" s="133"/>
      <c r="AE626" s="133"/>
      <c r="AF626" s="32"/>
      <c r="AN626" s="152"/>
    </row>
    <row r="627" spans="7:40" ht="13">
      <c r="G627" s="133"/>
      <c r="K627" s="133"/>
      <c r="N627" s="133"/>
      <c r="O627" s="133"/>
      <c r="R627" s="133"/>
      <c r="S627" s="133"/>
      <c r="V627" s="133"/>
      <c r="W627" s="133"/>
      <c r="Z627" s="148"/>
      <c r="AA627" s="133"/>
      <c r="AD627" s="133"/>
      <c r="AE627" s="133"/>
      <c r="AF627" s="32"/>
      <c r="AN627" s="152"/>
    </row>
    <row r="628" spans="7:40" ht="13">
      <c r="G628" s="133"/>
      <c r="K628" s="133"/>
      <c r="N628" s="133"/>
      <c r="O628" s="133"/>
      <c r="R628" s="133"/>
      <c r="S628" s="133"/>
      <c r="V628" s="133"/>
      <c r="W628" s="133"/>
      <c r="Z628" s="148"/>
      <c r="AA628" s="133"/>
      <c r="AD628" s="133"/>
      <c r="AE628" s="133"/>
      <c r="AF628" s="32"/>
      <c r="AN628" s="152"/>
    </row>
    <row r="629" spans="7:40" ht="13">
      <c r="G629" s="133"/>
      <c r="K629" s="133"/>
      <c r="N629" s="133"/>
      <c r="O629" s="133"/>
      <c r="R629" s="133"/>
      <c r="S629" s="133"/>
      <c r="V629" s="133"/>
      <c r="W629" s="133"/>
      <c r="Z629" s="148"/>
      <c r="AA629" s="133"/>
      <c r="AD629" s="133"/>
      <c r="AE629" s="133"/>
      <c r="AF629" s="32"/>
      <c r="AN629" s="152"/>
    </row>
    <row r="630" spans="7:40" ht="13">
      <c r="G630" s="133"/>
      <c r="K630" s="133"/>
      <c r="N630" s="133"/>
      <c r="O630" s="133"/>
      <c r="R630" s="133"/>
      <c r="S630" s="133"/>
      <c r="V630" s="133"/>
      <c r="W630" s="133"/>
      <c r="Z630" s="148"/>
      <c r="AA630" s="133"/>
      <c r="AD630" s="133"/>
      <c r="AE630" s="133"/>
      <c r="AF630" s="32"/>
      <c r="AN630" s="152"/>
    </row>
    <row r="631" spans="7:40" ht="13">
      <c r="G631" s="133"/>
      <c r="K631" s="133"/>
      <c r="N631" s="133"/>
      <c r="O631" s="133"/>
      <c r="R631" s="133"/>
      <c r="S631" s="133"/>
      <c r="V631" s="133"/>
      <c r="W631" s="133"/>
      <c r="Z631" s="148"/>
      <c r="AA631" s="133"/>
      <c r="AD631" s="133"/>
      <c r="AE631" s="133"/>
      <c r="AF631" s="32"/>
      <c r="AN631" s="152"/>
    </row>
    <row r="632" spans="7:40" ht="13">
      <c r="G632" s="133"/>
      <c r="K632" s="133"/>
      <c r="N632" s="133"/>
      <c r="O632" s="133"/>
      <c r="R632" s="133"/>
      <c r="S632" s="133"/>
      <c r="V632" s="133"/>
      <c r="W632" s="133"/>
      <c r="Z632" s="148"/>
      <c r="AA632" s="133"/>
      <c r="AD632" s="133"/>
      <c r="AE632" s="133"/>
      <c r="AF632" s="32"/>
      <c r="AN632" s="152"/>
    </row>
    <row r="633" spans="7:40" ht="13">
      <c r="G633" s="133"/>
      <c r="K633" s="133"/>
      <c r="N633" s="133"/>
      <c r="O633" s="133"/>
      <c r="R633" s="133"/>
      <c r="S633" s="133"/>
      <c r="V633" s="133"/>
      <c r="W633" s="133"/>
      <c r="Z633" s="148"/>
      <c r="AA633" s="133"/>
      <c r="AD633" s="133"/>
      <c r="AE633" s="133"/>
      <c r="AF633" s="32"/>
      <c r="AN633" s="152"/>
    </row>
    <row r="634" spans="7:40" ht="13">
      <c r="G634" s="133"/>
      <c r="K634" s="133"/>
      <c r="N634" s="133"/>
      <c r="O634" s="133"/>
      <c r="R634" s="133"/>
      <c r="S634" s="133"/>
      <c r="V634" s="133"/>
      <c r="W634" s="133"/>
      <c r="Z634" s="148"/>
      <c r="AA634" s="133"/>
      <c r="AD634" s="133"/>
      <c r="AE634" s="133"/>
      <c r="AF634" s="32"/>
      <c r="AN634" s="152"/>
    </row>
    <row r="635" spans="7:40" ht="13">
      <c r="G635" s="133"/>
      <c r="K635" s="133"/>
      <c r="N635" s="133"/>
      <c r="O635" s="133"/>
      <c r="R635" s="133"/>
      <c r="S635" s="133"/>
      <c r="V635" s="133"/>
      <c r="W635" s="133"/>
      <c r="Z635" s="148"/>
      <c r="AA635" s="133"/>
      <c r="AD635" s="133"/>
      <c r="AE635" s="133"/>
      <c r="AF635" s="32"/>
      <c r="AN635" s="152"/>
    </row>
    <row r="636" spans="7:40" ht="13">
      <c r="G636" s="133"/>
      <c r="K636" s="133"/>
      <c r="N636" s="133"/>
      <c r="O636" s="133"/>
      <c r="R636" s="133"/>
      <c r="S636" s="133"/>
      <c r="V636" s="133"/>
      <c r="W636" s="133"/>
      <c r="Z636" s="148"/>
      <c r="AA636" s="133"/>
      <c r="AD636" s="133"/>
      <c r="AE636" s="133"/>
      <c r="AF636" s="32"/>
      <c r="AN636" s="152"/>
    </row>
    <row r="637" spans="7:40" ht="13">
      <c r="G637" s="133"/>
      <c r="K637" s="133"/>
      <c r="N637" s="133"/>
      <c r="O637" s="133"/>
      <c r="R637" s="133"/>
      <c r="S637" s="133"/>
      <c r="V637" s="133"/>
      <c r="W637" s="133"/>
      <c r="Z637" s="148"/>
      <c r="AA637" s="133"/>
      <c r="AD637" s="133"/>
      <c r="AE637" s="133"/>
      <c r="AF637" s="32"/>
      <c r="AN637" s="152"/>
    </row>
    <row r="638" spans="7:40" ht="13">
      <c r="G638" s="133"/>
      <c r="K638" s="133"/>
      <c r="N638" s="133"/>
      <c r="O638" s="133"/>
      <c r="R638" s="133"/>
      <c r="S638" s="133"/>
      <c r="V638" s="133"/>
      <c r="W638" s="133"/>
      <c r="Z638" s="148"/>
      <c r="AA638" s="133"/>
      <c r="AD638" s="133"/>
      <c r="AE638" s="133"/>
      <c r="AF638" s="32"/>
      <c r="AN638" s="152"/>
    </row>
    <row r="639" spans="7:40" ht="13">
      <c r="G639" s="133"/>
      <c r="K639" s="133"/>
      <c r="N639" s="133"/>
      <c r="O639" s="133"/>
      <c r="R639" s="133"/>
      <c r="S639" s="133"/>
      <c r="V639" s="133"/>
      <c r="W639" s="133"/>
      <c r="Z639" s="148"/>
      <c r="AA639" s="133"/>
      <c r="AD639" s="133"/>
      <c r="AE639" s="133"/>
      <c r="AF639" s="32"/>
      <c r="AN639" s="152"/>
    </row>
    <row r="640" spans="7:40" ht="13">
      <c r="G640" s="133"/>
      <c r="K640" s="133"/>
      <c r="N640" s="133"/>
      <c r="O640" s="133"/>
      <c r="R640" s="133"/>
      <c r="S640" s="133"/>
      <c r="V640" s="133"/>
      <c r="W640" s="133"/>
      <c r="Z640" s="148"/>
      <c r="AA640" s="133"/>
      <c r="AD640" s="133"/>
      <c r="AE640" s="133"/>
      <c r="AF640" s="32"/>
      <c r="AN640" s="152"/>
    </row>
    <row r="641" spans="7:40" ht="13">
      <c r="G641" s="133"/>
      <c r="K641" s="133"/>
      <c r="N641" s="133"/>
      <c r="O641" s="133"/>
      <c r="R641" s="133"/>
      <c r="S641" s="133"/>
      <c r="V641" s="133"/>
      <c r="W641" s="133"/>
      <c r="Z641" s="148"/>
      <c r="AA641" s="133"/>
      <c r="AD641" s="133"/>
      <c r="AE641" s="133"/>
      <c r="AF641" s="32"/>
      <c r="AN641" s="152"/>
    </row>
    <row r="642" spans="7:40" ht="13">
      <c r="G642" s="133"/>
      <c r="K642" s="133"/>
      <c r="N642" s="133"/>
      <c r="O642" s="133"/>
      <c r="R642" s="133"/>
      <c r="S642" s="133"/>
      <c r="V642" s="133"/>
      <c r="W642" s="133"/>
      <c r="Z642" s="148"/>
      <c r="AA642" s="133"/>
      <c r="AD642" s="133"/>
      <c r="AE642" s="133"/>
      <c r="AF642" s="32"/>
      <c r="AN642" s="152"/>
    </row>
    <row r="643" spans="7:40" ht="13">
      <c r="G643" s="133"/>
      <c r="K643" s="133"/>
      <c r="N643" s="133"/>
      <c r="O643" s="133"/>
      <c r="R643" s="133"/>
      <c r="S643" s="133"/>
      <c r="V643" s="133"/>
      <c r="W643" s="133"/>
      <c r="Z643" s="148"/>
      <c r="AA643" s="133"/>
      <c r="AD643" s="133"/>
      <c r="AE643" s="133"/>
      <c r="AF643" s="32"/>
      <c r="AN643" s="152"/>
    </row>
    <row r="644" spans="7:40" ht="13">
      <c r="G644" s="133"/>
      <c r="K644" s="133"/>
      <c r="N644" s="133"/>
      <c r="O644" s="133"/>
      <c r="R644" s="133"/>
      <c r="S644" s="133"/>
      <c r="V644" s="133"/>
      <c r="W644" s="133"/>
      <c r="Z644" s="148"/>
      <c r="AA644" s="133"/>
      <c r="AD644" s="133"/>
      <c r="AE644" s="133"/>
      <c r="AF644" s="32"/>
      <c r="AN644" s="152"/>
    </row>
    <row r="645" spans="7:40" ht="13">
      <c r="G645" s="133"/>
      <c r="K645" s="133"/>
      <c r="N645" s="133"/>
      <c r="O645" s="133"/>
      <c r="R645" s="133"/>
      <c r="S645" s="133"/>
      <c r="V645" s="133"/>
      <c r="W645" s="133"/>
      <c r="Z645" s="148"/>
      <c r="AA645" s="133"/>
      <c r="AD645" s="133"/>
      <c r="AE645" s="133"/>
      <c r="AF645" s="32"/>
      <c r="AN645" s="152"/>
    </row>
    <row r="646" spans="7:40" ht="13">
      <c r="G646" s="133"/>
      <c r="K646" s="133"/>
      <c r="N646" s="133"/>
      <c r="O646" s="133"/>
      <c r="R646" s="133"/>
      <c r="S646" s="133"/>
      <c r="V646" s="133"/>
      <c r="W646" s="133"/>
      <c r="Z646" s="148"/>
      <c r="AA646" s="133"/>
      <c r="AD646" s="133"/>
      <c r="AE646" s="133"/>
      <c r="AF646" s="32"/>
      <c r="AN646" s="152"/>
    </row>
    <row r="647" spans="7:40" ht="13">
      <c r="G647" s="133"/>
      <c r="K647" s="133"/>
      <c r="N647" s="133"/>
      <c r="O647" s="133"/>
      <c r="R647" s="133"/>
      <c r="S647" s="133"/>
      <c r="V647" s="133"/>
      <c r="W647" s="133"/>
      <c r="Z647" s="148"/>
      <c r="AA647" s="133"/>
      <c r="AD647" s="133"/>
      <c r="AE647" s="133"/>
      <c r="AF647" s="32"/>
      <c r="AN647" s="152"/>
    </row>
    <row r="648" spans="7:40" ht="13">
      <c r="G648" s="133"/>
      <c r="K648" s="133"/>
      <c r="N648" s="133"/>
      <c r="O648" s="133"/>
      <c r="R648" s="133"/>
      <c r="S648" s="133"/>
      <c r="V648" s="133"/>
      <c r="W648" s="133"/>
      <c r="Z648" s="148"/>
      <c r="AA648" s="133"/>
      <c r="AD648" s="133"/>
      <c r="AE648" s="133"/>
      <c r="AF648" s="32"/>
      <c r="AN648" s="152"/>
    </row>
    <row r="649" spans="7:40" ht="13">
      <c r="G649" s="133"/>
      <c r="K649" s="133"/>
      <c r="N649" s="133"/>
      <c r="O649" s="133"/>
      <c r="R649" s="133"/>
      <c r="S649" s="133"/>
      <c r="V649" s="133"/>
      <c r="W649" s="133"/>
      <c r="Z649" s="148"/>
      <c r="AA649" s="133"/>
      <c r="AD649" s="133"/>
      <c r="AE649" s="133"/>
      <c r="AF649" s="32"/>
      <c r="AN649" s="152"/>
    </row>
    <row r="650" spans="7:40" ht="13">
      <c r="G650" s="133"/>
      <c r="K650" s="133"/>
      <c r="N650" s="133"/>
      <c r="O650" s="133"/>
      <c r="R650" s="133"/>
      <c r="S650" s="133"/>
      <c r="V650" s="133"/>
      <c r="W650" s="133"/>
      <c r="Z650" s="148"/>
      <c r="AA650" s="133"/>
      <c r="AD650" s="133"/>
      <c r="AE650" s="133"/>
      <c r="AF650" s="32"/>
      <c r="AN650" s="152"/>
    </row>
    <row r="651" spans="7:40" ht="13">
      <c r="G651" s="133"/>
      <c r="K651" s="133"/>
      <c r="N651" s="133"/>
      <c r="O651" s="133"/>
      <c r="R651" s="133"/>
      <c r="S651" s="133"/>
      <c r="V651" s="133"/>
      <c r="W651" s="133"/>
      <c r="Z651" s="148"/>
      <c r="AA651" s="133"/>
      <c r="AD651" s="133"/>
      <c r="AE651" s="133"/>
      <c r="AF651" s="32"/>
      <c r="AN651" s="152"/>
    </row>
    <row r="652" spans="7:40" ht="13">
      <c r="G652" s="133"/>
      <c r="K652" s="133"/>
      <c r="N652" s="133"/>
      <c r="O652" s="133"/>
      <c r="R652" s="133"/>
      <c r="S652" s="133"/>
      <c r="V652" s="133"/>
      <c r="W652" s="133"/>
      <c r="Z652" s="148"/>
      <c r="AA652" s="133"/>
      <c r="AD652" s="133"/>
      <c r="AE652" s="133"/>
      <c r="AF652" s="32"/>
      <c r="AN652" s="152"/>
    </row>
    <row r="653" spans="7:40" ht="13">
      <c r="G653" s="133"/>
      <c r="K653" s="133"/>
      <c r="N653" s="133"/>
      <c r="O653" s="133"/>
      <c r="R653" s="133"/>
      <c r="S653" s="133"/>
      <c r="V653" s="133"/>
      <c r="W653" s="133"/>
      <c r="Z653" s="148"/>
      <c r="AA653" s="133"/>
      <c r="AD653" s="133"/>
      <c r="AE653" s="133"/>
      <c r="AF653" s="32"/>
      <c r="AN653" s="152"/>
    </row>
    <row r="654" spans="7:40" ht="13">
      <c r="G654" s="133"/>
      <c r="K654" s="133"/>
      <c r="N654" s="133"/>
      <c r="O654" s="133"/>
      <c r="R654" s="133"/>
      <c r="S654" s="133"/>
      <c r="V654" s="133"/>
      <c r="W654" s="133"/>
      <c r="Z654" s="148"/>
      <c r="AA654" s="133"/>
      <c r="AD654" s="133"/>
      <c r="AE654" s="133"/>
      <c r="AF654" s="32"/>
      <c r="AN654" s="152"/>
    </row>
    <row r="655" spans="7:40" ht="13">
      <c r="G655" s="133"/>
      <c r="K655" s="133"/>
      <c r="N655" s="133"/>
      <c r="O655" s="133"/>
      <c r="R655" s="133"/>
      <c r="S655" s="133"/>
      <c r="V655" s="133"/>
      <c r="W655" s="133"/>
      <c r="Z655" s="148"/>
      <c r="AA655" s="133"/>
      <c r="AD655" s="133"/>
      <c r="AE655" s="133"/>
      <c r="AF655" s="32"/>
      <c r="AN655" s="152"/>
    </row>
    <row r="656" spans="7:40" ht="13">
      <c r="G656" s="133"/>
      <c r="K656" s="133"/>
      <c r="N656" s="133"/>
      <c r="O656" s="133"/>
      <c r="R656" s="133"/>
      <c r="S656" s="133"/>
      <c r="V656" s="133"/>
      <c r="W656" s="133"/>
      <c r="Z656" s="148"/>
      <c r="AA656" s="133"/>
      <c r="AD656" s="133"/>
      <c r="AE656" s="133"/>
      <c r="AF656" s="32"/>
      <c r="AN656" s="152"/>
    </row>
    <row r="657" spans="7:40" ht="13">
      <c r="G657" s="133"/>
      <c r="K657" s="133"/>
      <c r="N657" s="133"/>
      <c r="O657" s="133"/>
      <c r="R657" s="133"/>
      <c r="S657" s="133"/>
      <c r="V657" s="133"/>
      <c r="W657" s="133"/>
      <c r="Z657" s="148"/>
      <c r="AA657" s="133"/>
      <c r="AD657" s="133"/>
      <c r="AE657" s="133"/>
      <c r="AF657" s="32"/>
      <c r="AN657" s="152"/>
    </row>
    <row r="658" spans="7:40" ht="13">
      <c r="G658" s="133"/>
      <c r="K658" s="133"/>
      <c r="N658" s="133"/>
      <c r="O658" s="133"/>
      <c r="R658" s="133"/>
      <c r="S658" s="133"/>
      <c r="V658" s="133"/>
      <c r="W658" s="133"/>
      <c r="Z658" s="148"/>
      <c r="AA658" s="133"/>
      <c r="AD658" s="133"/>
      <c r="AE658" s="133"/>
      <c r="AF658" s="32"/>
      <c r="AN658" s="152"/>
    </row>
    <row r="659" spans="7:40" ht="13">
      <c r="G659" s="133"/>
      <c r="K659" s="133"/>
      <c r="N659" s="133"/>
      <c r="O659" s="133"/>
      <c r="R659" s="133"/>
      <c r="S659" s="133"/>
      <c r="V659" s="133"/>
      <c r="W659" s="133"/>
      <c r="Z659" s="148"/>
      <c r="AA659" s="133"/>
      <c r="AD659" s="133"/>
      <c r="AE659" s="133"/>
      <c r="AF659" s="32"/>
      <c r="AN659" s="152"/>
    </row>
    <row r="660" spans="7:40" ht="13">
      <c r="G660" s="133"/>
      <c r="K660" s="133"/>
      <c r="N660" s="133"/>
      <c r="O660" s="133"/>
      <c r="R660" s="133"/>
      <c r="S660" s="133"/>
      <c r="V660" s="133"/>
      <c r="W660" s="133"/>
      <c r="Z660" s="148"/>
      <c r="AA660" s="133"/>
      <c r="AD660" s="133"/>
      <c r="AE660" s="133"/>
      <c r="AF660" s="32"/>
      <c r="AN660" s="152"/>
    </row>
    <row r="661" spans="7:40" ht="13">
      <c r="G661" s="133"/>
      <c r="K661" s="133"/>
      <c r="N661" s="133"/>
      <c r="O661" s="133"/>
      <c r="R661" s="133"/>
      <c r="S661" s="133"/>
      <c r="V661" s="133"/>
      <c r="W661" s="133"/>
      <c r="Z661" s="148"/>
      <c r="AA661" s="133"/>
      <c r="AD661" s="133"/>
      <c r="AE661" s="133"/>
      <c r="AF661" s="32"/>
      <c r="AN661" s="152"/>
    </row>
    <row r="662" spans="7:40" ht="13">
      <c r="G662" s="133"/>
      <c r="K662" s="133"/>
      <c r="N662" s="133"/>
      <c r="O662" s="133"/>
      <c r="R662" s="133"/>
      <c r="S662" s="133"/>
      <c r="V662" s="133"/>
      <c r="W662" s="133"/>
      <c r="Z662" s="148"/>
      <c r="AA662" s="133"/>
      <c r="AD662" s="133"/>
      <c r="AE662" s="133"/>
      <c r="AF662" s="32"/>
      <c r="AN662" s="152"/>
    </row>
    <row r="663" spans="7:40" ht="13">
      <c r="G663" s="133"/>
      <c r="K663" s="133"/>
      <c r="N663" s="133"/>
      <c r="O663" s="133"/>
      <c r="R663" s="133"/>
      <c r="S663" s="133"/>
      <c r="V663" s="133"/>
      <c r="W663" s="133"/>
      <c r="Z663" s="148"/>
      <c r="AA663" s="133"/>
      <c r="AD663" s="133"/>
      <c r="AE663" s="133"/>
      <c r="AF663" s="32"/>
      <c r="AN663" s="152"/>
    </row>
    <row r="664" spans="7:40" ht="13">
      <c r="G664" s="133"/>
      <c r="K664" s="133"/>
      <c r="N664" s="133"/>
      <c r="O664" s="133"/>
      <c r="R664" s="133"/>
      <c r="S664" s="133"/>
      <c r="V664" s="133"/>
      <c r="W664" s="133"/>
      <c r="Z664" s="148"/>
      <c r="AA664" s="133"/>
      <c r="AD664" s="133"/>
      <c r="AE664" s="133"/>
      <c r="AF664" s="32"/>
      <c r="AN664" s="152"/>
    </row>
    <row r="665" spans="7:40" ht="13">
      <c r="G665" s="133"/>
      <c r="K665" s="133"/>
      <c r="N665" s="133"/>
      <c r="O665" s="133"/>
      <c r="R665" s="133"/>
      <c r="S665" s="133"/>
      <c r="V665" s="133"/>
      <c r="W665" s="133"/>
      <c r="Z665" s="148"/>
      <c r="AA665" s="133"/>
      <c r="AD665" s="133"/>
      <c r="AE665" s="133"/>
      <c r="AF665" s="32"/>
      <c r="AN665" s="152"/>
    </row>
    <row r="666" spans="7:40" ht="13">
      <c r="G666" s="133"/>
      <c r="K666" s="133"/>
      <c r="N666" s="133"/>
      <c r="O666" s="133"/>
      <c r="R666" s="133"/>
      <c r="S666" s="133"/>
      <c r="V666" s="133"/>
      <c r="W666" s="133"/>
      <c r="Z666" s="148"/>
      <c r="AA666" s="133"/>
      <c r="AD666" s="133"/>
      <c r="AE666" s="133"/>
      <c r="AF666" s="32"/>
      <c r="AN666" s="152"/>
    </row>
    <row r="667" spans="7:40" ht="13">
      <c r="G667" s="133"/>
      <c r="K667" s="133"/>
      <c r="N667" s="133"/>
      <c r="O667" s="133"/>
      <c r="R667" s="133"/>
      <c r="S667" s="133"/>
      <c r="V667" s="133"/>
      <c r="W667" s="133"/>
      <c r="Z667" s="148"/>
      <c r="AA667" s="133"/>
      <c r="AD667" s="133"/>
      <c r="AE667" s="133"/>
      <c r="AF667" s="32"/>
      <c r="AN667" s="152"/>
    </row>
    <row r="668" spans="7:40" ht="13">
      <c r="G668" s="133"/>
      <c r="K668" s="133"/>
      <c r="N668" s="133"/>
      <c r="O668" s="133"/>
      <c r="R668" s="133"/>
      <c r="S668" s="133"/>
      <c r="V668" s="133"/>
      <c r="W668" s="133"/>
      <c r="Z668" s="148"/>
      <c r="AA668" s="133"/>
      <c r="AD668" s="133"/>
      <c r="AE668" s="133"/>
      <c r="AF668" s="32"/>
      <c r="AN668" s="152"/>
    </row>
    <row r="669" spans="7:40" ht="13">
      <c r="G669" s="133"/>
      <c r="K669" s="133"/>
      <c r="N669" s="133"/>
      <c r="O669" s="133"/>
      <c r="R669" s="133"/>
      <c r="S669" s="133"/>
      <c r="V669" s="133"/>
      <c r="W669" s="133"/>
      <c r="Z669" s="148"/>
      <c r="AA669" s="133"/>
      <c r="AD669" s="133"/>
      <c r="AE669" s="133"/>
      <c r="AF669" s="32"/>
      <c r="AN669" s="152"/>
    </row>
    <row r="670" spans="7:40" ht="13">
      <c r="G670" s="133"/>
      <c r="K670" s="133"/>
      <c r="N670" s="133"/>
      <c r="O670" s="133"/>
      <c r="R670" s="133"/>
      <c r="S670" s="133"/>
      <c r="V670" s="133"/>
      <c r="W670" s="133"/>
      <c r="Z670" s="148"/>
      <c r="AA670" s="133"/>
      <c r="AD670" s="133"/>
      <c r="AE670" s="133"/>
      <c r="AF670" s="32"/>
      <c r="AN670" s="152"/>
    </row>
    <row r="671" spans="7:40" ht="13">
      <c r="G671" s="133"/>
      <c r="K671" s="133"/>
      <c r="N671" s="133"/>
      <c r="O671" s="133"/>
      <c r="R671" s="133"/>
      <c r="S671" s="133"/>
      <c r="V671" s="133"/>
      <c r="W671" s="133"/>
      <c r="Z671" s="148"/>
      <c r="AA671" s="133"/>
      <c r="AD671" s="133"/>
      <c r="AE671" s="133"/>
      <c r="AF671" s="32"/>
      <c r="AN671" s="152"/>
    </row>
    <row r="672" spans="7:40" ht="13">
      <c r="G672" s="133"/>
      <c r="K672" s="133"/>
      <c r="N672" s="133"/>
      <c r="O672" s="133"/>
      <c r="R672" s="133"/>
      <c r="S672" s="133"/>
      <c r="V672" s="133"/>
      <c r="W672" s="133"/>
      <c r="Z672" s="148"/>
      <c r="AA672" s="133"/>
      <c r="AD672" s="133"/>
      <c r="AE672" s="133"/>
      <c r="AF672" s="32"/>
      <c r="AN672" s="152"/>
    </row>
    <row r="673" spans="7:40" ht="13">
      <c r="G673" s="133"/>
      <c r="K673" s="133"/>
      <c r="N673" s="133"/>
      <c r="O673" s="133"/>
      <c r="R673" s="133"/>
      <c r="S673" s="133"/>
      <c r="V673" s="133"/>
      <c r="W673" s="133"/>
      <c r="Z673" s="148"/>
      <c r="AA673" s="133"/>
      <c r="AD673" s="133"/>
      <c r="AE673" s="133"/>
      <c r="AF673" s="32"/>
      <c r="AN673" s="152"/>
    </row>
    <row r="674" spans="7:40" ht="13">
      <c r="G674" s="133"/>
      <c r="K674" s="133"/>
      <c r="N674" s="133"/>
      <c r="O674" s="133"/>
      <c r="R674" s="133"/>
      <c r="S674" s="133"/>
      <c r="V674" s="133"/>
      <c r="W674" s="133"/>
      <c r="Z674" s="148"/>
      <c r="AA674" s="133"/>
      <c r="AD674" s="133"/>
      <c r="AE674" s="133"/>
      <c r="AF674" s="32"/>
      <c r="AN674" s="152"/>
    </row>
    <row r="675" spans="7:40" ht="13">
      <c r="G675" s="133"/>
      <c r="K675" s="133"/>
      <c r="N675" s="133"/>
      <c r="O675" s="133"/>
      <c r="R675" s="133"/>
      <c r="S675" s="133"/>
      <c r="V675" s="133"/>
      <c r="W675" s="133"/>
      <c r="Z675" s="148"/>
      <c r="AA675" s="133"/>
      <c r="AD675" s="133"/>
      <c r="AE675" s="133"/>
      <c r="AF675" s="32"/>
      <c r="AN675" s="152"/>
    </row>
    <row r="676" spans="7:40" ht="13">
      <c r="G676" s="133"/>
      <c r="K676" s="133"/>
      <c r="N676" s="133"/>
      <c r="O676" s="133"/>
      <c r="R676" s="133"/>
      <c r="S676" s="133"/>
      <c r="V676" s="133"/>
      <c r="W676" s="133"/>
      <c r="Z676" s="148"/>
      <c r="AA676" s="133"/>
      <c r="AD676" s="133"/>
      <c r="AE676" s="133"/>
      <c r="AF676" s="32"/>
      <c r="AN676" s="152"/>
    </row>
    <row r="677" spans="7:40" ht="13">
      <c r="G677" s="133"/>
      <c r="K677" s="133"/>
      <c r="N677" s="133"/>
      <c r="O677" s="133"/>
      <c r="R677" s="133"/>
      <c r="S677" s="133"/>
      <c r="V677" s="133"/>
      <c r="W677" s="133"/>
      <c r="Z677" s="148"/>
      <c r="AA677" s="133"/>
      <c r="AD677" s="133"/>
      <c r="AE677" s="133"/>
      <c r="AF677" s="32"/>
      <c r="AN677" s="152"/>
    </row>
    <row r="678" spans="7:40" ht="13">
      <c r="G678" s="133"/>
      <c r="K678" s="133"/>
      <c r="N678" s="133"/>
      <c r="O678" s="133"/>
      <c r="R678" s="133"/>
      <c r="S678" s="133"/>
      <c r="V678" s="133"/>
      <c r="W678" s="133"/>
      <c r="Z678" s="148"/>
      <c r="AA678" s="133"/>
      <c r="AD678" s="133"/>
      <c r="AE678" s="133"/>
      <c r="AF678" s="32"/>
      <c r="AN678" s="152"/>
    </row>
    <row r="679" spans="7:40" ht="13">
      <c r="G679" s="133"/>
      <c r="K679" s="133"/>
      <c r="N679" s="133"/>
      <c r="O679" s="133"/>
      <c r="R679" s="133"/>
      <c r="S679" s="133"/>
      <c r="V679" s="133"/>
      <c r="W679" s="133"/>
      <c r="Z679" s="148"/>
      <c r="AA679" s="133"/>
      <c r="AD679" s="133"/>
      <c r="AE679" s="133"/>
      <c r="AF679" s="32"/>
      <c r="AN679" s="152"/>
    </row>
    <row r="680" spans="7:40" ht="13">
      <c r="G680" s="133"/>
      <c r="K680" s="133"/>
      <c r="N680" s="133"/>
      <c r="O680" s="133"/>
      <c r="R680" s="133"/>
      <c r="S680" s="133"/>
      <c r="V680" s="133"/>
      <c r="W680" s="133"/>
      <c r="Z680" s="148"/>
      <c r="AA680" s="133"/>
      <c r="AD680" s="133"/>
      <c r="AE680" s="133"/>
      <c r="AF680" s="32"/>
      <c r="AN680" s="152"/>
    </row>
    <row r="681" spans="7:40" ht="13">
      <c r="G681" s="133"/>
      <c r="K681" s="133"/>
      <c r="N681" s="133"/>
      <c r="O681" s="133"/>
      <c r="R681" s="133"/>
      <c r="S681" s="133"/>
      <c r="V681" s="133"/>
      <c r="W681" s="133"/>
      <c r="Z681" s="148"/>
      <c r="AA681" s="133"/>
      <c r="AD681" s="133"/>
      <c r="AE681" s="133"/>
      <c r="AF681" s="32"/>
      <c r="AN681" s="152"/>
    </row>
    <row r="682" spans="7:40" ht="13">
      <c r="G682" s="133"/>
      <c r="K682" s="133"/>
      <c r="N682" s="133"/>
      <c r="O682" s="133"/>
      <c r="R682" s="133"/>
      <c r="S682" s="133"/>
      <c r="V682" s="133"/>
      <c r="W682" s="133"/>
      <c r="Z682" s="148"/>
      <c r="AA682" s="133"/>
      <c r="AD682" s="133"/>
      <c r="AE682" s="133"/>
      <c r="AF682" s="32"/>
      <c r="AN682" s="152"/>
    </row>
    <row r="683" spans="7:40" ht="13">
      <c r="G683" s="133"/>
      <c r="K683" s="133"/>
      <c r="N683" s="133"/>
      <c r="O683" s="133"/>
      <c r="R683" s="133"/>
      <c r="S683" s="133"/>
      <c r="V683" s="133"/>
      <c r="W683" s="133"/>
      <c r="Z683" s="148"/>
      <c r="AA683" s="133"/>
      <c r="AD683" s="133"/>
      <c r="AE683" s="133"/>
      <c r="AF683" s="32"/>
      <c r="AN683" s="152"/>
    </row>
    <row r="684" spans="7:40" ht="13">
      <c r="G684" s="133"/>
      <c r="K684" s="133"/>
      <c r="N684" s="133"/>
      <c r="O684" s="133"/>
      <c r="R684" s="133"/>
      <c r="S684" s="133"/>
      <c r="V684" s="133"/>
      <c r="W684" s="133"/>
      <c r="Z684" s="148"/>
      <c r="AA684" s="133"/>
      <c r="AD684" s="133"/>
      <c r="AE684" s="133"/>
      <c r="AF684" s="32"/>
      <c r="AN684" s="152"/>
    </row>
    <row r="685" spans="7:40" ht="13">
      <c r="G685" s="133"/>
      <c r="K685" s="133"/>
      <c r="N685" s="133"/>
      <c r="O685" s="133"/>
      <c r="R685" s="133"/>
      <c r="S685" s="133"/>
      <c r="V685" s="133"/>
      <c r="W685" s="133"/>
      <c r="Z685" s="148"/>
      <c r="AA685" s="133"/>
      <c r="AD685" s="133"/>
      <c r="AE685" s="133"/>
      <c r="AF685" s="32"/>
      <c r="AN685" s="152"/>
    </row>
    <row r="686" spans="7:40" ht="13">
      <c r="G686" s="133"/>
      <c r="K686" s="133"/>
      <c r="N686" s="133"/>
      <c r="O686" s="133"/>
      <c r="R686" s="133"/>
      <c r="S686" s="133"/>
      <c r="V686" s="133"/>
      <c r="W686" s="133"/>
      <c r="Z686" s="148"/>
      <c r="AA686" s="133"/>
      <c r="AD686" s="133"/>
      <c r="AE686" s="133"/>
      <c r="AF686" s="32"/>
      <c r="AN686" s="152"/>
    </row>
    <row r="687" spans="7:40" ht="13">
      <c r="G687" s="133"/>
      <c r="K687" s="133"/>
      <c r="N687" s="133"/>
      <c r="O687" s="133"/>
      <c r="R687" s="133"/>
      <c r="S687" s="133"/>
      <c r="V687" s="133"/>
      <c r="W687" s="133"/>
      <c r="Z687" s="148"/>
      <c r="AA687" s="133"/>
      <c r="AD687" s="133"/>
      <c r="AE687" s="133"/>
      <c r="AF687" s="32"/>
      <c r="AN687" s="152"/>
    </row>
    <row r="688" spans="7:40" ht="13">
      <c r="G688" s="133"/>
      <c r="K688" s="133"/>
      <c r="N688" s="133"/>
      <c r="O688" s="133"/>
      <c r="R688" s="133"/>
      <c r="S688" s="133"/>
      <c r="V688" s="133"/>
      <c r="W688" s="133"/>
      <c r="Z688" s="148"/>
      <c r="AA688" s="133"/>
      <c r="AD688" s="133"/>
      <c r="AE688" s="133"/>
      <c r="AF688" s="32"/>
      <c r="AN688" s="152"/>
    </row>
    <row r="689" spans="7:40" ht="13">
      <c r="G689" s="133"/>
      <c r="K689" s="133"/>
      <c r="N689" s="133"/>
      <c r="O689" s="133"/>
      <c r="R689" s="133"/>
      <c r="S689" s="133"/>
      <c r="V689" s="133"/>
      <c r="W689" s="133"/>
      <c r="Z689" s="148"/>
      <c r="AA689" s="133"/>
      <c r="AD689" s="133"/>
      <c r="AE689" s="133"/>
      <c r="AF689" s="32"/>
      <c r="AN689" s="152"/>
    </row>
    <row r="690" spans="7:40" ht="13">
      <c r="G690" s="133"/>
      <c r="K690" s="133"/>
      <c r="N690" s="133"/>
      <c r="O690" s="133"/>
      <c r="R690" s="133"/>
      <c r="S690" s="133"/>
      <c r="V690" s="133"/>
      <c r="W690" s="133"/>
      <c r="Z690" s="148"/>
      <c r="AA690" s="133"/>
      <c r="AD690" s="133"/>
      <c r="AE690" s="133"/>
      <c r="AF690" s="32"/>
      <c r="AN690" s="152"/>
    </row>
    <row r="691" spans="7:40" ht="13">
      <c r="G691" s="133"/>
      <c r="K691" s="133"/>
      <c r="N691" s="133"/>
      <c r="O691" s="133"/>
      <c r="R691" s="133"/>
      <c r="S691" s="133"/>
      <c r="V691" s="133"/>
      <c r="W691" s="133"/>
      <c r="Z691" s="148"/>
      <c r="AA691" s="133"/>
      <c r="AD691" s="133"/>
      <c r="AE691" s="133"/>
      <c r="AF691" s="32"/>
      <c r="AN691" s="152"/>
    </row>
    <row r="692" spans="7:40" ht="13">
      <c r="G692" s="133"/>
      <c r="K692" s="133"/>
      <c r="N692" s="133"/>
      <c r="O692" s="133"/>
      <c r="R692" s="133"/>
      <c r="S692" s="133"/>
      <c r="V692" s="133"/>
      <c r="W692" s="133"/>
      <c r="Z692" s="148"/>
      <c r="AA692" s="133"/>
      <c r="AD692" s="133"/>
      <c r="AE692" s="133"/>
      <c r="AF692" s="32"/>
      <c r="AN692" s="152"/>
    </row>
    <row r="693" spans="7:40" ht="13">
      <c r="G693" s="133"/>
      <c r="K693" s="133"/>
      <c r="N693" s="133"/>
      <c r="O693" s="133"/>
      <c r="R693" s="133"/>
      <c r="S693" s="133"/>
      <c r="V693" s="133"/>
      <c r="W693" s="133"/>
      <c r="Z693" s="148"/>
      <c r="AA693" s="133"/>
      <c r="AD693" s="133"/>
      <c r="AE693" s="133"/>
      <c r="AF693" s="32"/>
      <c r="AN693" s="152"/>
    </row>
    <row r="694" spans="7:40" ht="13">
      <c r="G694" s="133"/>
      <c r="K694" s="133"/>
      <c r="N694" s="133"/>
      <c r="O694" s="133"/>
      <c r="R694" s="133"/>
      <c r="S694" s="133"/>
      <c r="V694" s="133"/>
      <c r="W694" s="133"/>
      <c r="Z694" s="148"/>
      <c r="AA694" s="133"/>
      <c r="AD694" s="133"/>
      <c r="AE694" s="133"/>
      <c r="AF694" s="32"/>
      <c r="AN694" s="152"/>
    </row>
    <row r="695" spans="7:40" ht="13">
      <c r="G695" s="133"/>
      <c r="K695" s="133"/>
      <c r="N695" s="133"/>
      <c r="O695" s="133"/>
      <c r="R695" s="133"/>
      <c r="S695" s="133"/>
      <c r="V695" s="133"/>
      <c r="W695" s="133"/>
      <c r="Z695" s="148"/>
      <c r="AA695" s="133"/>
      <c r="AD695" s="133"/>
      <c r="AE695" s="133"/>
      <c r="AF695" s="32"/>
      <c r="AN695" s="152"/>
    </row>
    <row r="696" spans="7:40" ht="13">
      <c r="G696" s="133"/>
      <c r="K696" s="133"/>
      <c r="N696" s="133"/>
      <c r="O696" s="133"/>
      <c r="R696" s="133"/>
      <c r="S696" s="133"/>
      <c r="V696" s="133"/>
      <c r="W696" s="133"/>
      <c r="Z696" s="148"/>
      <c r="AA696" s="133"/>
      <c r="AD696" s="133"/>
      <c r="AE696" s="133"/>
      <c r="AF696" s="32"/>
      <c r="AN696" s="152"/>
    </row>
    <row r="697" spans="7:40" ht="13">
      <c r="G697" s="133"/>
      <c r="K697" s="133"/>
      <c r="N697" s="133"/>
      <c r="O697" s="133"/>
      <c r="R697" s="133"/>
      <c r="S697" s="133"/>
      <c r="V697" s="133"/>
      <c r="W697" s="133"/>
      <c r="Z697" s="148"/>
      <c r="AA697" s="133"/>
      <c r="AD697" s="133"/>
      <c r="AE697" s="133"/>
      <c r="AF697" s="32"/>
      <c r="AN697" s="152"/>
    </row>
    <row r="698" spans="7:40" ht="13">
      <c r="G698" s="133"/>
      <c r="K698" s="133"/>
      <c r="N698" s="133"/>
      <c r="O698" s="133"/>
      <c r="R698" s="133"/>
      <c r="S698" s="133"/>
      <c r="V698" s="133"/>
      <c r="W698" s="133"/>
      <c r="Z698" s="148"/>
      <c r="AA698" s="133"/>
      <c r="AD698" s="133"/>
      <c r="AE698" s="133"/>
      <c r="AF698" s="32"/>
      <c r="AN698" s="152"/>
    </row>
    <row r="699" spans="7:40" ht="13">
      <c r="G699" s="133"/>
      <c r="K699" s="133"/>
      <c r="N699" s="133"/>
      <c r="O699" s="133"/>
      <c r="R699" s="133"/>
      <c r="S699" s="133"/>
      <c r="V699" s="133"/>
      <c r="W699" s="133"/>
      <c r="Z699" s="148"/>
      <c r="AA699" s="133"/>
      <c r="AD699" s="133"/>
      <c r="AE699" s="133"/>
      <c r="AF699" s="32"/>
      <c r="AN699" s="152"/>
    </row>
    <row r="700" spans="7:40" ht="13">
      <c r="G700" s="133"/>
      <c r="K700" s="133"/>
      <c r="N700" s="133"/>
      <c r="O700" s="133"/>
      <c r="R700" s="133"/>
      <c r="S700" s="133"/>
      <c r="V700" s="133"/>
      <c r="W700" s="133"/>
      <c r="Z700" s="148"/>
      <c r="AA700" s="133"/>
      <c r="AD700" s="133"/>
      <c r="AE700" s="133"/>
      <c r="AF700" s="32"/>
      <c r="AN700" s="152"/>
    </row>
    <row r="701" spans="7:40" ht="13">
      <c r="G701" s="133"/>
      <c r="K701" s="133"/>
      <c r="N701" s="133"/>
      <c r="O701" s="133"/>
      <c r="R701" s="133"/>
      <c r="S701" s="133"/>
      <c r="V701" s="133"/>
      <c r="W701" s="133"/>
      <c r="Z701" s="148"/>
      <c r="AA701" s="133"/>
      <c r="AD701" s="133"/>
      <c r="AE701" s="133"/>
      <c r="AF701" s="32"/>
      <c r="AN701" s="152"/>
    </row>
    <row r="702" spans="7:40" ht="13">
      <c r="G702" s="133"/>
      <c r="K702" s="133"/>
      <c r="N702" s="133"/>
      <c r="O702" s="133"/>
      <c r="R702" s="133"/>
      <c r="S702" s="133"/>
      <c r="V702" s="133"/>
      <c r="W702" s="133"/>
      <c r="Z702" s="148"/>
      <c r="AA702" s="133"/>
      <c r="AD702" s="133"/>
      <c r="AE702" s="133"/>
      <c r="AF702" s="32"/>
      <c r="AN702" s="152"/>
    </row>
    <row r="703" spans="7:40" ht="13">
      <c r="G703" s="133"/>
      <c r="K703" s="133"/>
      <c r="N703" s="133"/>
      <c r="O703" s="133"/>
      <c r="R703" s="133"/>
      <c r="S703" s="133"/>
      <c r="V703" s="133"/>
      <c r="W703" s="133"/>
      <c r="Z703" s="148"/>
      <c r="AA703" s="133"/>
      <c r="AD703" s="133"/>
      <c r="AE703" s="133"/>
      <c r="AF703" s="32"/>
      <c r="AN703" s="152"/>
    </row>
    <row r="704" spans="7:40" ht="13">
      <c r="G704" s="133"/>
      <c r="K704" s="133"/>
      <c r="N704" s="133"/>
      <c r="O704" s="133"/>
      <c r="R704" s="133"/>
      <c r="S704" s="133"/>
      <c r="V704" s="133"/>
      <c r="W704" s="133"/>
      <c r="Z704" s="148"/>
      <c r="AA704" s="133"/>
      <c r="AD704" s="133"/>
      <c r="AE704" s="133"/>
      <c r="AF704" s="32"/>
      <c r="AN704" s="152"/>
    </row>
    <row r="705" spans="7:40" ht="13">
      <c r="G705" s="133"/>
      <c r="K705" s="133"/>
      <c r="N705" s="133"/>
      <c r="O705" s="133"/>
      <c r="R705" s="133"/>
      <c r="S705" s="133"/>
      <c r="V705" s="133"/>
      <c r="W705" s="133"/>
      <c r="Z705" s="148"/>
      <c r="AA705" s="133"/>
      <c r="AD705" s="133"/>
      <c r="AE705" s="133"/>
      <c r="AF705" s="32"/>
      <c r="AN705" s="152"/>
    </row>
    <row r="706" spans="7:40" ht="13">
      <c r="G706" s="133"/>
      <c r="K706" s="133"/>
      <c r="N706" s="133"/>
      <c r="O706" s="133"/>
      <c r="R706" s="133"/>
      <c r="S706" s="133"/>
      <c r="V706" s="133"/>
      <c r="W706" s="133"/>
      <c r="Z706" s="148"/>
      <c r="AA706" s="133"/>
      <c r="AD706" s="133"/>
      <c r="AE706" s="133"/>
      <c r="AF706" s="32"/>
      <c r="AN706" s="152"/>
    </row>
    <row r="707" spans="7:40" ht="13">
      <c r="G707" s="133"/>
      <c r="K707" s="133"/>
      <c r="N707" s="133"/>
      <c r="O707" s="133"/>
      <c r="R707" s="133"/>
      <c r="S707" s="133"/>
      <c r="V707" s="133"/>
      <c r="W707" s="133"/>
      <c r="Z707" s="148"/>
      <c r="AA707" s="133"/>
      <c r="AD707" s="133"/>
      <c r="AE707" s="133"/>
      <c r="AF707" s="32"/>
      <c r="AN707" s="152"/>
    </row>
    <row r="708" spans="7:40" ht="13">
      <c r="G708" s="133"/>
      <c r="K708" s="133"/>
      <c r="N708" s="133"/>
      <c r="O708" s="133"/>
      <c r="R708" s="133"/>
      <c r="S708" s="133"/>
      <c r="V708" s="133"/>
      <c r="W708" s="133"/>
      <c r="Z708" s="148"/>
      <c r="AA708" s="133"/>
      <c r="AD708" s="133"/>
      <c r="AE708" s="133"/>
      <c r="AF708" s="32"/>
      <c r="AN708" s="152"/>
    </row>
    <row r="709" spans="7:40" ht="13">
      <c r="G709" s="133"/>
      <c r="K709" s="133"/>
      <c r="N709" s="133"/>
      <c r="O709" s="133"/>
      <c r="R709" s="133"/>
      <c r="S709" s="133"/>
      <c r="V709" s="133"/>
      <c r="W709" s="133"/>
      <c r="Z709" s="148"/>
      <c r="AA709" s="133"/>
      <c r="AD709" s="133"/>
      <c r="AE709" s="133"/>
      <c r="AF709" s="32"/>
      <c r="AN709" s="152"/>
    </row>
    <row r="710" spans="7:40" ht="13">
      <c r="G710" s="133"/>
      <c r="K710" s="133"/>
      <c r="N710" s="133"/>
      <c r="O710" s="133"/>
      <c r="R710" s="133"/>
      <c r="S710" s="133"/>
      <c r="V710" s="133"/>
      <c r="W710" s="133"/>
      <c r="Z710" s="148"/>
      <c r="AA710" s="133"/>
      <c r="AD710" s="133"/>
      <c r="AE710" s="133"/>
      <c r="AF710" s="32"/>
      <c r="AN710" s="152"/>
    </row>
    <row r="711" spans="7:40" ht="13">
      <c r="G711" s="133"/>
      <c r="K711" s="133"/>
      <c r="N711" s="133"/>
      <c r="O711" s="133"/>
      <c r="R711" s="133"/>
      <c r="S711" s="133"/>
      <c r="V711" s="133"/>
      <c r="W711" s="133"/>
      <c r="Z711" s="148"/>
      <c r="AA711" s="133"/>
      <c r="AD711" s="133"/>
      <c r="AE711" s="133"/>
      <c r="AF711" s="32"/>
      <c r="AN711" s="152"/>
    </row>
    <row r="712" spans="7:40" ht="13">
      <c r="G712" s="133"/>
      <c r="K712" s="133"/>
      <c r="N712" s="133"/>
      <c r="O712" s="133"/>
      <c r="R712" s="133"/>
      <c r="S712" s="133"/>
      <c r="V712" s="133"/>
      <c r="W712" s="133"/>
      <c r="Z712" s="148"/>
      <c r="AA712" s="133"/>
      <c r="AD712" s="133"/>
      <c r="AE712" s="133"/>
      <c r="AF712" s="32"/>
      <c r="AN712" s="152"/>
    </row>
    <row r="713" spans="7:40" ht="13">
      <c r="G713" s="133"/>
      <c r="K713" s="133"/>
      <c r="N713" s="133"/>
      <c r="O713" s="133"/>
      <c r="R713" s="133"/>
      <c r="S713" s="133"/>
      <c r="V713" s="133"/>
      <c r="W713" s="133"/>
      <c r="Z713" s="148"/>
      <c r="AA713" s="133"/>
      <c r="AD713" s="133"/>
      <c r="AE713" s="133"/>
      <c r="AF713" s="32"/>
      <c r="AN713" s="152"/>
    </row>
    <row r="714" spans="7:40" ht="13">
      <c r="G714" s="133"/>
      <c r="K714" s="133"/>
      <c r="N714" s="133"/>
      <c r="O714" s="133"/>
      <c r="R714" s="133"/>
      <c r="S714" s="133"/>
      <c r="V714" s="133"/>
      <c r="W714" s="133"/>
      <c r="Z714" s="148"/>
      <c r="AA714" s="133"/>
      <c r="AD714" s="133"/>
      <c r="AE714" s="133"/>
      <c r="AF714" s="32"/>
      <c r="AN714" s="152"/>
    </row>
    <row r="715" spans="7:40" ht="13">
      <c r="G715" s="133"/>
      <c r="K715" s="133"/>
      <c r="N715" s="133"/>
      <c r="O715" s="133"/>
      <c r="R715" s="133"/>
      <c r="S715" s="133"/>
      <c r="V715" s="133"/>
      <c r="W715" s="133"/>
      <c r="Z715" s="148"/>
      <c r="AA715" s="133"/>
      <c r="AD715" s="133"/>
      <c r="AE715" s="133"/>
      <c r="AF715" s="32"/>
      <c r="AN715" s="152"/>
    </row>
    <row r="716" spans="7:40" ht="13">
      <c r="G716" s="133"/>
      <c r="K716" s="133"/>
      <c r="N716" s="133"/>
      <c r="O716" s="133"/>
      <c r="R716" s="133"/>
      <c r="S716" s="133"/>
      <c r="V716" s="133"/>
      <c r="W716" s="133"/>
      <c r="Z716" s="148"/>
      <c r="AA716" s="133"/>
      <c r="AD716" s="133"/>
      <c r="AE716" s="133"/>
      <c r="AF716" s="32"/>
      <c r="AN716" s="152"/>
    </row>
    <row r="717" spans="7:40" ht="13">
      <c r="G717" s="133"/>
      <c r="K717" s="133"/>
      <c r="N717" s="133"/>
      <c r="O717" s="133"/>
      <c r="R717" s="133"/>
      <c r="S717" s="133"/>
      <c r="V717" s="133"/>
      <c r="W717" s="133"/>
      <c r="Z717" s="148"/>
      <c r="AA717" s="133"/>
      <c r="AD717" s="133"/>
      <c r="AE717" s="133"/>
      <c r="AF717" s="32"/>
      <c r="AN717" s="152"/>
    </row>
    <row r="718" spans="7:40" ht="13">
      <c r="G718" s="133"/>
      <c r="K718" s="133"/>
      <c r="N718" s="133"/>
      <c r="O718" s="133"/>
      <c r="R718" s="133"/>
      <c r="S718" s="133"/>
      <c r="V718" s="133"/>
      <c r="W718" s="133"/>
      <c r="Z718" s="148"/>
      <c r="AA718" s="133"/>
      <c r="AD718" s="133"/>
      <c r="AE718" s="133"/>
      <c r="AF718" s="32"/>
      <c r="AN718" s="152"/>
    </row>
    <row r="719" spans="7:40" ht="13">
      <c r="G719" s="133"/>
      <c r="K719" s="133"/>
      <c r="N719" s="133"/>
      <c r="O719" s="133"/>
      <c r="R719" s="133"/>
      <c r="S719" s="133"/>
      <c r="V719" s="133"/>
      <c r="W719" s="133"/>
      <c r="Z719" s="148"/>
      <c r="AA719" s="133"/>
      <c r="AD719" s="133"/>
      <c r="AE719" s="133"/>
      <c r="AF719" s="32"/>
      <c r="AN719" s="152"/>
    </row>
    <row r="720" spans="7:40" ht="13">
      <c r="G720" s="133"/>
      <c r="K720" s="133"/>
      <c r="N720" s="133"/>
      <c r="O720" s="133"/>
      <c r="R720" s="133"/>
      <c r="S720" s="133"/>
      <c r="V720" s="133"/>
      <c r="W720" s="133"/>
      <c r="Z720" s="148"/>
      <c r="AA720" s="133"/>
      <c r="AD720" s="133"/>
      <c r="AE720" s="133"/>
      <c r="AF720" s="32"/>
      <c r="AN720" s="152"/>
    </row>
    <row r="721" spans="7:40" ht="13">
      <c r="G721" s="133"/>
      <c r="K721" s="133"/>
      <c r="N721" s="133"/>
      <c r="O721" s="133"/>
      <c r="R721" s="133"/>
      <c r="S721" s="133"/>
      <c r="V721" s="133"/>
      <c r="W721" s="133"/>
      <c r="Z721" s="148"/>
      <c r="AA721" s="133"/>
      <c r="AD721" s="133"/>
      <c r="AE721" s="133"/>
      <c r="AF721" s="32"/>
      <c r="AN721" s="152"/>
    </row>
    <row r="722" spans="7:40" ht="13">
      <c r="G722" s="133"/>
      <c r="K722" s="133"/>
      <c r="N722" s="133"/>
      <c r="O722" s="133"/>
      <c r="R722" s="133"/>
      <c r="S722" s="133"/>
      <c r="V722" s="133"/>
      <c r="W722" s="133"/>
      <c r="Z722" s="148"/>
      <c r="AA722" s="133"/>
      <c r="AD722" s="133"/>
      <c r="AE722" s="133"/>
      <c r="AF722" s="32"/>
      <c r="AN722" s="152"/>
    </row>
    <row r="723" spans="7:40" ht="13">
      <c r="G723" s="133"/>
      <c r="K723" s="133"/>
      <c r="N723" s="133"/>
      <c r="O723" s="133"/>
      <c r="R723" s="133"/>
      <c r="S723" s="133"/>
      <c r="V723" s="133"/>
      <c r="W723" s="133"/>
      <c r="Z723" s="148"/>
      <c r="AA723" s="133"/>
      <c r="AD723" s="133"/>
      <c r="AE723" s="133"/>
      <c r="AF723" s="32"/>
      <c r="AN723" s="152"/>
    </row>
    <row r="724" spans="7:40" ht="13">
      <c r="G724" s="133"/>
      <c r="K724" s="133"/>
      <c r="N724" s="133"/>
      <c r="O724" s="133"/>
      <c r="R724" s="133"/>
      <c r="S724" s="133"/>
      <c r="V724" s="133"/>
      <c r="W724" s="133"/>
      <c r="Z724" s="148"/>
      <c r="AA724" s="133"/>
      <c r="AD724" s="133"/>
      <c r="AE724" s="133"/>
      <c r="AF724" s="32"/>
      <c r="AN724" s="152"/>
    </row>
    <row r="725" spans="7:40" ht="13">
      <c r="G725" s="133"/>
      <c r="K725" s="133"/>
      <c r="N725" s="133"/>
      <c r="O725" s="133"/>
      <c r="R725" s="133"/>
      <c r="S725" s="133"/>
      <c r="V725" s="133"/>
      <c r="W725" s="133"/>
      <c r="Z725" s="148"/>
      <c r="AA725" s="133"/>
      <c r="AD725" s="133"/>
      <c r="AE725" s="133"/>
      <c r="AF725" s="32"/>
      <c r="AN725" s="152"/>
    </row>
    <row r="726" spans="7:40" ht="13">
      <c r="G726" s="133"/>
      <c r="K726" s="133"/>
      <c r="N726" s="133"/>
      <c r="O726" s="133"/>
      <c r="R726" s="133"/>
      <c r="S726" s="133"/>
      <c r="V726" s="133"/>
      <c r="W726" s="133"/>
      <c r="Z726" s="148"/>
      <c r="AA726" s="133"/>
      <c r="AD726" s="133"/>
      <c r="AE726" s="133"/>
      <c r="AF726" s="32"/>
      <c r="AN726" s="152"/>
    </row>
    <row r="727" spans="7:40" ht="13">
      <c r="G727" s="133"/>
      <c r="K727" s="133"/>
      <c r="N727" s="133"/>
      <c r="O727" s="133"/>
      <c r="R727" s="133"/>
      <c r="S727" s="133"/>
      <c r="V727" s="133"/>
      <c r="W727" s="133"/>
      <c r="Z727" s="148"/>
      <c r="AA727" s="133"/>
      <c r="AD727" s="133"/>
      <c r="AE727" s="133"/>
      <c r="AF727" s="32"/>
      <c r="AN727" s="152"/>
    </row>
    <row r="728" spans="7:40" ht="13">
      <c r="G728" s="133"/>
      <c r="K728" s="133"/>
      <c r="N728" s="133"/>
      <c r="O728" s="133"/>
      <c r="R728" s="133"/>
      <c r="S728" s="133"/>
      <c r="V728" s="133"/>
      <c r="W728" s="133"/>
      <c r="Z728" s="148"/>
      <c r="AA728" s="133"/>
      <c r="AD728" s="133"/>
      <c r="AE728" s="133"/>
      <c r="AF728" s="32"/>
      <c r="AN728" s="152"/>
    </row>
    <row r="729" spans="7:40" ht="13">
      <c r="G729" s="133"/>
      <c r="K729" s="133"/>
      <c r="N729" s="133"/>
      <c r="O729" s="133"/>
      <c r="R729" s="133"/>
      <c r="S729" s="133"/>
      <c r="V729" s="133"/>
      <c r="W729" s="133"/>
      <c r="Z729" s="148"/>
      <c r="AA729" s="133"/>
      <c r="AD729" s="133"/>
      <c r="AE729" s="133"/>
      <c r="AF729" s="32"/>
      <c r="AN729" s="152"/>
    </row>
    <row r="730" spans="7:40" ht="13">
      <c r="G730" s="133"/>
      <c r="K730" s="133"/>
      <c r="N730" s="133"/>
      <c r="O730" s="133"/>
      <c r="R730" s="133"/>
      <c r="S730" s="133"/>
      <c r="V730" s="133"/>
      <c r="W730" s="133"/>
      <c r="Z730" s="148"/>
      <c r="AA730" s="133"/>
      <c r="AD730" s="133"/>
      <c r="AE730" s="133"/>
      <c r="AF730" s="32"/>
      <c r="AN730" s="152"/>
    </row>
    <row r="731" spans="7:40" ht="13">
      <c r="G731" s="133"/>
      <c r="K731" s="133"/>
      <c r="N731" s="133"/>
      <c r="O731" s="133"/>
      <c r="R731" s="133"/>
      <c r="S731" s="133"/>
      <c r="V731" s="133"/>
      <c r="W731" s="133"/>
      <c r="Z731" s="148"/>
      <c r="AA731" s="133"/>
      <c r="AD731" s="133"/>
      <c r="AE731" s="133"/>
      <c r="AF731" s="32"/>
      <c r="AN731" s="152"/>
    </row>
    <row r="732" spans="7:40" ht="13">
      <c r="G732" s="133"/>
      <c r="K732" s="133"/>
      <c r="N732" s="133"/>
      <c r="O732" s="133"/>
      <c r="R732" s="133"/>
      <c r="S732" s="133"/>
      <c r="V732" s="133"/>
      <c r="W732" s="133"/>
      <c r="Z732" s="148"/>
      <c r="AA732" s="133"/>
      <c r="AD732" s="133"/>
      <c r="AE732" s="133"/>
      <c r="AF732" s="32"/>
      <c r="AN732" s="152"/>
    </row>
    <row r="733" spans="7:40" ht="13">
      <c r="G733" s="133"/>
      <c r="K733" s="133"/>
      <c r="N733" s="133"/>
      <c r="O733" s="133"/>
      <c r="R733" s="133"/>
      <c r="S733" s="133"/>
      <c r="V733" s="133"/>
      <c r="W733" s="133"/>
      <c r="Z733" s="148"/>
      <c r="AA733" s="133"/>
      <c r="AD733" s="133"/>
      <c r="AE733" s="133"/>
      <c r="AF733" s="32"/>
      <c r="AN733" s="152"/>
    </row>
    <row r="734" spans="7:40" ht="13">
      <c r="G734" s="133"/>
      <c r="K734" s="133"/>
      <c r="N734" s="133"/>
      <c r="O734" s="133"/>
      <c r="R734" s="133"/>
      <c r="S734" s="133"/>
      <c r="V734" s="133"/>
      <c r="W734" s="133"/>
      <c r="Z734" s="148"/>
      <c r="AA734" s="133"/>
      <c r="AD734" s="133"/>
      <c r="AE734" s="133"/>
      <c r="AF734" s="32"/>
      <c r="AN734" s="152"/>
    </row>
    <row r="735" spans="7:40" ht="13">
      <c r="G735" s="133"/>
      <c r="K735" s="133"/>
      <c r="N735" s="133"/>
      <c r="O735" s="133"/>
      <c r="R735" s="133"/>
      <c r="S735" s="133"/>
      <c r="V735" s="133"/>
      <c r="W735" s="133"/>
      <c r="Z735" s="148"/>
      <c r="AA735" s="133"/>
      <c r="AD735" s="133"/>
      <c r="AE735" s="133"/>
      <c r="AF735" s="32"/>
      <c r="AN735" s="152"/>
    </row>
    <row r="736" spans="7:40" ht="13">
      <c r="G736" s="133"/>
      <c r="K736" s="133"/>
      <c r="N736" s="133"/>
      <c r="O736" s="133"/>
      <c r="R736" s="133"/>
      <c r="S736" s="133"/>
      <c r="V736" s="133"/>
      <c r="W736" s="133"/>
      <c r="Z736" s="148"/>
      <c r="AA736" s="133"/>
      <c r="AD736" s="133"/>
      <c r="AE736" s="133"/>
      <c r="AF736" s="32"/>
      <c r="AN736" s="152"/>
    </row>
    <row r="737" spans="7:40" ht="13">
      <c r="G737" s="133"/>
      <c r="K737" s="133"/>
      <c r="N737" s="133"/>
      <c r="O737" s="133"/>
      <c r="R737" s="133"/>
      <c r="S737" s="133"/>
      <c r="V737" s="133"/>
      <c r="W737" s="133"/>
      <c r="Z737" s="148"/>
      <c r="AA737" s="133"/>
      <c r="AD737" s="133"/>
      <c r="AE737" s="133"/>
      <c r="AF737" s="32"/>
      <c r="AN737" s="152"/>
    </row>
    <row r="738" spans="7:40" ht="13">
      <c r="G738" s="133"/>
      <c r="K738" s="133"/>
      <c r="N738" s="133"/>
      <c r="O738" s="133"/>
      <c r="R738" s="133"/>
      <c r="S738" s="133"/>
      <c r="V738" s="133"/>
      <c r="W738" s="133"/>
      <c r="Z738" s="148"/>
      <c r="AA738" s="133"/>
      <c r="AD738" s="133"/>
      <c r="AE738" s="133"/>
      <c r="AF738" s="32"/>
      <c r="AN738" s="152"/>
    </row>
    <row r="739" spans="7:40" ht="13">
      <c r="G739" s="133"/>
      <c r="K739" s="133"/>
      <c r="N739" s="133"/>
      <c r="O739" s="133"/>
      <c r="R739" s="133"/>
      <c r="S739" s="133"/>
      <c r="V739" s="133"/>
      <c r="W739" s="133"/>
      <c r="Z739" s="148"/>
      <c r="AA739" s="133"/>
      <c r="AD739" s="133"/>
      <c r="AE739" s="133"/>
      <c r="AF739" s="32"/>
      <c r="AN739" s="152"/>
    </row>
    <row r="740" spans="7:40" ht="13">
      <c r="G740" s="133"/>
      <c r="K740" s="133"/>
      <c r="N740" s="133"/>
      <c r="O740" s="133"/>
      <c r="R740" s="133"/>
      <c r="S740" s="133"/>
      <c r="V740" s="133"/>
      <c r="W740" s="133"/>
      <c r="Z740" s="148"/>
      <c r="AA740" s="133"/>
      <c r="AD740" s="133"/>
      <c r="AE740" s="133"/>
      <c r="AF740" s="32"/>
      <c r="AN740" s="152"/>
    </row>
    <row r="741" spans="7:40" ht="13">
      <c r="G741" s="133"/>
      <c r="K741" s="133"/>
      <c r="N741" s="133"/>
      <c r="O741" s="133"/>
      <c r="R741" s="133"/>
      <c r="S741" s="133"/>
      <c r="V741" s="133"/>
      <c r="W741" s="133"/>
      <c r="Z741" s="148"/>
      <c r="AA741" s="133"/>
      <c r="AD741" s="133"/>
      <c r="AE741" s="133"/>
      <c r="AF741" s="32"/>
      <c r="AN741" s="152"/>
    </row>
    <row r="742" spans="7:40" ht="13">
      <c r="G742" s="133"/>
      <c r="K742" s="133"/>
      <c r="N742" s="133"/>
      <c r="O742" s="133"/>
      <c r="R742" s="133"/>
      <c r="S742" s="133"/>
      <c r="V742" s="133"/>
      <c r="W742" s="133"/>
      <c r="Z742" s="148"/>
      <c r="AA742" s="133"/>
      <c r="AD742" s="133"/>
      <c r="AE742" s="133"/>
      <c r="AF742" s="32"/>
      <c r="AN742" s="152"/>
    </row>
    <row r="743" spans="7:40" ht="13">
      <c r="G743" s="133"/>
      <c r="K743" s="133"/>
      <c r="N743" s="133"/>
      <c r="O743" s="133"/>
      <c r="R743" s="133"/>
      <c r="S743" s="133"/>
      <c r="V743" s="133"/>
      <c r="W743" s="133"/>
      <c r="Z743" s="148"/>
      <c r="AA743" s="133"/>
      <c r="AD743" s="133"/>
      <c r="AE743" s="133"/>
      <c r="AF743" s="32"/>
      <c r="AN743" s="152"/>
    </row>
    <row r="744" spans="7:40" ht="13">
      <c r="G744" s="133"/>
      <c r="K744" s="133"/>
      <c r="N744" s="133"/>
      <c r="O744" s="133"/>
      <c r="R744" s="133"/>
      <c r="S744" s="133"/>
      <c r="V744" s="133"/>
      <c r="W744" s="133"/>
      <c r="Z744" s="148"/>
      <c r="AA744" s="133"/>
      <c r="AD744" s="133"/>
      <c r="AE744" s="133"/>
      <c r="AF744" s="32"/>
      <c r="AN744" s="152"/>
    </row>
    <row r="745" spans="7:40" ht="13">
      <c r="G745" s="133"/>
      <c r="K745" s="133"/>
      <c r="N745" s="133"/>
      <c r="O745" s="133"/>
      <c r="R745" s="133"/>
      <c r="S745" s="133"/>
      <c r="V745" s="133"/>
      <c r="W745" s="133"/>
      <c r="Z745" s="148"/>
      <c r="AA745" s="133"/>
      <c r="AD745" s="133"/>
      <c r="AE745" s="133"/>
      <c r="AF745" s="32"/>
      <c r="AN745" s="152"/>
    </row>
    <row r="746" spans="7:40" ht="13">
      <c r="G746" s="133"/>
      <c r="K746" s="133"/>
      <c r="N746" s="133"/>
      <c r="O746" s="133"/>
      <c r="R746" s="133"/>
      <c r="S746" s="133"/>
      <c r="V746" s="133"/>
      <c r="W746" s="133"/>
      <c r="Z746" s="148"/>
      <c r="AA746" s="133"/>
      <c r="AD746" s="133"/>
      <c r="AE746" s="133"/>
      <c r="AF746" s="32"/>
      <c r="AN746" s="152"/>
    </row>
    <row r="747" spans="7:40" ht="13">
      <c r="G747" s="133"/>
      <c r="K747" s="133"/>
      <c r="N747" s="133"/>
      <c r="O747" s="133"/>
      <c r="R747" s="133"/>
      <c r="S747" s="133"/>
      <c r="V747" s="133"/>
      <c r="W747" s="133"/>
      <c r="Z747" s="148"/>
      <c r="AA747" s="133"/>
      <c r="AD747" s="133"/>
      <c r="AE747" s="133"/>
      <c r="AF747" s="32"/>
      <c r="AN747" s="152"/>
    </row>
    <row r="748" spans="7:40" ht="13">
      <c r="G748" s="133"/>
      <c r="K748" s="133"/>
      <c r="N748" s="133"/>
      <c r="O748" s="133"/>
      <c r="R748" s="133"/>
      <c r="S748" s="133"/>
      <c r="V748" s="133"/>
      <c r="W748" s="133"/>
      <c r="Z748" s="148"/>
      <c r="AA748" s="133"/>
      <c r="AD748" s="133"/>
      <c r="AE748" s="133"/>
      <c r="AF748" s="32"/>
      <c r="AN748" s="152"/>
    </row>
    <row r="749" spans="7:40" ht="13">
      <c r="G749" s="133"/>
      <c r="K749" s="133"/>
      <c r="N749" s="133"/>
      <c r="O749" s="133"/>
      <c r="R749" s="133"/>
      <c r="S749" s="133"/>
      <c r="V749" s="133"/>
      <c r="W749" s="133"/>
      <c r="Z749" s="148"/>
      <c r="AA749" s="133"/>
      <c r="AD749" s="133"/>
      <c r="AE749" s="133"/>
      <c r="AF749" s="32"/>
      <c r="AN749" s="152"/>
    </row>
    <row r="750" spans="7:40" ht="13">
      <c r="G750" s="133"/>
      <c r="K750" s="133"/>
      <c r="N750" s="133"/>
      <c r="O750" s="133"/>
      <c r="R750" s="133"/>
      <c r="S750" s="133"/>
      <c r="V750" s="133"/>
      <c r="W750" s="133"/>
      <c r="Z750" s="148"/>
      <c r="AA750" s="133"/>
      <c r="AD750" s="133"/>
      <c r="AE750" s="133"/>
      <c r="AF750" s="32"/>
      <c r="AN750" s="152"/>
    </row>
    <row r="751" spans="7:40" ht="13">
      <c r="G751" s="133"/>
      <c r="K751" s="133"/>
      <c r="N751" s="133"/>
      <c r="O751" s="133"/>
      <c r="R751" s="133"/>
      <c r="S751" s="133"/>
      <c r="V751" s="133"/>
      <c r="W751" s="133"/>
      <c r="Z751" s="148"/>
      <c r="AA751" s="133"/>
      <c r="AD751" s="133"/>
      <c r="AE751" s="133"/>
      <c r="AF751" s="32"/>
      <c r="AN751" s="152"/>
    </row>
    <row r="752" spans="7:40" ht="13">
      <c r="G752" s="133"/>
      <c r="K752" s="133"/>
      <c r="N752" s="133"/>
      <c r="O752" s="133"/>
      <c r="R752" s="133"/>
      <c r="S752" s="133"/>
      <c r="V752" s="133"/>
      <c r="W752" s="133"/>
      <c r="Z752" s="148"/>
      <c r="AA752" s="133"/>
      <c r="AD752" s="133"/>
      <c r="AE752" s="133"/>
      <c r="AF752" s="32"/>
      <c r="AN752" s="152"/>
    </row>
    <row r="753" spans="7:40" ht="13">
      <c r="G753" s="133"/>
      <c r="K753" s="133"/>
      <c r="N753" s="133"/>
      <c r="O753" s="133"/>
      <c r="R753" s="133"/>
      <c r="S753" s="133"/>
      <c r="V753" s="133"/>
      <c r="W753" s="133"/>
      <c r="Z753" s="148"/>
      <c r="AA753" s="133"/>
      <c r="AD753" s="133"/>
      <c r="AE753" s="133"/>
      <c r="AF753" s="32"/>
      <c r="AN753" s="152"/>
    </row>
    <row r="754" spans="7:40" ht="13">
      <c r="G754" s="133"/>
      <c r="K754" s="133"/>
      <c r="N754" s="133"/>
      <c r="O754" s="133"/>
      <c r="R754" s="133"/>
      <c r="S754" s="133"/>
      <c r="V754" s="133"/>
      <c r="W754" s="133"/>
      <c r="Z754" s="148"/>
      <c r="AA754" s="133"/>
      <c r="AD754" s="133"/>
      <c r="AE754" s="133"/>
      <c r="AF754" s="32"/>
      <c r="AN754" s="152"/>
    </row>
    <row r="755" spans="7:40" ht="13">
      <c r="G755" s="133"/>
      <c r="K755" s="133"/>
      <c r="N755" s="133"/>
      <c r="O755" s="133"/>
      <c r="R755" s="133"/>
      <c r="S755" s="133"/>
      <c r="V755" s="133"/>
      <c r="W755" s="133"/>
      <c r="Z755" s="148"/>
      <c r="AA755" s="133"/>
      <c r="AD755" s="133"/>
      <c r="AE755" s="133"/>
      <c r="AF755" s="32"/>
      <c r="AN755" s="152"/>
    </row>
    <row r="756" spans="7:40" ht="13">
      <c r="G756" s="133"/>
      <c r="K756" s="133"/>
      <c r="N756" s="133"/>
      <c r="O756" s="133"/>
      <c r="R756" s="133"/>
      <c r="S756" s="133"/>
      <c r="V756" s="133"/>
      <c r="W756" s="133"/>
      <c r="Z756" s="148"/>
      <c r="AA756" s="133"/>
      <c r="AD756" s="133"/>
      <c r="AE756" s="133"/>
      <c r="AF756" s="32"/>
      <c r="AN756" s="152"/>
    </row>
    <row r="757" spans="7:40" ht="13">
      <c r="G757" s="133"/>
      <c r="K757" s="133"/>
      <c r="N757" s="133"/>
      <c r="O757" s="133"/>
      <c r="R757" s="133"/>
      <c r="S757" s="133"/>
      <c r="V757" s="133"/>
      <c r="W757" s="133"/>
      <c r="Z757" s="148"/>
      <c r="AA757" s="133"/>
      <c r="AD757" s="133"/>
      <c r="AE757" s="133"/>
      <c r="AF757" s="32"/>
      <c r="AN757" s="152"/>
    </row>
    <row r="758" spans="7:40" ht="13">
      <c r="G758" s="133"/>
      <c r="K758" s="133"/>
      <c r="N758" s="133"/>
      <c r="O758" s="133"/>
      <c r="R758" s="133"/>
      <c r="S758" s="133"/>
      <c r="V758" s="133"/>
      <c r="W758" s="133"/>
      <c r="Z758" s="148"/>
      <c r="AA758" s="133"/>
      <c r="AD758" s="133"/>
      <c r="AE758" s="133"/>
      <c r="AF758" s="32"/>
      <c r="AN758" s="152"/>
    </row>
    <row r="759" spans="7:40" ht="13">
      <c r="G759" s="133"/>
      <c r="K759" s="133"/>
      <c r="N759" s="133"/>
      <c r="O759" s="133"/>
      <c r="R759" s="133"/>
      <c r="S759" s="133"/>
      <c r="V759" s="133"/>
      <c r="W759" s="133"/>
      <c r="Z759" s="148"/>
      <c r="AA759" s="133"/>
      <c r="AD759" s="133"/>
      <c r="AE759" s="133"/>
      <c r="AF759" s="32"/>
      <c r="AN759" s="152"/>
    </row>
    <row r="760" spans="7:40" ht="13">
      <c r="G760" s="133"/>
      <c r="K760" s="133"/>
      <c r="N760" s="133"/>
      <c r="O760" s="133"/>
      <c r="R760" s="133"/>
      <c r="S760" s="133"/>
      <c r="V760" s="133"/>
      <c r="W760" s="133"/>
      <c r="Z760" s="148"/>
      <c r="AA760" s="133"/>
      <c r="AD760" s="133"/>
      <c r="AE760" s="133"/>
      <c r="AF760" s="32"/>
      <c r="AN760" s="152"/>
    </row>
    <row r="761" spans="7:40" ht="13">
      <c r="G761" s="133"/>
      <c r="K761" s="133"/>
      <c r="N761" s="133"/>
      <c r="O761" s="133"/>
      <c r="R761" s="133"/>
      <c r="S761" s="133"/>
      <c r="V761" s="133"/>
      <c r="W761" s="133"/>
      <c r="Z761" s="148"/>
      <c r="AA761" s="133"/>
      <c r="AD761" s="133"/>
      <c r="AE761" s="133"/>
      <c r="AF761" s="32"/>
      <c r="AN761" s="152"/>
    </row>
    <row r="762" spans="7:40" ht="13">
      <c r="G762" s="133"/>
      <c r="K762" s="133"/>
      <c r="N762" s="133"/>
      <c r="O762" s="133"/>
      <c r="R762" s="133"/>
      <c r="S762" s="133"/>
      <c r="V762" s="133"/>
      <c r="W762" s="133"/>
      <c r="Z762" s="148"/>
      <c r="AA762" s="133"/>
      <c r="AD762" s="133"/>
      <c r="AE762" s="133"/>
      <c r="AF762" s="32"/>
      <c r="AN762" s="152"/>
    </row>
    <row r="763" spans="7:40" ht="13">
      <c r="G763" s="133"/>
      <c r="K763" s="133"/>
      <c r="N763" s="133"/>
      <c r="O763" s="133"/>
      <c r="R763" s="133"/>
      <c r="S763" s="133"/>
      <c r="V763" s="133"/>
      <c r="W763" s="133"/>
      <c r="Z763" s="148"/>
      <c r="AA763" s="133"/>
      <c r="AD763" s="133"/>
      <c r="AE763" s="133"/>
      <c r="AF763" s="32"/>
      <c r="AN763" s="152"/>
    </row>
    <row r="764" spans="7:40" ht="13">
      <c r="G764" s="133"/>
      <c r="K764" s="133"/>
      <c r="N764" s="133"/>
      <c r="O764" s="133"/>
      <c r="R764" s="133"/>
      <c r="S764" s="133"/>
      <c r="V764" s="133"/>
      <c r="W764" s="133"/>
      <c r="Z764" s="148"/>
      <c r="AA764" s="133"/>
      <c r="AD764" s="133"/>
      <c r="AE764" s="133"/>
      <c r="AF764" s="32"/>
      <c r="AN764" s="152"/>
    </row>
    <row r="765" spans="7:40" ht="13">
      <c r="G765" s="133"/>
      <c r="K765" s="133"/>
      <c r="N765" s="133"/>
      <c r="O765" s="133"/>
      <c r="R765" s="133"/>
      <c r="S765" s="133"/>
      <c r="V765" s="133"/>
      <c r="W765" s="133"/>
      <c r="Z765" s="148"/>
      <c r="AA765" s="133"/>
      <c r="AD765" s="133"/>
      <c r="AE765" s="133"/>
      <c r="AF765" s="32"/>
      <c r="AN765" s="152"/>
    </row>
    <row r="766" spans="7:40" ht="13">
      <c r="G766" s="133"/>
      <c r="K766" s="133"/>
      <c r="N766" s="133"/>
      <c r="O766" s="133"/>
      <c r="R766" s="133"/>
      <c r="S766" s="133"/>
      <c r="V766" s="133"/>
      <c r="W766" s="133"/>
      <c r="Z766" s="148"/>
      <c r="AA766" s="133"/>
      <c r="AD766" s="133"/>
      <c r="AE766" s="133"/>
      <c r="AF766" s="32"/>
      <c r="AN766" s="152"/>
    </row>
    <row r="767" spans="7:40" ht="13">
      <c r="G767" s="133"/>
      <c r="K767" s="133"/>
      <c r="N767" s="133"/>
      <c r="O767" s="133"/>
      <c r="R767" s="133"/>
      <c r="S767" s="133"/>
      <c r="V767" s="133"/>
      <c r="W767" s="133"/>
      <c r="Z767" s="148"/>
      <c r="AA767" s="133"/>
      <c r="AD767" s="133"/>
      <c r="AE767" s="133"/>
      <c r="AF767" s="32"/>
      <c r="AN767" s="152"/>
    </row>
    <row r="768" spans="7:40" ht="13">
      <c r="G768" s="133"/>
      <c r="K768" s="133"/>
      <c r="N768" s="133"/>
      <c r="O768" s="133"/>
      <c r="R768" s="133"/>
      <c r="S768" s="133"/>
      <c r="V768" s="133"/>
      <c r="W768" s="133"/>
      <c r="Z768" s="148"/>
      <c r="AA768" s="133"/>
      <c r="AD768" s="133"/>
      <c r="AE768" s="133"/>
      <c r="AF768" s="32"/>
      <c r="AN768" s="152"/>
    </row>
    <row r="769" spans="7:40" ht="13">
      <c r="G769" s="133"/>
      <c r="K769" s="133"/>
      <c r="N769" s="133"/>
      <c r="O769" s="133"/>
      <c r="R769" s="133"/>
      <c r="S769" s="133"/>
      <c r="V769" s="133"/>
      <c r="W769" s="133"/>
      <c r="Z769" s="148"/>
      <c r="AA769" s="133"/>
      <c r="AD769" s="133"/>
      <c r="AE769" s="133"/>
      <c r="AF769" s="32"/>
      <c r="AN769" s="152"/>
    </row>
    <row r="770" spans="7:40" ht="13">
      <c r="G770" s="133"/>
      <c r="K770" s="133"/>
      <c r="N770" s="133"/>
      <c r="O770" s="133"/>
      <c r="R770" s="133"/>
      <c r="S770" s="133"/>
      <c r="V770" s="133"/>
      <c r="W770" s="133"/>
      <c r="Z770" s="148"/>
      <c r="AA770" s="133"/>
      <c r="AD770" s="133"/>
      <c r="AE770" s="133"/>
      <c r="AF770" s="32"/>
      <c r="AN770" s="152"/>
    </row>
    <row r="771" spans="7:40" ht="13">
      <c r="G771" s="133"/>
      <c r="K771" s="133"/>
      <c r="N771" s="133"/>
      <c r="O771" s="133"/>
      <c r="R771" s="133"/>
      <c r="S771" s="133"/>
      <c r="V771" s="133"/>
      <c r="W771" s="133"/>
      <c r="Z771" s="148"/>
      <c r="AA771" s="133"/>
      <c r="AD771" s="133"/>
      <c r="AE771" s="133"/>
      <c r="AF771" s="32"/>
      <c r="AN771" s="152"/>
    </row>
    <row r="772" spans="7:40" ht="13">
      <c r="G772" s="133"/>
      <c r="K772" s="133"/>
      <c r="N772" s="133"/>
      <c r="O772" s="133"/>
      <c r="R772" s="133"/>
      <c r="S772" s="133"/>
      <c r="V772" s="133"/>
      <c r="W772" s="133"/>
      <c r="Z772" s="148"/>
      <c r="AA772" s="133"/>
      <c r="AD772" s="133"/>
      <c r="AE772" s="133"/>
      <c r="AF772" s="32"/>
      <c r="AN772" s="152"/>
    </row>
    <row r="773" spans="7:40" ht="13">
      <c r="G773" s="133"/>
      <c r="K773" s="133"/>
      <c r="N773" s="133"/>
      <c r="O773" s="133"/>
      <c r="R773" s="133"/>
      <c r="S773" s="133"/>
      <c r="V773" s="133"/>
      <c r="W773" s="133"/>
      <c r="Z773" s="148"/>
      <c r="AA773" s="133"/>
      <c r="AD773" s="133"/>
      <c r="AE773" s="133"/>
      <c r="AF773" s="32"/>
      <c r="AN773" s="152"/>
    </row>
    <row r="774" spans="7:40" ht="13">
      <c r="G774" s="133"/>
      <c r="K774" s="133"/>
      <c r="N774" s="133"/>
      <c r="O774" s="133"/>
      <c r="R774" s="133"/>
      <c r="S774" s="133"/>
      <c r="V774" s="133"/>
      <c r="W774" s="133"/>
      <c r="Z774" s="148"/>
      <c r="AA774" s="133"/>
      <c r="AD774" s="133"/>
      <c r="AE774" s="133"/>
      <c r="AF774" s="32"/>
      <c r="AN774" s="152"/>
    </row>
    <row r="775" spans="7:40" ht="13">
      <c r="G775" s="133"/>
      <c r="K775" s="133"/>
      <c r="N775" s="133"/>
      <c r="O775" s="133"/>
      <c r="R775" s="133"/>
      <c r="S775" s="133"/>
      <c r="V775" s="133"/>
      <c r="W775" s="133"/>
      <c r="Z775" s="148"/>
      <c r="AA775" s="133"/>
      <c r="AD775" s="133"/>
      <c r="AE775" s="133"/>
      <c r="AF775" s="32"/>
      <c r="AN775" s="152"/>
    </row>
    <row r="776" spans="7:40" ht="13">
      <c r="G776" s="133"/>
      <c r="K776" s="133"/>
      <c r="N776" s="133"/>
      <c r="O776" s="133"/>
      <c r="R776" s="133"/>
      <c r="S776" s="133"/>
      <c r="V776" s="133"/>
      <c r="W776" s="133"/>
      <c r="Z776" s="148"/>
      <c r="AA776" s="133"/>
      <c r="AD776" s="133"/>
      <c r="AE776" s="133"/>
      <c r="AF776" s="32"/>
      <c r="AN776" s="152"/>
    </row>
    <row r="777" spans="7:40" ht="13">
      <c r="G777" s="133"/>
      <c r="K777" s="133"/>
      <c r="N777" s="133"/>
      <c r="O777" s="133"/>
      <c r="R777" s="133"/>
      <c r="S777" s="133"/>
      <c r="V777" s="133"/>
      <c r="W777" s="133"/>
      <c r="Z777" s="148"/>
      <c r="AA777" s="133"/>
      <c r="AD777" s="133"/>
      <c r="AE777" s="133"/>
      <c r="AF777" s="32"/>
      <c r="AN777" s="152"/>
    </row>
    <row r="778" spans="7:40" ht="13">
      <c r="G778" s="133"/>
      <c r="K778" s="133"/>
      <c r="N778" s="133"/>
      <c r="O778" s="133"/>
      <c r="R778" s="133"/>
      <c r="S778" s="133"/>
      <c r="V778" s="133"/>
      <c r="W778" s="133"/>
      <c r="Z778" s="148"/>
      <c r="AA778" s="133"/>
      <c r="AD778" s="133"/>
      <c r="AE778" s="133"/>
      <c r="AF778" s="32"/>
      <c r="AN778" s="152"/>
    </row>
    <row r="779" spans="7:40" ht="13">
      <c r="G779" s="133"/>
      <c r="K779" s="133"/>
      <c r="N779" s="133"/>
      <c r="O779" s="133"/>
      <c r="R779" s="133"/>
      <c r="S779" s="133"/>
      <c r="V779" s="133"/>
      <c r="W779" s="133"/>
      <c r="Z779" s="148"/>
      <c r="AA779" s="133"/>
      <c r="AD779" s="133"/>
      <c r="AE779" s="133"/>
      <c r="AF779" s="32"/>
      <c r="AN779" s="152"/>
    </row>
    <row r="780" spans="7:40" ht="13">
      <c r="G780" s="133"/>
      <c r="K780" s="133"/>
      <c r="N780" s="133"/>
      <c r="O780" s="133"/>
      <c r="R780" s="133"/>
      <c r="S780" s="133"/>
      <c r="V780" s="133"/>
      <c r="W780" s="133"/>
      <c r="Z780" s="148"/>
      <c r="AA780" s="133"/>
      <c r="AD780" s="133"/>
      <c r="AE780" s="133"/>
      <c r="AF780" s="32"/>
      <c r="AN780" s="152"/>
    </row>
    <row r="781" spans="7:40" ht="13">
      <c r="G781" s="133"/>
      <c r="K781" s="133"/>
      <c r="N781" s="133"/>
      <c r="O781" s="133"/>
      <c r="R781" s="133"/>
      <c r="S781" s="133"/>
      <c r="V781" s="133"/>
      <c r="W781" s="133"/>
      <c r="Z781" s="148"/>
      <c r="AA781" s="133"/>
      <c r="AD781" s="133"/>
      <c r="AE781" s="133"/>
      <c r="AF781" s="32"/>
      <c r="AN781" s="152"/>
    </row>
    <row r="782" spans="7:40" ht="13">
      <c r="G782" s="133"/>
      <c r="K782" s="133"/>
      <c r="N782" s="133"/>
      <c r="O782" s="133"/>
      <c r="R782" s="133"/>
      <c r="S782" s="133"/>
      <c r="V782" s="133"/>
      <c r="W782" s="133"/>
      <c r="Z782" s="148"/>
      <c r="AA782" s="133"/>
      <c r="AD782" s="133"/>
      <c r="AE782" s="133"/>
      <c r="AF782" s="32"/>
      <c r="AN782" s="152"/>
    </row>
    <row r="783" spans="7:40" ht="13">
      <c r="G783" s="133"/>
      <c r="K783" s="133"/>
      <c r="N783" s="133"/>
      <c r="O783" s="133"/>
      <c r="R783" s="133"/>
      <c r="S783" s="133"/>
      <c r="V783" s="133"/>
      <c r="W783" s="133"/>
      <c r="Z783" s="148"/>
      <c r="AA783" s="133"/>
      <c r="AD783" s="133"/>
      <c r="AE783" s="133"/>
      <c r="AF783" s="32"/>
      <c r="AN783" s="152"/>
    </row>
    <row r="784" spans="7:40" ht="13">
      <c r="G784" s="133"/>
      <c r="K784" s="133"/>
      <c r="N784" s="133"/>
      <c r="O784" s="133"/>
      <c r="R784" s="133"/>
      <c r="S784" s="133"/>
      <c r="V784" s="133"/>
      <c r="W784" s="133"/>
      <c r="Z784" s="148"/>
      <c r="AA784" s="133"/>
      <c r="AD784" s="133"/>
      <c r="AE784" s="133"/>
      <c r="AF784" s="32"/>
      <c r="AN784" s="152"/>
    </row>
    <row r="785" spans="7:40" ht="13">
      <c r="G785" s="133"/>
      <c r="K785" s="133"/>
      <c r="N785" s="133"/>
      <c r="O785" s="133"/>
      <c r="R785" s="133"/>
      <c r="S785" s="133"/>
      <c r="V785" s="133"/>
      <c r="W785" s="133"/>
      <c r="Z785" s="148"/>
      <c r="AA785" s="133"/>
      <c r="AD785" s="133"/>
      <c r="AE785" s="133"/>
      <c r="AF785" s="32"/>
      <c r="AN785" s="152"/>
    </row>
    <row r="786" spans="7:40" ht="13">
      <c r="G786" s="133"/>
      <c r="K786" s="133"/>
      <c r="N786" s="133"/>
      <c r="O786" s="133"/>
      <c r="R786" s="133"/>
      <c r="S786" s="133"/>
      <c r="V786" s="133"/>
      <c r="W786" s="133"/>
      <c r="Z786" s="148"/>
      <c r="AA786" s="133"/>
      <c r="AD786" s="133"/>
      <c r="AE786" s="133"/>
      <c r="AF786" s="32"/>
      <c r="AN786" s="152"/>
    </row>
    <row r="787" spans="7:40" ht="13">
      <c r="G787" s="133"/>
      <c r="K787" s="133"/>
      <c r="N787" s="133"/>
      <c r="O787" s="133"/>
      <c r="R787" s="133"/>
      <c r="S787" s="133"/>
      <c r="V787" s="133"/>
      <c r="W787" s="133"/>
      <c r="Z787" s="148"/>
      <c r="AA787" s="133"/>
      <c r="AD787" s="133"/>
      <c r="AE787" s="133"/>
      <c r="AF787" s="32"/>
      <c r="AN787" s="152"/>
    </row>
    <row r="788" spans="7:40" ht="13">
      <c r="G788" s="133"/>
      <c r="K788" s="133"/>
      <c r="N788" s="133"/>
      <c r="O788" s="133"/>
      <c r="R788" s="133"/>
      <c r="S788" s="133"/>
      <c r="V788" s="133"/>
      <c r="W788" s="133"/>
      <c r="Z788" s="148"/>
      <c r="AA788" s="133"/>
      <c r="AD788" s="133"/>
      <c r="AE788" s="133"/>
      <c r="AF788" s="32"/>
      <c r="AN788" s="152"/>
    </row>
    <row r="789" spans="7:40" ht="13">
      <c r="G789" s="133"/>
      <c r="K789" s="133"/>
      <c r="N789" s="133"/>
      <c r="O789" s="133"/>
      <c r="R789" s="133"/>
      <c r="S789" s="133"/>
      <c r="V789" s="133"/>
      <c r="W789" s="133"/>
      <c r="Z789" s="148"/>
      <c r="AA789" s="133"/>
      <c r="AD789" s="133"/>
      <c r="AE789" s="133"/>
      <c r="AF789" s="32"/>
      <c r="AN789" s="152"/>
    </row>
    <row r="790" spans="7:40" ht="13">
      <c r="G790" s="133"/>
      <c r="K790" s="133"/>
      <c r="N790" s="133"/>
      <c r="O790" s="133"/>
      <c r="R790" s="133"/>
      <c r="S790" s="133"/>
      <c r="V790" s="133"/>
      <c r="W790" s="133"/>
      <c r="Z790" s="148"/>
      <c r="AA790" s="133"/>
      <c r="AD790" s="133"/>
      <c r="AE790" s="133"/>
      <c r="AF790" s="32"/>
      <c r="AN790" s="152"/>
    </row>
    <row r="791" spans="7:40" ht="13">
      <c r="G791" s="133"/>
      <c r="K791" s="133"/>
      <c r="N791" s="133"/>
      <c r="O791" s="133"/>
      <c r="R791" s="133"/>
      <c r="S791" s="133"/>
      <c r="V791" s="133"/>
      <c r="W791" s="133"/>
      <c r="Z791" s="148"/>
      <c r="AA791" s="133"/>
      <c r="AD791" s="133"/>
      <c r="AE791" s="133"/>
      <c r="AF791" s="32"/>
      <c r="AN791" s="152"/>
    </row>
    <row r="792" spans="7:40" ht="13">
      <c r="G792" s="133"/>
      <c r="K792" s="133"/>
      <c r="N792" s="133"/>
      <c r="O792" s="133"/>
      <c r="R792" s="133"/>
      <c r="S792" s="133"/>
      <c r="V792" s="133"/>
      <c r="W792" s="133"/>
      <c r="Z792" s="148"/>
      <c r="AA792" s="133"/>
      <c r="AD792" s="133"/>
      <c r="AE792" s="133"/>
      <c r="AF792" s="32"/>
      <c r="AN792" s="152"/>
    </row>
    <row r="793" spans="7:40" ht="13">
      <c r="G793" s="133"/>
      <c r="K793" s="133"/>
      <c r="N793" s="133"/>
      <c r="O793" s="133"/>
      <c r="R793" s="133"/>
      <c r="S793" s="133"/>
      <c r="V793" s="133"/>
      <c r="W793" s="133"/>
      <c r="Z793" s="148"/>
      <c r="AA793" s="133"/>
      <c r="AD793" s="133"/>
      <c r="AE793" s="133"/>
      <c r="AF793" s="32"/>
      <c r="AN793" s="152"/>
    </row>
    <row r="794" spans="7:40" ht="13">
      <c r="G794" s="133"/>
      <c r="K794" s="133"/>
      <c r="N794" s="133"/>
      <c r="O794" s="133"/>
      <c r="R794" s="133"/>
      <c r="S794" s="133"/>
      <c r="V794" s="133"/>
      <c r="W794" s="133"/>
      <c r="Z794" s="148"/>
      <c r="AA794" s="133"/>
      <c r="AD794" s="133"/>
      <c r="AE794" s="133"/>
      <c r="AF794" s="32"/>
      <c r="AN794" s="152"/>
    </row>
    <row r="795" spans="7:40" ht="13">
      <c r="G795" s="133"/>
      <c r="K795" s="133"/>
      <c r="N795" s="133"/>
      <c r="O795" s="133"/>
      <c r="R795" s="133"/>
      <c r="S795" s="133"/>
      <c r="V795" s="133"/>
      <c r="W795" s="133"/>
      <c r="Z795" s="148"/>
      <c r="AA795" s="133"/>
      <c r="AD795" s="133"/>
      <c r="AE795" s="133"/>
      <c r="AF795" s="32"/>
      <c r="AN795" s="152"/>
    </row>
    <row r="796" spans="7:40" ht="13">
      <c r="G796" s="133"/>
      <c r="K796" s="133"/>
      <c r="N796" s="133"/>
      <c r="O796" s="133"/>
      <c r="R796" s="133"/>
      <c r="S796" s="133"/>
      <c r="V796" s="133"/>
      <c r="W796" s="133"/>
      <c r="Z796" s="148"/>
      <c r="AA796" s="133"/>
      <c r="AD796" s="133"/>
      <c r="AE796" s="133"/>
      <c r="AF796" s="32"/>
      <c r="AN796" s="152"/>
    </row>
    <row r="797" spans="7:40" ht="13">
      <c r="G797" s="133"/>
      <c r="K797" s="133"/>
      <c r="N797" s="133"/>
      <c r="O797" s="133"/>
      <c r="R797" s="133"/>
      <c r="S797" s="133"/>
      <c r="V797" s="133"/>
      <c r="W797" s="133"/>
      <c r="Z797" s="148"/>
      <c r="AA797" s="133"/>
      <c r="AD797" s="133"/>
      <c r="AE797" s="133"/>
      <c r="AF797" s="32"/>
      <c r="AN797" s="152"/>
    </row>
    <row r="798" spans="7:40" ht="13">
      <c r="G798" s="133"/>
      <c r="K798" s="133"/>
      <c r="N798" s="133"/>
      <c r="O798" s="133"/>
      <c r="R798" s="133"/>
      <c r="S798" s="133"/>
      <c r="V798" s="133"/>
      <c r="W798" s="133"/>
      <c r="Z798" s="148"/>
      <c r="AA798" s="133"/>
      <c r="AD798" s="133"/>
      <c r="AE798" s="133"/>
      <c r="AF798" s="32"/>
      <c r="AN798" s="152"/>
    </row>
    <row r="799" spans="7:40" ht="13">
      <c r="G799" s="133"/>
      <c r="K799" s="133"/>
      <c r="N799" s="133"/>
      <c r="O799" s="133"/>
      <c r="R799" s="133"/>
      <c r="S799" s="133"/>
      <c r="V799" s="133"/>
      <c r="W799" s="133"/>
      <c r="Z799" s="148"/>
      <c r="AA799" s="133"/>
      <c r="AD799" s="133"/>
      <c r="AE799" s="133"/>
      <c r="AF799" s="32"/>
      <c r="AN799" s="152"/>
    </row>
    <row r="800" spans="7:40" ht="13">
      <c r="G800" s="133"/>
      <c r="K800" s="133"/>
      <c r="N800" s="133"/>
      <c r="O800" s="133"/>
      <c r="R800" s="133"/>
      <c r="S800" s="133"/>
      <c r="V800" s="133"/>
      <c r="W800" s="133"/>
      <c r="Z800" s="148"/>
      <c r="AA800" s="133"/>
      <c r="AD800" s="133"/>
      <c r="AE800" s="133"/>
      <c r="AF800" s="32"/>
      <c r="AN800" s="152"/>
    </row>
    <row r="801" spans="7:40" ht="13">
      <c r="G801" s="133"/>
      <c r="K801" s="133"/>
      <c r="N801" s="133"/>
      <c r="O801" s="133"/>
      <c r="R801" s="133"/>
      <c r="S801" s="133"/>
      <c r="V801" s="133"/>
      <c r="W801" s="133"/>
      <c r="Z801" s="148"/>
      <c r="AA801" s="133"/>
      <c r="AD801" s="133"/>
      <c r="AE801" s="133"/>
      <c r="AF801" s="32"/>
      <c r="AN801" s="152"/>
    </row>
    <row r="802" spans="7:40" ht="13">
      <c r="G802" s="133"/>
      <c r="K802" s="133"/>
      <c r="N802" s="133"/>
      <c r="O802" s="133"/>
      <c r="R802" s="133"/>
      <c r="S802" s="133"/>
      <c r="V802" s="133"/>
      <c r="W802" s="133"/>
      <c r="Z802" s="148"/>
      <c r="AA802" s="133"/>
      <c r="AD802" s="133"/>
      <c r="AE802" s="133"/>
      <c r="AF802" s="32"/>
      <c r="AN802" s="152"/>
    </row>
    <row r="803" spans="7:40" ht="13">
      <c r="G803" s="133"/>
      <c r="K803" s="133"/>
      <c r="N803" s="133"/>
      <c r="O803" s="133"/>
      <c r="R803" s="133"/>
      <c r="S803" s="133"/>
      <c r="V803" s="133"/>
      <c r="W803" s="133"/>
      <c r="Z803" s="148"/>
      <c r="AA803" s="133"/>
      <c r="AD803" s="133"/>
      <c r="AE803" s="133"/>
      <c r="AF803" s="32"/>
      <c r="AN803" s="152"/>
    </row>
    <row r="804" spans="7:40" ht="13">
      <c r="G804" s="133"/>
      <c r="K804" s="133"/>
      <c r="N804" s="133"/>
      <c r="O804" s="133"/>
      <c r="R804" s="133"/>
      <c r="S804" s="133"/>
      <c r="V804" s="133"/>
      <c r="W804" s="133"/>
      <c r="Z804" s="148"/>
      <c r="AA804" s="133"/>
      <c r="AD804" s="133"/>
      <c r="AE804" s="133"/>
      <c r="AF804" s="32"/>
      <c r="AN804" s="152"/>
    </row>
    <row r="805" spans="7:40" ht="13">
      <c r="G805" s="133"/>
      <c r="K805" s="133"/>
      <c r="N805" s="133"/>
      <c r="O805" s="133"/>
      <c r="R805" s="133"/>
      <c r="S805" s="133"/>
      <c r="V805" s="133"/>
      <c r="W805" s="133"/>
      <c r="Z805" s="148"/>
      <c r="AA805" s="133"/>
      <c r="AD805" s="133"/>
      <c r="AE805" s="133"/>
      <c r="AF805" s="32"/>
      <c r="AN805" s="152"/>
    </row>
    <row r="806" spans="7:40" ht="13">
      <c r="G806" s="133"/>
      <c r="K806" s="133"/>
      <c r="N806" s="133"/>
      <c r="O806" s="133"/>
      <c r="R806" s="133"/>
      <c r="S806" s="133"/>
      <c r="V806" s="133"/>
      <c r="W806" s="133"/>
      <c r="Z806" s="148"/>
      <c r="AA806" s="133"/>
      <c r="AD806" s="133"/>
      <c r="AE806" s="133"/>
      <c r="AF806" s="32"/>
      <c r="AN806" s="152"/>
    </row>
    <row r="807" spans="7:40" ht="13">
      <c r="G807" s="133"/>
      <c r="K807" s="133"/>
      <c r="N807" s="133"/>
      <c r="O807" s="133"/>
      <c r="R807" s="133"/>
      <c r="S807" s="133"/>
      <c r="V807" s="133"/>
      <c r="W807" s="133"/>
      <c r="Z807" s="148"/>
      <c r="AA807" s="133"/>
      <c r="AD807" s="133"/>
      <c r="AE807" s="133"/>
      <c r="AF807" s="32"/>
      <c r="AN807" s="152"/>
    </row>
    <row r="808" spans="7:40" ht="13">
      <c r="G808" s="133"/>
      <c r="K808" s="133"/>
      <c r="N808" s="133"/>
      <c r="O808" s="133"/>
      <c r="R808" s="133"/>
      <c r="S808" s="133"/>
      <c r="V808" s="133"/>
      <c r="W808" s="133"/>
      <c r="Z808" s="148"/>
      <c r="AA808" s="133"/>
      <c r="AD808" s="133"/>
      <c r="AE808" s="133"/>
      <c r="AF808" s="32"/>
      <c r="AN808" s="152"/>
    </row>
    <row r="809" spans="7:40" ht="13">
      <c r="G809" s="133"/>
      <c r="K809" s="133"/>
      <c r="N809" s="133"/>
      <c r="O809" s="133"/>
      <c r="R809" s="133"/>
      <c r="S809" s="133"/>
      <c r="V809" s="133"/>
      <c r="W809" s="133"/>
      <c r="Z809" s="148"/>
      <c r="AA809" s="133"/>
      <c r="AD809" s="133"/>
      <c r="AE809" s="133"/>
      <c r="AF809" s="32"/>
      <c r="AN809" s="152"/>
    </row>
    <row r="810" spans="7:40" ht="13">
      <c r="G810" s="133"/>
      <c r="K810" s="133"/>
      <c r="N810" s="133"/>
      <c r="O810" s="133"/>
      <c r="R810" s="133"/>
      <c r="S810" s="133"/>
      <c r="V810" s="133"/>
      <c r="W810" s="133"/>
      <c r="Z810" s="148"/>
      <c r="AA810" s="133"/>
      <c r="AD810" s="133"/>
      <c r="AE810" s="133"/>
      <c r="AF810" s="32"/>
      <c r="AN810" s="152"/>
    </row>
    <row r="811" spans="7:40" ht="13">
      <c r="G811" s="133"/>
      <c r="K811" s="133"/>
      <c r="N811" s="133"/>
      <c r="O811" s="133"/>
      <c r="R811" s="133"/>
      <c r="S811" s="133"/>
      <c r="V811" s="133"/>
      <c r="W811" s="133"/>
      <c r="Z811" s="148"/>
      <c r="AA811" s="133"/>
      <c r="AD811" s="133"/>
      <c r="AE811" s="133"/>
      <c r="AF811" s="32"/>
      <c r="AN811" s="152"/>
    </row>
    <row r="812" spans="7:40" ht="13">
      <c r="G812" s="133"/>
      <c r="K812" s="133"/>
      <c r="N812" s="133"/>
      <c r="O812" s="133"/>
      <c r="R812" s="133"/>
      <c r="S812" s="133"/>
      <c r="V812" s="133"/>
      <c r="W812" s="133"/>
      <c r="Z812" s="148"/>
      <c r="AA812" s="133"/>
      <c r="AD812" s="133"/>
      <c r="AE812" s="133"/>
      <c r="AF812" s="32"/>
      <c r="AN812" s="152"/>
    </row>
    <row r="813" spans="7:40" ht="13">
      <c r="G813" s="133"/>
      <c r="K813" s="133"/>
      <c r="N813" s="133"/>
      <c r="O813" s="133"/>
      <c r="R813" s="133"/>
      <c r="S813" s="133"/>
      <c r="V813" s="133"/>
      <c r="W813" s="133"/>
      <c r="Z813" s="148"/>
      <c r="AA813" s="133"/>
      <c r="AD813" s="133"/>
      <c r="AE813" s="133"/>
      <c r="AF813" s="32"/>
      <c r="AN813" s="152"/>
    </row>
    <row r="814" spans="7:40" ht="13">
      <c r="G814" s="133"/>
      <c r="K814" s="133"/>
      <c r="N814" s="133"/>
      <c r="O814" s="133"/>
      <c r="R814" s="133"/>
      <c r="S814" s="133"/>
      <c r="V814" s="133"/>
      <c r="W814" s="133"/>
      <c r="Z814" s="148"/>
      <c r="AA814" s="133"/>
      <c r="AD814" s="133"/>
      <c r="AE814" s="133"/>
      <c r="AF814" s="32"/>
      <c r="AN814" s="152"/>
    </row>
    <row r="815" spans="7:40" ht="13">
      <c r="G815" s="133"/>
      <c r="K815" s="133"/>
      <c r="N815" s="133"/>
      <c r="O815" s="133"/>
      <c r="R815" s="133"/>
      <c r="S815" s="133"/>
      <c r="V815" s="133"/>
      <c r="W815" s="133"/>
      <c r="Z815" s="148"/>
      <c r="AA815" s="133"/>
      <c r="AD815" s="133"/>
      <c r="AE815" s="133"/>
      <c r="AF815" s="32"/>
      <c r="AN815" s="152"/>
    </row>
    <row r="816" spans="7:40" ht="13">
      <c r="G816" s="133"/>
      <c r="K816" s="133"/>
      <c r="N816" s="133"/>
      <c r="O816" s="133"/>
      <c r="R816" s="133"/>
      <c r="S816" s="133"/>
      <c r="V816" s="133"/>
      <c r="W816" s="133"/>
      <c r="Z816" s="148"/>
      <c r="AA816" s="133"/>
      <c r="AD816" s="133"/>
      <c r="AE816" s="133"/>
      <c r="AF816" s="32"/>
      <c r="AN816" s="152"/>
    </row>
    <row r="817" spans="7:40" ht="13">
      <c r="G817" s="133"/>
      <c r="K817" s="133"/>
      <c r="N817" s="133"/>
      <c r="O817" s="133"/>
      <c r="R817" s="133"/>
      <c r="S817" s="133"/>
      <c r="V817" s="133"/>
      <c r="W817" s="133"/>
      <c r="Z817" s="148"/>
      <c r="AA817" s="133"/>
      <c r="AD817" s="133"/>
      <c r="AE817" s="133"/>
      <c r="AF817" s="32"/>
      <c r="AN817" s="152"/>
    </row>
    <row r="818" spans="7:40" ht="13">
      <c r="G818" s="133"/>
      <c r="K818" s="133"/>
      <c r="N818" s="133"/>
      <c r="O818" s="133"/>
      <c r="R818" s="133"/>
      <c r="S818" s="133"/>
      <c r="V818" s="133"/>
      <c r="W818" s="133"/>
      <c r="Z818" s="148"/>
      <c r="AA818" s="133"/>
      <c r="AD818" s="133"/>
      <c r="AE818" s="133"/>
      <c r="AF818" s="32"/>
      <c r="AN818" s="152"/>
    </row>
    <row r="819" spans="7:40" ht="13">
      <c r="G819" s="133"/>
      <c r="K819" s="133"/>
      <c r="N819" s="133"/>
      <c r="O819" s="133"/>
      <c r="R819" s="133"/>
      <c r="S819" s="133"/>
      <c r="V819" s="133"/>
      <c r="W819" s="133"/>
      <c r="Z819" s="148"/>
      <c r="AA819" s="133"/>
      <c r="AD819" s="133"/>
      <c r="AE819" s="133"/>
      <c r="AF819" s="32"/>
      <c r="AN819" s="152"/>
    </row>
    <row r="820" spans="7:40" ht="13">
      <c r="G820" s="133"/>
      <c r="K820" s="133"/>
      <c r="N820" s="133"/>
      <c r="O820" s="133"/>
      <c r="R820" s="133"/>
      <c r="S820" s="133"/>
      <c r="V820" s="133"/>
      <c r="W820" s="133"/>
      <c r="Z820" s="148"/>
      <c r="AA820" s="133"/>
      <c r="AD820" s="133"/>
      <c r="AE820" s="133"/>
      <c r="AF820" s="32"/>
      <c r="AN820" s="152"/>
    </row>
    <row r="821" spans="7:40" ht="13">
      <c r="G821" s="133"/>
      <c r="K821" s="133"/>
      <c r="N821" s="133"/>
      <c r="O821" s="133"/>
      <c r="R821" s="133"/>
      <c r="S821" s="133"/>
      <c r="V821" s="133"/>
      <c r="W821" s="133"/>
      <c r="Z821" s="148"/>
      <c r="AA821" s="133"/>
      <c r="AD821" s="133"/>
      <c r="AE821" s="133"/>
      <c r="AF821" s="32"/>
      <c r="AN821" s="152"/>
    </row>
    <row r="822" spans="7:40" ht="13">
      <c r="G822" s="133"/>
      <c r="K822" s="133"/>
      <c r="N822" s="133"/>
      <c r="O822" s="133"/>
      <c r="R822" s="133"/>
      <c r="S822" s="133"/>
      <c r="V822" s="133"/>
      <c r="W822" s="133"/>
      <c r="Z822" s="148"/>
      <c r="AA822" s="133"/>
      <c r="AD822" s="133"/>
      <c r="AE822" s="133"/>
      <c r="AF822" s="32"/>
      <c r="AN822" s="152"/>
    </row>
    <row r="823" spans="7:40" ht="13">
      <c r="G823" s="133"/>
      <c r="K823" s="133"/>
      <c r="N823" s="133"/>
      <c r="O823" s="133"/>
      <c r="R823" s="133"/>
      <c r="S823" s="133"/>
      <c r="V823" s="133"/>
      <c r="W823" s="133"/>
      <c r="Z823" s="148"/>
      <c r="AA823" s="133"/>
      <c r="AD823" s="133"/>
      <c r="AE823" s="133"/>
      <c r="AF823" s="32"/>
      <c r="AN823" s="152"/>
    </row>
    <row r="824" spans="7:40" ht="13">
      <c r="G824" s="133"/>
      <c r="K824" s="133"/>
      <c r="N824" s="133"/>
      <c r="O824" s="133"/>
      <c r="R824" s="133"/>
      <c r="S824" s="133"/>
      <c r="V824" s="133"/>
      <c r="W824" s="133"/>
      <c r="Z824" s="148"/>
      <c r="AA824" s="133"/>
      <c r="AD824" s="133"/>
      <c r="AE824" s="133"/>
      <c r="AF824" s="32"/>
      <c r="AN824" s="152"/>
    </row>
    <row r="825" spans="7:40" ht="13">
      <c r="G825" s="133"/>
      <c r="K825" s="133"/>
      <c r="N825" s="133"/>
      <c r="O825" s="133"/>
      <c r="R825" s="133"/>
      <c r="S825" s="133"/>
      <c r="V825" s="133"/>
      <c r="W825" s="133"/>
      <c r="Z825" s="148"/>
      <c r="AA825" s="133"/>
      <c r="AD825" s="133"/>
      <c r="AE825" s="133"/>
      <c r="AF825" s="32"/>
      <c r="AN825" s="152"/>
    </row>
    <row r="826" spans="7:40" ht="13">
      <c r="G826" s="133"/>
      <c r="K826" s="133"/>
      <c r="N826" s="133"/>
      <c r="O826" s="133"/>
      <c r="R826" s="133"/>
      <c r="S826" s="133"/>
      <c r="V826" s="133"/>
      <c r="W826" s="133"/>
      <c r="Z826" s="148"/>
      <c r="AA826" s="133"/>
      <c r="AD826" s="133"/>
      <c r="AE826" s="133"/>
      <c r="AF826" s="32"/>
      <c r="AN826" s="152"/>
    </row>
    <row r="827" spans="7:40" ht="13">
      <c r="G827" s="133"/>
      <c r="K827" s="133"/>
      <c r="N827" s="133"/>
      <c r="O827" s="133"/>
      <c r="R827" s="133"/>
      <c r="S827" s="133"/>
      <c r="V827" s="133"/>
      <c r="W827" s="133"/>
      <c r="Z827" s="148"/>
      <c r="AA827" s="133"/>
      <c r="AD827" s="133"/>
      <c r="AE827" s="133"/>
      <c r="AF827" s="32"/>
      <c r="AN827" s="152"/>
    </row>
    <row r="828" spans="7:40" ht="13">
      <c r="G828" s="133"/>
      <c r="K828" s="133"/>
      <c r="N828" s="133"/>
      <c r="O828" s="133"/>
      <c r="R828" s="133"/>
      <c r="S828" s="133"/>
      <c r="V828" s="133"/>
      <c r="W828" s="133"/>
      <c r="Z828" s="148"/>
      <c r="AA828" s="133"/>
      <c r="AD828" s="133"/>
      <c r="AE828" s="133"/>
      <c r="AF828" s="32"/>
      <c r="AN828" s="152"/>
    </row>
    <row r="829" spans="7:40" ht="13">
      <c r="G829" s="133"/>
      <c r="K829" s="133"/>
      <c r="N829" s="133"/>
      <c r="O829" s="133"/>
      <c r="R829" s="133"/>
      <c r="S829" s="133"/>
      <c r="V829" s="133"/>
      <c r="W829" s="133"/>
      <c r="Z829" s="148"/>
      <c r="AA829" s="133"/>
      <c r="AD829" s="133"/>
      <c r="AE829" s="133"/>
      <c r="AF829" s="32"/>
      <c r="AN829" s="152"/>
    </row>
    <row r="830" spans="7:40" ht="13">
      <c r="G830" s="133"/>
      <c r="K830" s="133"/>
      <c r="N830" s="133"/>
      <c r="O830" s="133"/>
      <c r="R830" s="133"/>
      <c r="S830" s="133"/>
      <c r="V830" s="133"/>
      <c r="W830" s="133"/>
      <c r="Z830" s="148"/>
      <c r="AA830" s="133"/>
      <c r="AD830" s="133"/>
      <c r="AE830" s="133"/>
      <c r="AF830" s="32"/>
      <c r="AN830" s="152"/>
    </row>
    <row r="831" spans="7:40" ht="13">
      <c r="G831" s="133"/>
      <c r="K831" s="133"/>
      <c r="N831" s="133"/>
      <c r="O831" s="133"/>
      <c r="R831" s="133"/>
      <c r="S831" s="133"/>
      <c r="V831" s="133"/>
      <c r="W831" s="133"/>
      <c r="Z831" s="148"/>
      <c r="AA831" s="133"/>
      <c r="AD831" s="133"/>
      <c r="AE831" s="133"/>
      <c r="AF831" s="32"/>
      <c r="AN831" s="152"/>
    </row>
    <row r="832" spans="7:40" ht="13">
      <c r="G832" s="133"/>
      <c r="K832" s="133"/>
      <c r="N832" s="133"/>
      <c r="O832" s="133"/>
      <c r="R832" s="133"/>
      <c r="S832" s="133"/>
      <c r="V832" s="133"/>
      <c r="W832" s="133"/>
      <c r="Z832" s="148"/>
      <c r="AA832" s="133"/>
      <c r="AD832" s="133"/>
      <c r="AE832" s="133"/>
      <c r="AF832" s="32"/>
      <c r="AN832" s="152"/>
    </row>
    <row r="833" spans="7:40" ht="13">
      <c r="G833" s="133"/>
      <c r="K833" s="133"/>
      <c r="N833" s="133"/>
      <c r="O833" s="133"/>
      <c r="R833" s="133"/>
      <c r="S833" s="133"/>
      <c r="V833" s="133"/>
      <c r="W833" s="133"/>
      <c r="Z833" s="148"/>
      <c r="AA833" s="133"/>
      <c r="AD833" s="133"/>
      <c r="AE833" s="133"/>
      <c r="AF833" s="32"/>
      <c r="AN833" s="152"/>
    </row>
    <row r="834" spans="7:40" ht="13">
      <c r="G834" s="133"/>
      <c r="K834" s="133"/>
      <c r="N834" s="133"/>
      <c r="O834" s="133"/>
      <c r="R834" s="133"/>
      <c r="S834" s="133"/>
      <c r="V834" s="133"/>
      <c r="W834" s="133"/>
      <c r="Z834" s="148"/>
      <c r="AA834" s="133"/>
      <c r="AD834" s="133"/>
      <c r="AE834" s="133"/>
      <c r="AF834" s="32"/>
      <c r="AN834" s="152"/>
    </row>
    <row r="835" spans="7:40" ht="13">
      <c r="G835" s="133"/>
      <c r="K835" s="133"/>
      <c r="N835" s="133"/>
      <c r="O835" s="133"/>
      <c r="R835" s="133"/>
      <c r="S835" s="133"/>
      <c r="V835" s="133"/>
      <c r="W835" s="133"/>
      <c r="Z835" s="148"/>
      <c r="AA835" s="133"/>
      <c r="AD835" s="133"/>
      <c r="AE835" s="133"/>
      <c r="AF835" s="32"/>
      <c r="AN835" s="152"/>
    </row>
    <row r="836" spans="7:40" ht="13">
      <c r="G836" s="133"/>
      <c r="K836" s="133"/>
      <c r="N836" s="133"/>
      <c r="O836" s="133"/>
      <c r="R836" s="133"/>
      <c r="S836" s="133"/>
      <c r="V836" s="133"/>
      <c r="W836" s="133"/>
      <c r="Z836" s="148"/>
      <c r="AA836" s="133"/>
      <c r="AD836" s="133"/>
      <c r="AE836" s="133"/>
      <c r="AF836" s="32"/>
      <c r="AN836" s="152"/>
    </row>
    <row r="837" spans="7:40" ht="13">
      <c r="G837" s="133"/>
      <c r="K837" s="133"/>
      <c r="N837" s="133"/>
      <c r="O837" s="133"/>
      <c r="R837" s="133"/>
      <c r="S837" s="133"/>
      <c r="V837" s="133"/>
      <c r="W837" s="133"/>
      <c r="Z837" s="148"/>
      <c r="AA837" s="133"/>
      <c r="AD837" s="133"/>
      <c r="AE837" s="133"/>
      <c r="AF837" s="32"/>
      <c r="AN837" s="152"/>
    </row>
    <row r="838" spans="7:40" ht="13">
      <c r="G838" s="133"/>
      <c r="K838" s="133"/>
      <c r="N838" s="133"/>
      <c r="O838" s="133"/>
      <c r="R838" s="133"/>
      <c r="S838" s="133"/>
      <c r="V838" s="133"/>
      <c r="W838" s="133"/>
      <c r="Z838" s="148"/>
      <c r="AA838" s="133"/>
      <c r="AD838" s="133"/>
      <c r="AE838" s="133"/>
      <c r="AF838" s="32"/>
      <c r="AN838" s="152"/>
    </row>
    <row r="839" spans="7:40" ht="13">
      <c r="G839" s="133"/>
      <c r="K839" s="133"/>
      <c r="N839" s="133"/>
      <c r="O839" s="133"/>
      <c r="R839" s="133"/>
      <c r="S839" s="133"/>
      <c r="V839" s="133"/>
      <c r="W839" s="133"/>
      <c r="Z839" s="148"/>
      <c r="AA839" s="133"/>
      <c r="AD839" s="133"/>
      <c r="AE839" s="133"/>
      <c r="AF839" s="32"/>
      <c r="AN839" s="152"/>
    </row>
    <row r="840" spans="7:40" ht="13">
      <c r="G840" s="133"/>
      <c r="K840" s="133"/>
      <c r="N840" s="133"/>
      <c r="O840" s="133"/>
      <c r="R840" s="133"/>
      <c r="S840" s="133"/>
      <c r="V840" s="133"/>
      <c r="W840" s="133"/>
      <c r="Z840" s="148"/>
      <c r="AA840" s="133"/>
      <c r="AD840" s="133"/>
      <c r="AE840" s="133"/>
      <c r="AF840" s="32"/>
      <c r="AN840" s="152"/>
    </row>
    <row r="841" spans="7:40" ht="13">
      <c r="G841" s="133"/>
      <c r="K841" s="133"/>
      <c r="N841" s="133"/>
      <c r="O841" s="133"/>
      <c r="R841" s="133"/>
      <c r="S841" s="133"/>
      <c r="V841" s="133"/>
      <c r="W841" s="133"/>
      <c r="Z841" s="148"/>
      <c r="AA841" s="133"/>
      <c r="AD841" s="133"/>
      <c r="AE841" s="133"/>
      <c r="AF841" s="32"/>
      <c r="AN841" s="152"/>
    </row>
    <row r="842" spans="7:40" ht="13">
      <c r="G842" s="133"/>
      <c r="K842" s="133"/>
      <c r="N842" s="133"/>
      <c r="O842" s="133"/>
      <c r="R842" s="133"/>
      <c r="S842" s="133"/>
      <c r="V842" s="133"/>
      <c r="W842" s="133"/>
      <c r="Z842" s="148"/>
      <c r="AA842" s="133"/>
      <c r="AD842" s="133"/>
      <c r="AE842" s="133"/>
      <c r="AF842" s="32"/>
      <c r="AN842" s="152"/>
    </row>
    <row r="843" spans="7:40" ht="13">
      <c r="G843" s="133"/>
      <c r="K843" s="133"/>
      <c r="N843" s="133"/>
      <c r="O843" s="133"/>
      <c r="R843" s="133"/>
      <c r="S843" s="133"/>
      <c r="V843" s="133"/>
      <c r="W843" s="133"/>
      <c r="Z843" s="148"/>
      <c r="AA843" s="133"/>
      <c r="AD843" s="133"/>
      <c r="AE843" s="133"/>
      <c r="AF843" s="32"/>
      <c r="AN843" s="152"/>
    </row>
    <row r="844" spans="7:40" ht="13">
      <c r="G844" s="133"/>
      <c r="K844" s="133"/>
      <c r="N844" s="133"/>
      <c r="O844" s="133"/>
      <c r="R844" s="133"/>
      <c r="S844" s="133"/>
      <c r="V844" s="133"/>
      <c r="W844" s="133"/>
      <c r="Z844" s="148"/>
      <c r="AA844" s="133"/>
      <c r="AD844" s="133"/>
      <c r="AE844" s="133"/>
      <c r="AF844" s="32"/>
      <c r="AN844" s="152"/>
    </row>
    <row r="845" spans="7:40" ht="13">
      <c r="G845" s="133"/>
      <c r="K845" s="133"/>
      <c r="N845" s="133"/>
      <c r="O845" s="133"/>
      <c r="R845" s="133"/>
      <c r="S845" s="133"/>
      <c r="V845" s="133"/>
      <c r="W845" s="133"/>
      <c r="Z845" s="148"/>
      <c r="AA845" s="133"/>
      <c r="AD845" s="133"/>
      <c r="AE845" s="133"/>
      <c r="AF845" s="32"/>
      <c r="AN845" s="152"/>
    </row>
    <row r="846" spans="7:40" ht="13">
      <c r="G846" s="133"/>
      <c r="K846" s="133"/>
      <c r="N846" s="133"/>
      <c r="O846" s="133"/>
      <c r="R846" s="133"/>
      <c r="S846" s="133"/>
      <c r="V846" s="133"/>
      <c r="W846" s="133"/>
      <c r="Z846" s="148"/>
      <c r="AA846" s="133"/>
      <c r="AD846" s="133"/>
      <c r="AE846" s="133"/>
      <c r="AF846" s="32"/>
      <c r="AN846" s="152"/>
    </row>
    <row r="847" spans="7:40" ht="13">
      <c r="G847" s="133"/>
      <c r="K847" s="133"/>
      <c r="N847" s="133"/>
      <c r="O847" s="133"/>
      <c r="R847" s="133"/>
      <c r="S847" s="133"/>
      <c r="V847" s="133"/>
      <c r="W847" s="133"/>
      <c r="Z847" s="148"/>
      <c r="AA847" s="133"/>
      <c r="AD847" s="133"/>
      <c r="AE847" s="133"/>
      <c r="AF847" s="32"/>
      <c r="AN847" s="152"/>
    </row>
    <row r="848" spans="7:40" ht="13">
      <c r="G848" s="133"/>
      <c r="K848" s="133"/>
      <c r="N848" s="133"/>
      <c r="O848" s="133"/>
      <c r="R848" s="133"/>
      <c r="S848" s="133"/>
      <c r="V848" s="133"/>
      <c r="W848" s="133"/>
      <c r="Z848" s="148"/>
      <c r="AA848" s="133"/>
      <c r="AD848" s="133"/>
      <c r="AE848" s="133"/>
      <c r="AF848" s="32"/>
      <c r="AN848" s="152"/>
    </row>
    <row r="849" spans="7:40" ht="13">
      <c r="G849" s="133"/>
      <c r="K849" s="133"/>
      <c r="N849" s="133"/>
      <c r="O849" s="133"/>
      <c r="R849" s="133"/>
      <c r="S849" s="133"/>
      <c r="V849" s="133"/>
      <c r="W849" s="133"/>
      <c r="Z849" s="148"/>
      <c r="AA849" s="133"/>
      <c r="AD849" s="133"/>
      <c r="AE849" s="133"/>
      <c r="AF849" s="32"/>
      <c r="AN849" s="152"/>
    </row>
    <row r="850" spans="7:40" ht="13">
      <c r="G850" s="133"/>
      <c r="K850" s="133"/>
      <c r="N850" s="133"/>
      <c r="O850" s="133"/>
      <c r="R850" s="133"/>
      <c r="S850" s="133"/>
      <c r="V850" s="133"/>
      <c r="W850" s="133"/>
      <c r="Z850" s="148"/>
      <c r="AA850" s="133"/>
      <c r="AD850" s="133"/>
      <c r="AE850" s="133"/>
      <c r="AF850" s="32"/>
      <c r="AN850" s="152"/>
    </row>
    <row r="851" spans="7:40" ht="13">
      <c r="G851" s="133"/>
      <c r="K851" s="133"/>
      <c r="N851" s="133"/>
      <c r="O851" s="133"/>
      <c r="R851" s="133"/>
      <c r="S851" s="133"/>
      <c r="V851" s="133"/>
      <c r="W851" s="133"/>
      <c r="Z851" s="148"/>
      <c r="AA851" s="133"/>
      <c r="AD851" s="133"/>
      <c r="AE851" s="133"/>
      <c r="AF851" s="32"/>
      <c r="AN851" s="152"/>
    </row>
    <row r="852" spans="7:40" ht="13">
      <c r="G852" s="133"/>
      <c r="K852" s="133"/>
      <c r="N852" s="133"/>
      <c r="O852" s="133"/>
      <c r="R852" s="133"/>
      <c r="S852" s="133"/>
      <c r="V852" s="133"/>
      <c r="W852" s="133"/>
      <c r="Z852" s="148"/>
      <c r="AA852" s="133"/>
      <c r="AD852" s="133"/>
      <c r="AE852" s="133"/>
      <c r="AF852" s="32"/>
      <c r="AN852" s="152"/>
    </row>
    <row r="853" spans="7:40" ht="13">
      <c r="G853" s="133"/>
      <c r="K853" s="133"/>
      <c r="N853" s="133"/>
      <c r="O853" s="133"/>
      <c r="R853" s="133"/>
      <c r="S853" s="133"/>
      <c r="V853" s="133"/>
      <c r="W853" s="133"/>
      <c r="Z853" s="148"/>
      <c r="AA853" s="133"/>
      <c r="AD853" s="133"/>
      <c r="AE853" s="133"/>
      <c r="AF853" s="32"/>
      <c r="AN853" s="152"/>
    </row>
    <row r="854" spans="7:40" ht="13">
      <c r="G854" s="133"/>
      <c r="K854" s="133"/>
      <c r="N854" s="133"/>
      <c r="O854" s="133"/>
      <c r="R854" s="133"/>
      <c r="S854" s="133"/>
      <c r="V854" s="133"/>
      <c r="W854" s="133"/>
      <c r="Z854" s="148"/>
      <c r="AA854" s="133"/>
      <c r="AD854" s="133"/>
      <c r="AE854" s="133"/>
      <c r="AF854" s="32"/>
      <c r="AN854" s="152"/>
    </row>
    <row r="855" spans="7:40" ht="13">
      <c r="G855" s="133"/>
      <c r="K855" s="133"/>
      <c r="N855" s="133"/>
      <c r="O855" s="133"/>
      <c r="R855" s="133"/>
      <c r="S855" s="133"/>
      <c r="V855" s="133"/>
      <c r="W855" s="133"/>
      <c r="Z855" s="148"/>
      <c r="AA855" s="133"/>
      <c r="AD855" s="133"/>
      <c r="AE855" s="133"/>
      <c r="AF855" s="32"/>
      <c r="AN855" s="152"/>
    </row>
    <row r="856" spans="7:40" ht="13">
      <c r="G856" s="133"/>
      <c r="K856" s="133"/>
      <c r="N856" s="133"/>
      <c r="O856" s="133"/>
      <c r="R856" s="133"/>
      <c r="S856" s="133"/>
      <c r="V856" s="133"/>
      <c r="W856" s="133"/>
      <c r="Z856" s="148"/>
      <c r="AA856" s="133"/>
      <c r="AD856" s="133"/>
      <c r="AE856" s="133"/>
      <c r="AF856" s="32"/>
      <c r="AN856" s="152"/>
    </row>
    <row r="857" spans="7:40" ht="13">
      <c r="G857" s="133"/>
      <c r="K857" s="133"/>
      <c r="N857" s="133"/>
      <c r="O857" s="133"/>
      <c r="R857" s="133"/>
      <c r="S857" s="133"/>
      <c r="V857" s="133"/>
      <c r="W857" s="133"/>
      <c r="Z857" s="148"/>
      <c r="AA857" s="133"/>
      <c r="AD857" s="133"/>
      <c r="AE857" s="133"/>
      <c r="AF857" s="32"/>
      <c r="AN857" s="152"/>
    </row>
    <row r="858" spans="7:40" ht="13">
      <c r="G858" s="133"/>
      <c r="K858" s="133"/>
      <c r="N858" s="133"/>
      <c r="O858" s="133"/>
      <c r="R858" s="133"/>
      <c r="S858" s="133"/>
      <c r="V858" s="133"/>
      <c r="W858" s="133"/>
      <c r="Z858" s="148"/>
      <c r="AA858" s="133"/>
      <c r="AD858" s="133"/>
      <c r="AE858" s="133"/>
      <c r="AF858" s="32"/>
      <c r="AN858" s="152"/>
    </row>
    <row r="859" spans="7:40" ht="13">
      <c r="G859" s="133"/>
      <c r="K859" s="133"/>
      <c r="N859" s="133"/>
      <c r="O859" s="133"/>
      <c r="R859" s="133"/>
      <c r="S859" s="133"/>
      <c r="V859" s="133"/>
      <c r="W859" s="133"/>
      <c r="Z859" s="148"/>
      <c r="AA859" s="133"/>
      <c r="AD859" s="133"/>
      <c r="AE859" s="133"/>
      <c r="AF859" s="32"/>
      <c r="AN859" s="152"/>
    </row>
    <row r="860" spans="7:40" ht="13">
      <c r="G860" s="133"/>
      <c r="K860" s="133"/>
      <c r="N860" s="133"/>
      <c r="O860" s="133"/>
      <c r="R860" s="133"/>
      <c r="S860" s="133"/>
      <c r="V860" s="133"/>
      <c r="W860" s="133"/>
      <c r="Z860" s="148"/>
      <c r="AA860" s="133"/>
      <c r="AD860" s="133"/>
      <c r="AE860" s="133"/>
      <c r="AF860" s="32"/>
      <c r="AN860" s="152"/>
    </row>
    <row r="861" spans="7:40" ht="13">
      <c r="G861" s="133"/>
      <c r="K861" s="133"/>
      <c r="N861" s="133"/>
      <c r="O861" s="133"/>
      <c r="R861" s="133"/>
      <c r="S861" s="133"/>
      <c r="V861" s="133"/>
      <c r="W861" s="133"/>
      <c r="Z861" s="148"/>
      <c r="AA861" s="133"/>
      <c r="AD861" s="133"/>
      <c r="AE861" s="133"/>
      <c r="AF861" s="32"/>
      <c r="AN861" s="152"/>
    </row>
    <row r="862" spans="7:40" ht="13">
      <c r="G862" s="133"/>
      <c r="K862" s="133"/>
      <c r="N862" s="133"/>
      <c r="O862" s="133"/>
      <c r="R862" s="133"/>
      <c r="S862" s="133"/>
      <c r="V862" s="133"/>
      <c r="W862" s="133"/>
      <c r="Z862" s="148"/>
      <c r="AA862" s="133"/>
      <c r="AD862" s="133"/>
      <c r="AE862" s="133"/>
      <c r="AF862" s="32"/>
      <c r="AN862" s="152"/>
    </row>
    <row r="863" spans="7:40" ht="13">
      <c r="G863" s="133"/>
      <c r="K863" s="133"/>
      <c r="N863" s="133"/>
      <c r="O863" s="133"/>
      <c r="R863" s="133"/>
      <c r="S863" s="133"/>
      <c r="V863" s="133"/>
      <c r="W863" s="133"/>
      <c r="Z863" s="148"/>
      <c r="AA863" s="133"/>
      <c r="AD863" s="133"/>
      <c r="AE863" s="133"/>
      <c r="AF863" s="32"/>
      <c r="AN863" s="152"/>
    </row>
    <row r="864" spans="7:40" ht="13">
      <c r="G864" s="133"/>
      <c r="K864" s="133"/>
      <c r="N864" s="133"/>
      <c r="O864" s="133"/>
      <c r="R864" s="133"/>
      <c r="S864" s="133"/>
      <c r="V864" s="133"/>
      <c r="W864" s="133"/>
      <c r="Z864" s="148"/>
      <c r="AA864" s="133"/>
      <c r="AD864" s="133"/>
      <c r="AE864" s="133"/>
      <c r="AF864" s="32"/>
      <c r="AN864" s="152"/>
    </row>
    <row r="865" spans="7:40" ht="13">
      <c r="G865" s="133"/>
      <c r="K865" s="133"/>
      <c r="N865" s="133"/>
      <c r="O865" s="133"/>
      <c r="R865" s="133"/>
      <c r="S865" s="133"/>
      <c r="V865" s="133"/>
      <c r="W865" s="133"/>
      <c r="Z865" s="148"/>
      <c r="AA865" s="133"/>
      <c r="AD865" s="133"/>
      <c r="AE865" s="133"/>
      <c r="AF865" s="32"/>
      <c r="AN865" s="152"/>
    </row>
    <row r="866" spans="7:40" ht="13">
      <c r="G866" s="133"/>
      <c r="K866" s="133"/>
      <c r="N866" s="133"/>
      <c r="O866" s="133"/>
      <c r="R866" s="133"/>
      <c r="S866" s="133"/>
      <c r="V866" s="133"/>
      <c r="W866" s="133"/>
      <c r="Z866" s="148"/>
      <c r="AA866" s="133"/>
      <c r="AD866" s="133"/>
      <c r="AE866" s="133"/>
      <c r="AF866" s="32"/>
      <c r="AN866" s="152"/>
    </row>
    <row r="867" spans="7:40" ht="13">
      <c r="G867" s="133"/>
      <c r="K867" s="133"/>
      <c r="N867" s="133"/>
      <c r="O867" s="133"/>
      <c r="R867" s="133"/>
      <c r="S867" s="133"/>
      <c r="V867" s="133"/>
      <c r="W867" s="133"/>
      <c r="Z867" s="148"/>
      <c r="AA867" s="133"/>
      <c r="AD867" s="133"/>
      <c r="AE867" s="133"/>
      <c r="AF867" s="32"/>
      <c r="AN867" s="152"/>
    </row>
    <row r="868" spans="7:40" ht="13">
      <c r="G868" s="133"/>
      <c r="K868" s="133"/>
      <c r="N868" s="133"/>
      <c r="O868" s="133"/>
      <c r="R868" s="133"/>
      <c r="S868" s="133"/>
      <c r="V868" s="133"/>
      <c r="W868" s="133"/>
      <c r="Z868" s="148"/>
      <c r="AA868" s="133"/>
      <c r="AD868" s="133"/>
      <c r="AE868" s="133"/>
      <c r="AF868" s="32"/>
      <c r="AN868" s="152"/>
    </row>
    <row r="869" spans="7:40" ht="13">
      <c r="G869" s="133"/>
      <c r="K869" s="133"/>
      <c r="N869" s="133"/>
      <c r="O869" s="133"/>
      <c r="R869" s="133"/>
      <c r="S869" s="133"/>
      <c r="V869" s="133"/>
      <c r="W869" s="133"/>
      <c r="Z869" s="148"/>
      <c r="AA869" s="133"/>
      <c r="AD869" s="133"/>
      <c r="AE869" s="133"/>
      <c r="AF869" s="32"/>
      <c r="AN869" s="152"/>
    </row>
    <row r="870" spans="7:40" ht="13">
      <c r="G870" s="133"/>
      <c r="K870" s="133"/>
      <c r="N870" s="133"/>
      <c r="O870" s="133"/>
      <c r="R870" s="133"/>
      <c r="S870" s="133"/>
      <c r="V870" s="133"/>
      <c r="W870" s="133"/>
      <c r="Z870" s="148"/>
      <c r="AA870" s="133"/>
      <c r="AD870" s="133"/>
      <c r="AE870" s="133"/>
      <c r="AF870" s="32"/>
      <c r="AN870" s="152"/>
    </row>
    <row r="871" spans="7:40" ht="13">
      <c r="G871" s="133"/>
      <c r="K871" s="133"/>
      <c r="N871" s="133"/>
      <c r="O871" s="133"/>
      <c r="R871" s="133"/>
      <c r="S871" s="133"/>
      <c r="V871" s="133"/>
      <c r="W871" s="133"/>
      <c r="Z871" s="148"/>
      <c r="AA871" s="133"/>
      <c r="AD871" s="133"/>
      <c r="AE871" s="133"/>
      <c r="AF871" s="32"/>
      <c r="AN871" s="152"/>
    </row>
    <row r="872" spans="7:40" ht="13">
      <c r="G872" s="133"/>
      <c r="K872" s="133"/>
      <c r="N872" s="133"/>
      <c r="O872" s="133"/>
      <c r="R872" s="133"/>
      <c r="S872" s="133"/>
      <c r="V872" s="133"/>
      <c r="W872" s="133"/>
      <c r="Z872" s="148"/>
      <c r="AA872" s="133"/>
      <c r="AD872" s="133"/>
      <c r="AE872" s="133"/>
      <c r="AF872" s="32"/>
      <c r="AN872" s="152"/>
    </row>
    <row r="873" spans="7:40" ht="13">
      <c r="G873" s="133"/>
      <c r="K873" s="133"/>
      <c r="N873" s="133"/>
      <c r="O873" s="133"/>
      <c r="R873" s="133"/>
      <c r="S873" s="133"/>
      <c r="V873" s="133"/>
      <c r="W873" s="133"/>
      <c r="Z873" s="148"/>
      <c r="AA873" s="133"/>
      <c r="AD873" s="133"/>
      <c r="AE873" s="133"/>
      <c r="AF873" s="32"/>
      <c r="AN873" s="152"/>
    </row>
    <row r="874" spans="7:40" ht="13">
      <c r="G874" s="133"/>
      <c r="K874" s="133"/>
      <c r="N874" s="133"/>
      <c r="O874" s="133"/>
      <c r="R874" s="133"/>
      <c r="S874" s="133"/>
      <c r="V874" s="133"/>
      <c r="W874" s="133"/>
      <c r="Z874" s="148"/>
      <c r="AA874" s="133"/>
      <c r="AD874" s="133"/>
      <c r="AE874" s="133"/>
      <c r="AF874" s="32"/>
      <c r="AN874" s="152"/>
    </row>
    <row r="875" spans="7:40" ht="13">
      <c r="G875" s="133"/>
      <c r="K875" s="133"/>
      <c r="N875" s="133"/>
      <c r="O875" s="133"/>
      <c r="R875" s="133"/>
      <c r="S875" s="133"/>
      <c r="V875" s="133"/>
      <c r="W875" s="133"/>
      <c r="Z875" s="148"/>
      <c r="AA875" s="133"/>
      <c r="AD875" s="133"/>
      <c r="AE875" s="133"/>
      <c r="AF875" s="32"/>
      <c r="AN875" s="152"/>
    </row>
    <row r="876" spans="7:40" ht="13">
      <c r="G876" s="133"/>
      <c r="K876" s="133"/>
      <c r="N876" s="133"/>
      <c r="O876" s="133"/>
      <c r="R876" s="133"/>
      <c r="S876" s="133"/>
      <c r="V876" s="133"/>
      <c r="W876" s="133"/>
      <c r="Z876" s="148"/>
      <c r="AA876" s="133"/>
      <c r="AD876" s="133"/>
      <c r="AE876" s="133"/>
      <c r="AF876" s="32"/>
      <c r="AN876" s="152"/>
    </row>
    <row r="877" spans="7:40" ht="13">
      <c r="G877" s="133"/>
      <c r="K877" s="133"/>
      <c r="N877" s="133"/>
      <c r="O877" s="133"/>
      <c r="R877" s="133"/>
      <c r="S877" s="133"/>
      <c r="V877" s="133"/>
      <c r="W877" s="133"/>
      <c r="Z877" s="148"/>
      <c r="AA877" s="133"/>
      <c r="AD877" s="133"/>
      <c r="AE877" s="133"/>
      <c r="AF877" s="32"/>
      <c r="AN877" s="152"/>
    </row>
    <row r="878" spans="7:40" ht="13">
      <c r="G878" s="133"/>
      <c r="K878" s="133"/>
      <c r="N878" s="133"/>
      <c r="O878" s="133"/>
      <c r="R878" s="133"/>
      <c r="S878" s="133"/>
      <c r="V878" s="133"/>
      <c r="W878" s="133"/>
      <c r="Z878" s="148"/>
      <c r="AA878" s="133"/>
      <c r="AD878" s="133"/>
      <c r="AE878" s="133"/>
      <c r="AF878" s="32"/>
      <c r="AN878" s="152"/>
    </row>
    <row r="879" spans="7:40" ht="13">
      <c r="G879" s="133"/>
      <c r="K879" s="133"/>
      <c r="N879" s="133"/>
      <c r="O879" s="133"/>
      <c r="R879" s="133"/>
      <c r="S879" s="133"/>
      <c r="V879" s="133"/>
      <c r="W879" s="133"/>
      <c r="Z879" s="148"/>
      <c r="AA879" s="133"/>
      <c r="AD879" s="133"/>
      <c r="AE879" s="133"/>
      <c r="AF879" s="32"/>
      <c r="AN879" s="152"/>
    </row>
    <row r="880" spans="7:40" ht="13">
      <c r="G880" s="133"/>
      <c r="K880" s="133"/>
      <c r="N880" s="133"/>
      <c r="O880" s="133"/>
      <c r="R880" s="133"/>
      <c r="S880" s="133"/>
      <c r="V880" s="133"/>
      <c r="W880" s="133"/>
      <c r="Z880" s="148"/>
      <c r="AA880" s="133"/>
      <c r="AD880" s="133"/>
      <c r="AE880" s="133"/>
      <c r="AF880" s="32"/>
      <c r="AN880" s="152"/>
    </row>
    <row r="881" spans="7:40" ht="13">
      <c r="G881" s="133"/>
      <c r="K881" s="133"/>
      <c r="N881" s="133"/>
      <c r="O881" s="133"/>
      <c r="R881" s="133"/>
      <c r="S881" s="133"/>
      <c r="V881" s="133"/>
      <c r="W881" s="133"/>
      <c r="Z881" s="148"/>
      <c r="AA881" s="133"/>
      <c r="AD881" s="133"/>
      <c r="AE881" s="133"/>
      <c r="AF881" s="32"/>
      <c r="AN881" s="152"/>
    </row>
    <row r="882" spans="7:40" ht="13">
      <c r="G882" s="133"/>
      <c r="K882" s="133"/>
      <c r="N882" s="133"/>
      <c r="O882" s="133"/>
      <c r="R882" s="133"/>
      <c r="S882" s="133"/>
      <c r="V882" s="133"/>
      <c r="W882" s="133"/>
      <c r="Z882" s="148"/>
      <c r="AA882" s="133"/>
      <c r="AD882" s="133"/>
      <c r="AE882" s="133"/>
      <c r="AF882" s="32"/>
      <c r="AN882" s="152"/>
    </row>
    <row r="883" spans="7:40" ht="13">
      <c r="G883" s="133"/>
      <c r="K883" s="133"/>
      <c r="N883" s="133"/>
      <c r="O883" s="133"/>
      <c r="R883" s="133"/>
      <c r="S883" s="133"/>
      <c r="V883" s="133"/>
      <c r="W883" s="133"/>
      <c r="Z883" s="148"/>
      <c r="AA883" s="133"/>
      <c r="AD883" s="133"/>
      <c r="AE883" s="133"/>
      <c r="AF883" s="32"/>
      <c r="AN883" s="152"/>
    </row>
    <row r="884" spans="7:40" ht="13">
      <c r="G884" s="133"/>
      <c r="K884" s="133"/>
      <c r="N884" s="133"/>
      <c r="O884" s="133"/>
      <c r="R884" s="133"/>
      <c r="S884" s="133"/>
      <c r="V884" s="133"/>
      <c r="W884" s="133"/>
      <c r="Z884" s="148"/>
      <c r="AA884" s="133"/>
      <c r="AD884" s="133"/>
      <c r="AE884" s="133"/>
      <c r="AF884" s="32"/>
      <c r="AN884" s="152"/>
    </row>
    <row r="885" spans="7:40" ht="13">
      <c r="G885" s="133"/>
      <c r="K885" s="133"/>
      <c r="N885" s="133"/>
      <c r="O885" s="133"/>
      <c r="R885" s="133"/>
      <c r="S885" s="133"/>
      <c r="V885" s="133"/>
      <c r="W885" s="133"/>
      <c r="Z885" s="148"/>
      <c r="AA885" s="133"/>
      <c r="AD885" s="133"/>
      <c r="AE885" s="133"/>
      <c r="AF885" s="32"/>
      <c r="AN885" s="152"/>
    </row>
    <row r="886" spans="7:40" ht="13">
      <c r="G886" s="133"/>
      <c r="K886" s="133"/>
      <c r="N886" s="133"/>
      <c r="O886" s="133"/>
      <c r="R886" s="133"/>
      <c r="S886" s="133"/>
      <c r="V886" s="133"/>
      <c r="W886" s="133"/>
      <c r="Z886" s="148"/>
      <c r="AA886" s="133"/>
      <c r="AD886" s="133"/>
      <c r="AE886" s="133"/>
      <c r="AF886" s="32"/>
      <c r="AN886" s="152"/>
    </row>
    <row r="887" spans="7:40" ht="13">
      <c r="G887" s="133"/>
      <c r="K887" s="133"/>
      <c r="N887" s="133"/>
      <c r="O887" s="133"/>
      <c r="R887" s="133"/>
      <c r="S887" s="133"/>
      <c r="V887" s="133"/>
      <c r="W887" s="133"/>
      <c r="Z887" s="148"/>
      <c r="AA887" s="133"/>
      <c r="AD887" s="133"/>
      <c r="AE887" s="133"/>
      <c r="AF887" s="32"/>
      <c r="AN887" s="152"/>
    </row>
    <row r="888" spans="7:40" ht="13">
      <c r="G888" s="133"/>
      <c r="K888" s="133"/>
      <c r="N888" s="133"/>
      <c r="O888" s="133"/>
      <c r="R888" s="133"/>
      <c r="S888" s="133"/>
      <c r="V888" s="133"/>
      <c r="W888" s="133"/>
      <c r="Z888" s="148"/>
      <c r="AA888" s="133"/>
      <c r="AD888" s="133"/>
      <c r="AE888" s="133"/>
      <c r="AF888" s="32"/>
      <c r="AN888" s="152"/>
    </row>
    <row r="889" spans="7:40" ht="13">
      <c r="G889" s="133"/>
      <c r="K889" s="133"/>
      <c r="N889" s="133"/>
      <c r="O889" s="133"/>
      <c r="R889" s="133"/>
      <c r="S889" s="133"/>
      <c r="V889" s="133"/>
      <c r="W889" s="133"/>
      <c r="Z889" s="148"/>
      <c r="AA889" s="133"/>
      <c r="AD889" s="133"/>
      <c r="AE889" s="133"/>
      <c r="AF889" s="32"/>
      <c r="AN889" s="152"/>
    </row>
    <row r="890" spans="7:40" ht="13">
      <c r="G890" s="133"/>
      <c r="K890" s="133"/>
      <c r="N890" s="133"/>
      <c r="O890" s="133"/>
      <c r="R890" s="133"/>
      <c r="S890" s="133"/>
      <c r="V890" s="133"/>
      <c r="W890" s="133"/>
      <c r="Z890" s="148"/>
      <c r="AA890" s="133"/>
      <c r="AD890" s="133"/>
      <c r="AE890" s="133"/>
      <c r="AF890" s="32"/>
      <c r="AN890" s="152"/>
    </row>
    <row r="891" spans="7:40" ht="13">
      <c r="G891" s="133"/>
      <c r="K891" s="133"/>
      <c r="N891" s="133"/>
      <c r="O891" s="133"/>
      <c r="R891" s="133"/>
      <c r="S891" s="133"/>
      <c r="V891" s="133"/>
      <c r="W891" s="133"/>
      <c r="Z891" s="148"/>
      <c r="AA891" s="133"/>
      <c r="AD891" s="133"/>
      <c r="AE891" s="133"/>
      <c r="AF891" s="32"/>
      <c r="AN891" s="152"/>
    </row>
    <row r="892" spans="7:40" ht="13">
      <c r="G892" s="133"/>
      <c r="K892" s="133"/>
      <c r="N892" s="133"/>
      <c r="O892" s="133"/>
      <c r="R892" s="133"/>
      <c r="S892" s="133"/>
      <c r="V892" s="133"/>
      <c r="W892" s="133"/>
      <c r="Z892" s="148"/>
      <c r="AA892" s="133"/>
      <c r="AD892" s="133"/>
      <c r="AE892" s="133"/>
      <c r="AF892" s="32"/>
      <c r="AN892" s="152"/>
    </row>
    <row r="893" spans="7:40" ht="13">
      <c r="G893" s="133"/>
      <c r="K893" s="133"/>
      <c r="N893" s="133"/>
      <c r="O893" s="133"/>
      <c r="R893" s="133"/>
      <c r="S893" s="133"/>
      <c r="V893" s="133"/>
      <c r="W893" s="133"/>
      <c r="Z893" s="148"/>
      <c r="AA893" s="133"/>
      <c r="AD893" s="133"/>
      <c r="AE893" s="133"/>
      <c r="AF893" s="32"/>
      <c r="AN893" s="152"/>
    </row>
    <row r="894" spans="7:40" ht="13">
      <c r="G894" s="133"/>
      <c r="K894" s="133"/>
      <c r="N894" s="133"/>
      <c r="O894" s="133"/>
      <c r="R894" s="133"/>
      <c r="S894" s="133"/>
      <c r="V894" s="133"/>
      <c r="W894" s="133"/>
      <c r="Z894" s="148"/>
      <c r="AA894" s="133"/>
      <c r="AD894" s="133"/>
      <c r="AE894" s="133"/>
      <c r="AF894" s="32"/>
      <c r="AN894" s="152"/>
    </row>
    <row r="895" spans="7:40" ht="13">
      <c r="G895" s="133"/>
      <c r="K895" s="133"/>
      <c r="N895" s="133"/>
      <c r="O895" s="133"/>
      <c r="R895" s="133"/>
      <c r="S895" s="133"/>
      <c r="V895" s="133"/>
      <c r="W895" s="133"/>
      <c r="Z895" s="148"/>
      <c r="AA895" s="133"/>
      <c r="AD895" s="133"/>
      <c r="AE895" s="133"/>
      <c r="AF895" s="32"/>
      <c r="AN895" s="152"/>
    </row>
    <row r="896" spans="7:40" ht="13">
      <c r="G896" s="133"/>
      <c r="K896" s="133"/>
      <c r="N896" s="133"/>
      <c r="O896" s="133"/>
      <c r="R896" s="133"/>
      <c r="S896" s="133"/>
      <c r="V896" s="133"/>
      <c r="W896" s="133"/>
      <c r="Z896" s="148"/>
      <c r="AA896" s="133"/>
      <c r="AD896" s="133"/>
      <c r="AE896" s="133"/>
      <c r="AF896" s="32"/>
      <c r="AN896" s="152"/>
    </row>
    <row r="897" spans="7:40" ht="13">
      <c r="G897" s="133"/>
      <c r="K897" s="133"/>
      <c r="N897" s="133"/>
      <c r="O897" s="133"/>
      <c r="R897" s="133"/>
      <c r="S897" s="133"/>
      <c r="V897" s="133"/>
      <c r="W897" s="133"/>
      <c r="Z897" s="148"/>
      <c r="AA897" s="133"/>
      <c r="AD897" s="133"/>
      <c r="AE897" s="133"/>
      <c r="AF897" s="32"/>
      <c r="AN897" s="152"/>
    </row>
    <row r="898" spans="7:40" ht="13">
      <c r="G898" s="133"/>
      <c r="K898" s="133"/>
      <c r="N898" s="133"/>
      <c r="O898" s="133"/>
      <c r="R898" s="133"/>
      <c r="S898" s="133"/>
      <c r="V898" s="133"/>
      <c r="W898" s="133"/>
      <c r="Z898" s="148"/>
      <c r="AA898" s="133"/>
      <c r="AD898" s="133"/>
      <c r="AE898" s="133"/>
      <c r="AF898" s="32"/>
      <c r="AN898" s="152"/>
    </row>
    <row r="899" spans="7:40" ht="13">
      <c r="G899" s="133"/>
      <c r="K899" s="133"/>
      <c r="N899" s="133"/>
      <c r="O899" s="133"/>
      <c r="R899" s="133"/>
      <c r="S899" s="133"/>
      <c r="V899" s="133"/>
      <c r="W899" s="133"/>
      <c r="Z899" s="148"/>
      <c r="AA899" s="133"/>
      <c r="AD899" s="133"/>
      <c r="AE899" s="133"/>
      <c r="AF899" s="32"/>
      <c r="AN899" s="152"/>
    </row>
    <row r="900" spans="7:40" ht="13">
      <c r="G900" s="133"/>
      <c r="K900" s="133"/>
      <c r="N900" s="133"/>
      <c r="O900" s="133"/>
      <c r="R900" s="133"/>
      <c r="S900" s="133"/>
      <c r="V900" s="133"/>
      <c r="W900" s="133"/>
      <c r="Z900" s="148"/>
      <c r="AA900" s="133"/>
      <c r="AD900" s="133"/>
      <c r="AE900" s="133"/>
      <c r="AF900" s="32"/>
      <c r="AN900" s="152"/>
    </row>
    <row r="901" spans="7:40" ht="13">
      <c r="G901" s="133"/>
      <c r="K901" s="133"/>
      <c r="N901" s="133"/>
      <c r="O901" s="133"/>
      <c r="R901" s="133"/>
      <c r="S901" s="133"/>
      <c r="V901" s="133"/>
      <c r="W901" s="133"/>
      <c r="Z901" s="148"/>
      <c r="AA901" s="133"/>
      <c r="AD901" s="133"/>
      <c r="AE901" s="133"/>
      <c r="AF901" s="32"/>
      <c r="AN901" s="152"/>
    </row>
    <row r="902" spans="7:40" ht="13">
      <c r="G902" s="133"/>
      <c r="K902" s="133"/>
      <c r="N902" s="133"/>
      <c r="O902" s="133"/>
      <c r="R902" s="133"/>
      <c r="S902" s="133"/>
      <c r="V902" s="133"/>
      <c r="W902" s="133"/>
      <c r="Z902" s="148"/>
      <c r="AA902" s="133"/>
      <c r="AD902" s="133"/>
      <c r="AE902" s="133"/>
      <c r="AF902" s="32"/>
      <c r="AN902" s="152"/>
    </row>
    <row r="903" spans="7:40" ht="13">
      <c r="G903" s="133"/>
      <c r="K903" s="133"/>
      <c r="N903" s="133"/>
      <c r="O903" s="133"/>
      <c r="R903" s="133"/>
      <c r="S903" s="133"/>
      <c r="V903" s="133"/>
      <c r="W903" s="133"/>
      <c r="Z903" s="148"/>
      <c r="AA903" s="133"/>
      <c r="AD903" s="133"/>
      <c r="AE903" s="133"/>
      <c r="AF903" s="32"/>
      <c r="AN903" s="152"/>
    </row>
    <row r="904" spans="7:40" ht="13">
      <c r="G904" s="133"/>
      <c r="K904" s="133"/>
      <c r="N904" s="133"/>
      <c r="O904" s="133"/>
      <c r="R904" s="133"/>
      <c r="S904" s="133"/>
      <c r="V904" s="133"/>
      <c r="W904" s="133"/>
      <c r="Z904" s="148"/>
      <c r="AA904" s="133"/>
      <c r="AD904" s="133"/>
      <c r="AE904" s="133"/>
      <c r="AF904" s="32"/>
      <c r="AN904" s="152"/>
    </row>
    <row r="905" spans="7:40" ht="13">
      <c r="G905" s="133"/>
      <c r="K905" s="133"/>
      <c r="N905" s="133"/>
      <c r="O905" s="133"/>
      <c r="R905" s="133"/>
      <c r="S905" s="133"/>
      <c r="V905" s="133"/>
      <c r="W905" s="133"/>
      <c r="Z905" s="148"/>
      <c r="AA905" s="133"/>
      <c r="AD905" s="133"/>
      <c r="AE905" s="133"/>
      <c r="AF905" s="32"/>
      <c r="AN905" s="152"/>
    </row>
    <row r="906" spans="7:40" ht="13">
      <c r="G906" s="133"/>
      <c r="K906" s="133"/>
      <c r="N906" s="133"/>
      <c r="O906" s="133"/>
      <c r="R906" s="133"/>
      <c r="S906" s="133"/>
      <c r="V906" s="133"/>
      <c r="W906" s="133"/>
      <c r="Z906" s="148"/>
      <c r="AA906" s="133"/>
      <c r="AD906" s="133"/>
      <c r="AE906" s="133"/>
      <c r="AF906" s="32"/>
      <c r="AN906" s="152"/>
    </row>
    <row r="907" spans="7:40" ht="13">
      <c r="G907" s="133"/>
      <c r="K907" s="133"/>
      <c r="N907" s="133"/>
      <c r="O907" s="133"/>
      <c r="R907" s="133"/>
      <c r="S907" s="133"/>
      <c r="V907" s="133"/>
      <c r="W907" s="133"/>
      <c r="Z907" s="148"/>
      <c r="AA907" s="133"/>
      <c r="AD907" s="133"/>
      <c r="AE907" s="133"/>
      <c r="AF907" s="32"/>
      <c r="AN907" s="152"/>
    </row>
    <row r="908" spans="7:40" ht="13">
      <c r="G908" s="133"/>
      <c r="K908" s="133"/>
      <c r="N908" s="133"/>
      <c r="O908" s="133"/>
      <c r="R908" s="133"/>
      <c r="S908" s="133"/>
      <c r="V908" s="133"/>
      <c r="W908" s="133"/>
      <c r="Z908" s="148"/>
      <c r="AA908" s="133"/>
      <c r="AD908" s="133"/>
      <c r="AE908" s="133"/>
      <c r="AF908" s="32"/>
      <c r="AN908" s="152"/>
    </row>
    <row r="909" spans="7:40" ht="13">
      <c r="G909" s="133"/>
      <c r="K909" s="133"/>
      <c r="N909" s="133"/>
      <c r="O909" s="133"/>
      <c r="R909" s="133"/>
      <c r="S909" s="133"/>
      <c r="V909" s="133"/>
      <c r="W909" s="133"/>
      <c r="Z909" s="148"/>
      <c r="AA909" s="133"/>
      <c r="AD909" s="133"/>
      <c r="AE909" s="133"/>
      <c r="AF909" s="32"/>
      <c r="AN909" s="152"/>
    </row>
    <row r="910" spans="7:40" ht="13">
      <c r="G910" s="133"/>
      <c r="K910" s="133"/>
      <c r="N910" s="133"/>
      <c r="O910" s="133"/>
      <c r="R910" s="133"/>
      <c r="S910" s="133"/>
      <c r="V910" s="133"/>
      <c r="W910" s="133"/>
      <c r="Z910" s="148"/>
      <c r="AA910" s="133"/>
      <c r="AD910" s="133"/>
      <c r="AE910" s="133"/>
      <c r="AF910" s="32"/>
      <c r="AN910" s="152"/>
    </row>
    <row r="911" spans="7:40" ht="13">
      <c r="G911" s="133"/>
      <c r="K911" s="133"/>
      <c r="N911" s="133"/>
      <c r="O911" s="133"/>
      <c r="R911" s="133"/>
      <c r="S911" s="133"/>
      <c r="V911" s="133"/>
      <c r="W911" s="133"/>
      <c r="Z911" s="148"/>
      <c r="AA911" s="133"/>
      <c r="AD911" s="133"/>
      <c r="AE911" s="133"/>
      <c r="AF911" s="32"/>
      <c r="AN911" s="152"/>
    </row>
    <row r="912" spans="7:40" ht="13">
      <c r="G912" s="133"/>
      <c r="K912" s="133"/>
      <c r="N912" s="133"/>
      <c r="O912" s="133"/>
      <c r="R912" s="133"/>
      <c r="S912" s="133"/>
      <c r="V912" s="133"/>
      <c r="W912" s="133"/>
      <c r="Z912" s="148"/>
      <c r="AA912" s="133"/>
      <c r="AD912" s="133"/>
      <c r="AE912" s="133"/>
      <c r="AF912" s="32"/>
      <c r="AN912" s="152"/>
    </row>
    <row r="913" spans="7:40" ht="13">
      <c r="G913" s="133"/>
      <c r="K913" s="133"/>
      <c r="N913" s="133"/>
      <c r="O913" s="133"/>
      <c r="R913" s="133"/>
      <c r="S913" s="133"/>
      <c r="V913" s="133"/>
      <c r="W913" s="133"/>
      <c r="Z913" s="148"/>
      <c r="AA913" s="133"/>
      <c r="AD913" s="133"/>
      <c r="AE913" s="133"/>
      <c r="AF913" s="32"/>
      <c r="AN913" s="152"/>
    </row>
    <row r="914" spans="7:40" ht="13">
      <c r="G914" s="133"/>
      <c r="K914" s="133"/>
      <c r="N914" s="133"/>
      <c r="O914" s="133"/>
      <c r="R914" s="133"/>
      <c r="S914" s="133"/>
      <c r="V914" s="133"/>
      <c r="W914" s="133"/>
      <c r="Z914" s="148"/>
      <c r="AA914" s="133"/>
      <c r="AD914" s="133"/>
      <c r="AE914" s="133"/>
      <c r="AF914" s="32"/>
      <c r="AN914" s="152"/>
    </row>
    <row r="915" spans="7:40" ht="13">
      <c r="G915" s="133"/>
      <c r="K915" s="133"/>
      <c r="N915" s="133"/>
      <c r="O915" s="133"/>
      <c r="R915" s="133"/>
      <c r="S915" s="133"/>
      <c r="V915" s="133"/>
      <c r="W915" s="133"/>
      <c r="Z915" s="148"/>
      <c r="AA915" s="133"/>
      <c r="AD915" s="133"/>
      <c r="AE915" s="133"/>
      <c r="AF915" s="32"/>
      <c r="AN915" s="152"/>
    </row>
    <row r="916" spans="7:40" ht="13">
      <c r="G916" s="133"/>
      <c r="K916" s="133"/>
      <c r="N916" s="133"/>
      <c r="O916" s="133"/>
      <c r="R916" s="133"/>
      <c r="S916" s="133"/>
      <c r="V916" s="133"/>
      <c r="W916" s="133"/>
      <c r="Z916" s="148"/>
      <c r="AA916" s="133"/>
      <c r="AD916" s="133"/>
      <c r="AE916" s="133"/>
      <c r="AF916" s="32"/>
      <c r="AN916" s="152"/>
    </row>
    <row r="917" spans="7:40" ht="13">
      <c r="G917" s="133"/>
      <c r="K917" s="133"/>
      <c r="N917" s="133"/>
      <c r="O917" s="133"/>
      <c r="R917" s="133"/>
      <c r="S917" s="133"/>
      <c r="V917" s="133"/>
      <c r="W917" s="133"/>
      <c r="Z917" s="148"/>
      <c r="AA917" s="133"/>
      <c r="AD917" s="133"/>
      <c r="AE917" s="133"/>
      <c r="AF917" s="32"/>
      <c r="AN917" s="152"/>
    </row>
    <row r="918" spans="7:40" ht="13">
      <c r="G918" s="133"/>
      <c r="K918" s="133"/>
      <c r="N918" s="133"/>
      <c r="O918" s="133"/>
      <c r="R918" s="133"/>
      <c r="S918" s="133"/>
      <c r="V918" s="133"/>
      <c r="W918" s="133"/>
      <c r="Z918" s="148"/>
      <c r="AA918" s="133"/>
      <c r="AD918" s="133"/>
      <c r="AE918" s="133"/>
      <c r="AF918" s="32"/>
      <c r="AN918" s="152"/>
    </row>
    <row r="919" spans="7:40" ht="13">
      <c r="G919" s="133"/>
      <c r="K919" s="133"/>
      <c r="N919" s="133"/>
      <c r="O919" s="133"/>
      <c r="R919" s="133"/>
      <c r="S919" s="133"/>
      <c r="V919" s="133"/>
      <c r="W919" s="133"/>
      <c r="Z919" s="148"/>
      <c r="AA919" s="133"/>
      <c r="AD919" s="133"/>
      <c r="AE919" s="133"/>
      <c r="AF919" s="32"/>
      <c r="AN919" s="152"/>
    </row>
    <row r="920" spans="7:40" ht="13">
      <c r="G920" s="133"/>
      <c r="K920" s="133"/>
      <c r="N920" s="133"/>
      <c r="O920" s="133"/>
      <c r="R920" s="133"/>
      <c r="S920" s="133"/>
      <c r="V920" s="133"/>
      <c r="W920" s="133"/>
      <c r="Z920" s="148"/>
      <c r="AA920" s="133"/>
      <c r="AD920" s="133"/>
      <c r="AE920" s="133"/>
      <c r="AF920" s="32"/>
      <c r="AN920" s="152"/>
    </row>
    <row r="921" spans="7:40" ht="13">
      <c r="G921" s="133"/>
      <c r="K921" s="133"/>
      <c r="N921" s="133"/>
      <c r="O921" s="133"/>
      <c r="R921" s="133"/>
      <c r="S921" s="133"/>
      <c r="V921" s="133"/>
      <c r="W921" s="133"/>
      <c r="Z921" s="148"/>
      <c r="AA921" s="133"/>
      <c r="AD921" s="133"/>
      <c r="AE921" s="133"/>
      <c r="AF921" s="32"/>
      <c r="AN921" s="152"/>
    </row>
    <row r="922" spans="7:40" ht="13">
      <c r="G922" s="133"/>
      <c r="K922" s="133"/>
      <c r="N922" s="133"/>
      <c r="O922" s="133"/>
      <c r="R922" s="133"/>
      <c r="S922" s="133"/>
      <c r="V922" s="133"/>
      <c r="W922" s="133"/>
      <c r="Z922" s="148"/>
      <c r="AA922" s="133"/>
      <c r="AD922" s="133"/>
      <c r="AE922" s="133"/>
      <c r="AF922" s="32"/>
      <c r="AN922" s="152"/>
    </row>
    <row r="923" spans="7:40" ht="13">
      <c r="G923" s="133"/>
      <c r="K923" s="133"/>
      <c r="N923" s="133"/>
      <c r="O923" s="133"/>
      <c r="R923" s="133"/>
      <c r="S923" s="133"/>
      <c r="V923" s="133"/>
      <c r="W923" s="133"/>
      <c r="Z923" s="148"/>
      <c r="AA923" s="133"/>
      <c r="AD923" s="133"/>
      <c r="AE923" s="133"/>
      <c r="AF923" s="32"/>
      <c r="AN923" s="152"/>
    </row>
    <row r="924" spans="7:40" ht="13">
      <c r="G924" s="133"/>
      <c r="K924" s="133"/>
      <c r="N924" s="133"/>
      <c r="O924" s="133"/>
      <c r="R924" s="133"/>
      <c r="S924" s="133"/>
      <c r="V924" s="133"/>
      <c r="W924" s="133"/>
      <c r="Z924" s="148"/>
      <c r="AA924" s="133"/>
      <c r="AD924" s="133"/>
      <c r="AE924" s="133"/>
      <c r="AF924" s="32"/>
      <c r="AN924" s="152"/>
    </row>
    <row r="925" spans="7:40" ht="13">
      <c r="G925" s="133"/>
      <c r="K925" s="133"/>
      <c r="N925" s="133"/>
      <c r="O925" s="133"/>
      <c r="R925" s="133"/>
      <c r="S925" s="133"/>
      <c r="V925" s="133"/>
      <c r="W925" s="133"/>
      <c r="Z925" s="148"/>
      <c r="AA925" s="133"/>
      <c r="AD925" s="133"/>
      <c r="AE925" s="133"/>
      <c r="AF925" s="32"/>
      <c r="AN925" s="152"/>
    </row>
    <row r="926" spans="7:40" ht="13">
      <c r="G926" s="133"/>
      <c r="K926" s="133"/>
      <c r="N926" s="133"/>
      <c r="O926" s="133"/>
      <c r="R926" s="133"/>
      <c r="S926" s="133"/>
      <c r="V926" s="133"/>
      <c r="W926" s="133"/>
      <c r="Z926" s="148"/>
      <c r="AA926" s="133"/>
      <c r="AD926" s="133"/>
      <c r="AE926" s="133"/>
      <c r="AF926" s="32"/>
      <c r="AN926" s="152"/>
    </row>
    <row r="927" spans="7:40" ht="13">
      <c r="G927" s="133"/>
      <c r="K927" s="133"/>
      <c r="N927" s="133"/>
      <c r="O927" s="133"/>
      <c r="R927" s="133"/>
      <c r="S927" s="133"/>
      <c r="V927" s="133"/>
      <c r="W927" s="133"/>
      <c r="Z927" s="148"/>
      <c r="AA927" s="133"/>
      <c r="AD927" s="133"/>
      <c r="AE927" s="133"/>
      <c r="AF927" s="32"/>
      <c r="AN927" s="152"/>
    </row>
    <row r="928" spans="7:40" ht="13">
      <c r="G928" s="133"/>
      <c r="K928" s="133"/>
      <c r="N928" s="133"/>
      <c r="O928" s="133"/>
      <c r="R928" s="133"/>
      <c r="S928" s="133"/>
      <c r="V928" s="133"/>
      <c r="W928" s="133"/>
      <c r="Z928" s="148"/>
      <c r="AA928" s="133"/>
      <c r="AD928" s="133"/>
      <c r="AE928" s="133"/>
      <c r="AF928" s="32"/>
      <c r="AN928" s="152"/>
    </row>
    <row r="929" spans="7:40" ht="13">
      <c r="G929" s="133"/>
      <c r="K929" s="133"/>
      <c r="N929" s="133"/>
      <c r="O929" s="133"/>
      <c r="R929" s="133"/>
      <c r="S929" s="133"/>
      <c r="V929" s="133"/>
      <c r="W929" s="133"/>
      <c r="Z929" s="148"/>
      <c r="AA929" s="133"/>
      <c r="AD929" s="133"/>
      <c r="AE929" s="133"/>
      <c r="AF929" s="32"/>
      <c r="AN929" s="152"/>
    </row>
    <row r="930" spans="7:40" ht="13">
      <c r="G930" s="133"/>
      <c r="K930" s="133"/>
      <c r="N930" s="133"/>
      <c r="O930" s="133"/>
      <c r="R930" s="133"/>
      <c r="S930" s="133"/>
      <c r="V930" s="133"/>
      <c r="W930" s="133"/>
      <c r="Z930" s="148"/>
      <c r="AA930" s="133"/>
      <c r="AD930" s="133"/>
      <c r="AE930" s="133"/>
      <c r="AF930" s="32"/>
      <c r="AN930" s="152"/>
    </row>
    <row r="931" spans="7:40" ht="13">
      <c r="G931" s="133"/>
      <c r="K931" s="133"/>
      <c r="N931" s="133"/>
      <c r="O931" s="133"/>
      <c r="R931" s="133"/>
      <c r="S931" s="133"/>
      <c r="V931" s="133"/>
      <c r="W931" s="133"/>
      <c r="Z931" s="148"/>
      <c r="AA931" s="133"/>
      <c r="AD931" s="133"/>
      <c r="AE931" s="133"/>
      <c r="AF931" s="32"/>
      <c r="AN931" s="152"/>
    </row>
    <row r="932" spans="7:40" ht="13">
      <c r="G932" s="133"/>
      <c r="K932" s="133"/>
      <c r="N932" s="133"/>
      <c r="O932" s="133"/>
      <c r="R932" s="133"/>
      <c r="S932" s="133"/>
      <c r="V932" s="133"/>
      <c r="W932" s="133"/>
      <c r="Z932" s="148"/>
      <c r="AA932" s="133"/>
      <c r="AD932" s="133"/>
      <c r="AE932" s="133"/>
      <c r="AF932" s="32"/>
      <c r="AN932" s="152"/>
    </row>
    <row r="933" spans="7:40" ht="13">
      <c r="G933" s="133"/>
      <c r="K933" s="133"/>
      <c r="N933" s="133"/>
      <c r="O933" s="133"/>
      <c r="R933" s="133"/>
      <c r="S933" s="133"/>
      <c r="V933" s="133"/>
      <c r="W933" s="133"/>
      <c r="Z933" s="148"/>
      <c r="AA933" s="133"/>
      <c r="AD933" s="133"/>
      <c r="AE933" s="133"/>
      <c r="AF933" s="32"/>
      <c r="AN933" s="152"/>
    </row>
    <row r="934" spans="7:40" ht="13">
      <c r="G934" s="133"/>
      <c r="K934" s="133"/>
      <c r="N934" s="133"/>
      <c r="O934" s="133"/>
      <c r="R934" s="133"/>
      <c r="S934" s="133"/>
      <c r="V934" s="133"/>
      <c r="W934" s="133"/>
      <c r="Z934" s="148"/>
      <c r="AA934" s="133"/>
      <c r="AD934" s="133"/>
      <c r="AE934" s="133"/>
      <c r="AF934" s="32"/>
      <c r="AN934" s="152"/>
    </row>
    <row r="935" spans="7:40" ht="13">
      <c r="G935" s="133"/>
      <c r="K935" s="133"/>
      <c r="N935" s="133"/>
      <c r="O935" s="133"/>
      <c r="R935" s="133"/>
      <c r="S935" s="133"/>
      <c r="V935" s="133"/>
      <c r="W935" s="133"/>
      <c r="Z935" s="148"/>
      <c r="AA935" s="133"/>
      <c r="AD935" s="133"/>
      <c r="AE935" s="133"/>
      <c r="AF935" s="32"/>
      <c r="AN935" s="152"/>
    </row>
    <row r="936" spans="7:40" ht="13">
      <c r="G936" s="133"/>
      <c r="K936" s="133"/>
      <c r="N936" s="133"/>
      <c r="O936" s="133"/>
      <c r="R936" s="133"/>
      <c r="S936" s="133"/>
      <c r="V936" s="133"/>
      <c r="W936" s="133"/>
      <c r="Z936" s="148"/>
      <c r="AA936" s="133"/>
      <c r="AD936" s="133"/>
      <c r="AE936" s="133"/>
      <c r="AF936" s="32"/>
      <c r="AN936" s="152"/>
    </row>
    <row r="937" spans="7:40" ht="13">
      <c r="G937" s="133"/>
      <c r="K937" s="133"/>
      <c r="N937" s="133"/>
      <c r="O937" s="133"/>
      <c r="R937" s="133"/>
      <c r="S937" s="133"/>
      <c r="V937" s="133"/>
      <c r="W937" s="133"/>
      <c r="Z937" s="148"/>
      <c r="AA937" s="133"/>
      <c r="AD937" s="133"/>
      <c r="AE937" s="133"/>
      <c r="AF937" s="32"/>
      <c r="AN937" s="152"/>
    </row>
    <row r="938" spans="7:40" ht="13">
      <c r="G938" s="133"/>
      <c r="K938" s="133"/>
      <c r="N938" s="133"/>
      <c r="O938" s="133"/>
      <c r="R938" s="133"/>
      <c r="S938" s="133"/>
      <c r="V938" s="133"/>
      <c r="W938" s="133"/>
      <c r="Z938" s="148"/>
      <c r="AA938" s="133"/>
      <c r="AD938" s="133"/>
      <c r="AE938" s="133"/>
      <c r="AF938" s="32"/>
      <c r="AN938" s="152"/>
    </row>
    <row r="939" spans="7:40" ht="13">
      <c r="G939" s="133"/>
      <c r="K939" s="133"/>
      <c r="N939" s="133"/>
      <c r="O939" s="133"/>
      <c r="R939" s="133"/>
      <c r="S939" s="133"/>
      <c r="V939" s="133"/>
      <c r="W939" s="133"/>
      <c r="Z939" s="148"/>
      <c r="AA939" s="133"/>
      <c r="AD939" s="133"/>
      <c r="AE939" s="133"/>
      <c r="AF939" s="32"/>
      <c r="AN939" s="152"/>
    </row>
    <row r="940" spans="7:40" ht="13">
      <c r="G940" s="133"/>
      <c r="K940" s="133"/>
      <c r="N940" s="133"/>
      <c r="O940" s="133"/>
      <c r="R940" s="133"/>
      <c r="S940" s="133"/>
      <c r="V940" s="133"/>
      <c r="W940" s="133"/>
      <c r="Z940" s="148"/>
      <c r="AA940" s="133"/>
      <c r="AD940" s="133"/>
      <c r="AE940" s="133"/>
      <c r="AF940" s="32"/>
      <c r="AN940" s="152"/>
    </row>
    <row r="941" spans="7:40" ht="13">
      <c r="G941" s="133"/>
      <c r="K941" s="133"/>
      <c r="N941" s="133"/>
      <c r="O941" s="133"/>
      <c r="R941" s="133"/>
      <c r="S941" s="133"/>
      <c r="V941" s="133"/>
      <c r="W941" s="133"/>
      <c r="Z941" s="148"/>
      <c r="AA941" s="133"/>
      <c r="AD941" s="133"/>
      <c r="AE941" s="133"/>
      <c r="AF941" s="32"/>
      <c r="AN941" s="152"/>
    </row>
    <row r="942" spans="7:40" ht="13">
      <c r="G942" s="133"/>
      <c r="K942" s="133"/>
      <c r="N942" s="133"/>
      <c r="O942" s="133"/>
      <c r="R942" s="133"/>
      <c r="S942" s="133"/>
      <c r="V942" s="133"/>
      <c r="W942" s="133"/>
      <c r="Z942" s="148"/>
      <c r="AA942" s="133"/>
      <c r="AD942" s="133"/>
      <c r="AE942" s="133"/>
      <c r="AF942" s="32"/>
      <c r="AN942" s="152"/>
    </row>
    <row r="943" spans="7:40" ht="13">
      <c r="G943" s="133"/>
      <c r="K943" s="133"/>
      <c r="N943" s="133"/>
      <c r="O943" s="133"/>
      <c r="R943" s="133"/>
      <c r="S943" s="133"/>
      <c r="V943" s="133"/>
      <c r="W943" s="133"/>
      <c r="Z943" s="148"/>
      <c r="AA943" s="133"/>
      <c r="AD943" s="133"/>
      <c r="AE943" s="133"/>
      <c r="AF943" s="32"/>
      <c r="AN943" s="152"/>
    </row>
    <row r="944" spans="7:40" ht="13">
      <c r="G944" s="133"/>
      <c r="K944" s="133"/>
      <c r="N944" s="133"/>
      <c r="O944" s="133"/>
      <c r="R944" s="133"/>
      <c r="S944" s="133"/>
      <c r="V944" s="133"/>
      <c r="W944" s="133"/>
      <c r="Z944" s="148"/>
      <c r="AA944" s="133"/>
      <c r="AD944" s="133"/>
      <c r="AE944" s="133"/>
      <c r="AF944" s="32"/>
      <c r="AN944" s="152"/>
    </row>
    <row r="945" spans="7:40" ht="13">
      <c r="G945" s="133"/>
      <c r="K945" s="133"/>
      <c r="N945" s="133"/>
      <c r="O945" s="133"/>
      <c r="R945" s="133"/>
      <c r="S945" s="133"/>
      <c r="V945" s="133"/>
      <c r="W945" s="133"/>
      <c r="Z945" s="148"/>
      <c r="AA945" s="133"/>
      <c r="AD945" s="133"/>
      <c r="AE945" s="133"/>
      <c r="AF945" s="32"/>
      <c r="AN945" s="152"/>
    </row>
    <row r="946" spans="7:40" ht="13">
      <c r="G946" s="133"/>
      <c r="K946" s="133"/>
      <c r="N946" s="133"/>
      <c r="O946" s="133"/>
      <c r="R946" s="133"/>
      <c r="S946" s="133"/>
      <c r="V946" s="133"/>
      <c r="W946" s="133"/>
      <c r="Z946" s="148"/>
      <c r="AA946" s="133"/>
      <c r="AD946" s="133"/>
      <c r="AE946" s="133"/>
      <c r="AF946" s="32"/>
      <c r="AN946" s="152"/>
    </row>
    <row r="947" spans="7:40" ht="13">
      <c r="G947" s="133"/>
      <c r="K947" s="133"/>
      <c r="N947" s="133"/>
      <c r="O947" s="133"/>
      <c r="R947" s="133"/>
      <c r="S947" s="133"/>
      <c r="V947" s="133"/>
      <c r="W947" s="133"/>
      <c r="Z947" s="148"/>
      <c r="AA947" s="133"/>
      <c r="AD947" s="133"/>
      <c r="AE947" s="133"/>
      <c r="AF947" s="32"/>
      <c r="AN947" s="152"/>
    </row>
    <row r="948" spans="7:40" ht="13">
      <c r="G948" s="133"/>
      <c r="K948" s="133"/>
      <c r="N948" s="133"/>
      <c r="O948" s="133"/>
      <c r="R948" s="133"/>
      <c r="S948" s="133"/>
      <c r="V948" s="133"/>
      <c r="W948" s="133"/>
      <c r="Z948" s="148"/>
      <c r="AA948" s="133"/>
      <c r="AD948" s="133"/>
      <c r="AE948" s="133"/>
      <c r="AF948" s="32"/>
      <c r="AN948" s="152"/>
    </row>
    <row r="949" spans="7:40" ht="13">
      <c r="G949" s="133"/>
      <c r="K949" s="133"/>
      <c r="N949" s="133"/>
      <c r="O949" s="133"/>
      <c r="R949" s="133"/>
      <c r="S949" s="133"/>
      <c r="V949" s="133"/>
      <c r="W949" s="133"/>
      <c r="Z949" s="148"/>
      <c r="AA949" s="133"/>
      <c r="AD949" s="133"/>
      <c r="AE949" s="133"/>
      <c r="AF949" s="32"/>
      <c r="AN949" s="152"/>
    </row>
    <row r="950" spans="7:40" ht="13">
      <c r="G950" s="133"/>
      <c r="K950" s="133"/>
      <c r="N950" s="133"/>
      <c r="O950" s="133"/>
      <c r="R950" s="133"/>
      <c r="S950" s="133"/>
      <c r="V950" s="133"/>
      <c r="W950" s="133"/>
      <c r="Z950" s="148"/>
      <c r="AA950" s="133"/>
      <c r="AD950" s="133"/>
      <c r="AE950" s="133"/>
      <c r="AF950" s="32"/>
      <c r="AN950" s="152"/>
    </row>
    <row r="951" spans="7:40" ht="13">
      <c r="G951" s="133"/>
      <c r="K951" s="133"/>
      <c r="N951" s="133"/>
      <c r="O951" s="133"/>
      <c r="R951" s="133"/>
      <c r="S951" s="133"/>
      <c r="V951" s="133"/>
      <c r="W951" s="133"/>
      <c r="Z951" s="148"/>
      <c r="AA951" s="133"/>
      <c r="AD951" s="133"/>
      <c r="AE951" s="133"/>
      <c r="AF951" s="32"/>
      <c r="AN951" s="152"/>
    </row>
    <row r="952" spans="7:40" ht="13">
      <c r="G952" s="133"/>
      <c r="K952" s="133"/>
      <c r="N952" s="133"/>
      <c r="O952" s="133"/>
      <c r="R952" s="133"/>
      <c r="S952" s="133"/>
      <c r="V952" s="133"/>
      <c r="W952" s="133"/>
      <c r="Z952" s="148"/>
      <c r="AA952" s="133"/>
      <c r="AD952" s="133"/>
      <c r="AE952" s="133"/>
      <c r="AF952" s="32"/>
      <c r="AN952" s="152"/>
    </row>
    <row r="953" spans="7:40" ht="13">
      <c r="G953" s="133"/>
      <c r="K953" s="133"/>
      <c r="N953" s="133"/>
      <c r="O953" s="133"/>
      <c r="R953" s="133"/>
      <c r="S953" s="133"/>
      <c r="V953" s="133"/>
      <c r="W953" s="133"/>
      <c r="Z953" s="148"/>
      <c r="AA953" s="133"/>
      <c r="AD953" s="133"/>
      <c r="AE953" s="133"/>
      <c r="AF953" s="32"/>
      <c r="AN953" s="152"/>
    </row>
    <row r="954" spans="7:40" ht="13">
      <c r="G954" s="133"/>
      <c r="K954" s="133"/>
      <c r="N954" s="133"/>
      <c r="O954" s="133"/>
      <c r="R954" s="133"/>
      <c r="S954" s="133"/>
      <c r="V954" s="133"/>
      <c r="W954" s="133"/>
      <c r="Z954" s="148"/>
      <c r="AA954" s="133"/>
      <c r="AD954" s="133"/>
      <c r="AE954" s="133"/>
      <c r="AF954" s="32"/>
      <c r="AN954" s="152"/>
    </row>
    <row r="955" spans="7:40" ht="13">
      <c r="G955" s="133"/>
      <c r="K955" s="133"/>
      <c r="N955" s="133"/>
      <c r="O955" s="133"/>
      <c r="R955" s="133"/>
      <c r="S955" s="133"/>
      <c r="V955" s="133"/>
      <c r="W955" s="133"/>
      <c r="Z955" s="148"/>
      <c r="AA955" s="133"/>
      <c r="AD955" s="133"/>
      <c r="AE955" s="133"/>
      <c r="AF955" s="32"/>
      <c r="AN955" s="152"/>
    </row>
    <row r="956" spans="7:40" ht="13">
      <c r="G956" s="133"/>
      <c r="K956" s="133"/>
      <c r="N956" s="133"/>
      <c r="O956" s="133"/>
      <c r="R956" s="133"/>
      <c r="S956" s="133"/>
      <c r="V956" s="133"/>
      <c r="W956" s="133"/>
      <c r="Z956" s="148"/>
      <c r="AA956" s="133"/>
      <c r="AD956" s="133"/>
      <c r="AE956" s="133"/>
      <c r="AF956" s="32"/>
      <c r="AN956" s="152"/>
    </row>
    <row r="957" spans="7:40" ht="13">
      <c r="G957" s="133"/>
      <c r="K957" s="133"/>
      <c r="N957" s="133"/>
      <c r="O957" s="133"/>
      <c r="R957" s="133"/>
      <c r="S957" s="133"/>
      <c r="V957" s="133"/>
      <c r="W957" s="133"/>
      <c r="Z957" s="148"/>
      <c r="AA957" s="133"/>
      <c r="AD957" s="133"/>
      <c r="AE957" s="133"/>
      <c r="AF957" s="32"/>
      <c r="AN957" s="152"/>
    </row>
    <row r="958" spans="7:40" ht="13">
      <c r="G958" s="133"/>
      <c r="K958" s="133"/>
      <c r="N958" s="133"/>
      <c r="O958" s="133"/>
      <c r="R958" s="133"/>
      <c r="S958" s="133"/>
      <c r="V958" s="133"/>
      <c r="W958" s="133"/>
      <c r="Z958" s="148"/>
      <c r="AA958" s="133"/>
      <c r="AD958" s="133"/>
      <c r="AE958" s="133"/>
      <c r="AF958" s="32"/>
      <c r="AN958" s="152"/>
    </row>
    <row r="959" spans="7:40" ht="13">
      <c r="G959" s="133"/>
      <c r="K959" s="133"/>
      <c r="N959" s="133"/>
      <c r="O959" s="133"/>
      <c r="R959" s="133"/>
      <c r="S959" s="133"/>
      <c r="V959" s="133"/>
      <c r="W959" s="133"/>
      <c r="Z959" s="148"/>
      <c r="AA959" s="133"/>
      <c r="AD959" s="133"/>
      <c r="AE959" s="133"/>
      <c r="AF959" s="32"/>
      <c r="AN959" s="152"/>
    </row>
    <row r="960" spans="7:40" ht="13">
      <c r="G960" s="133"/>
      <c r="K960" s="133"/>
      <c r="N960" s="133"/>
      <c r="O960" s="133"/>
      <c r="R960" s="133"/>
      <c r="S960" s="133"/>
      <c r="V960" s="133"/>
      <c r="W960" s="133"/>
      <c r="Z960" s="148"/>
      <c r="AA960" s="133"/>
      <c r="AD960" s="133"/>
      <c r="AE960" s="133"/>
      <c r="AF960" s="32"/>
      <c r="AN960" s="152"/>
    </row>
    <row r="961" spans="7:40" ht="13">
      <c r="G961" s="133"/>
      <c r="K961" s="133"/>
      <c r="N961" s="133"/>
      <c r="O961" s="133"/>
      <c r="R961" s="133"/>
      <c r="S961" s="133"/>
      <c r="V961" s="133"/>
      <c r="W961" s="133"/>
      <c r="Z961" s="148"/>
      <c r="AA961" s="133"/>
      <c r="AD961" s="133"/>
      <c r="AE961" s="133"/>
      <c r="AF961" s="32"/>
      <c r="AN961" s="152"/>
    </row>
    <row r="962" spans="7:40" ht="13">
      <c r="G962" s="133"/>
      <c r="K962" s="133"/>
      <c r="N962" s="133"/>
      <c r="O962" s="133"/>
      <c r="R962" s="133"/>
      <c r="S962" s="133"/>
      <c r="V962" s="133"/>
      <c r="W962" s="133"/>
      <c r="Z962" s="148"/>
      <c r="AA962" s="133"/>
      <c r="AD962" s="133"/>
      <c r="AE962" s="133"/>
      <c r="AF962" s="32"/>
      <c r="AN962" s="152"/>
    </row>
    <row r="963" spans="7:40" ht="13">
      <c r="G963" s="133"/>
      <c r="K963" s="133"/>
      <c r="N963" s="133"/>
      <c r="O963" s="133"/>
      <c r="R963" s="133"/>
      <c r="S963" s="133"/>
      <c r="V963" s="133"/>
      <c r="W963" s="133"/>
      <c r="Z963" s="148"/>
      <c r="AA963" s="133"/>
      <c r="AD963" s="133"/>
      <c r="AE963" s="133"/>
      <c r="AF963" s="32"/>
      <c r="AN963" s="152"/>
    </row>
    <row r="964" spans="7:40" ht="13">
      <c r="G964" s="133"/>
      <c r="K964" s="133"/>
      <c r="N964" s="133"/>
      <c r="O964" s="133"/>
      <c r="R964" s="133"/>
      <c r="S964" s="133"/>
      <c r="V964" s="133"/>
      <c r="W964" s="133"/>
      <c r="Z964" s="148"/>
      <c r="AA964" s="133"/>
      <c r="AD964" s="133"/>
      <c r="AE964" s="133"/>
      <c r="AF964" s="32"/>
      <c r="AN964" s="152"/>
    </row>
    <row r="965" spans="7:40" ht="13">
      <c r="G965" s="133"/>
      <c r="K965" s="133"/>
      <c r="N965" s="133"/>
      <c r="O965" s="133"/>
      <c r="R965" s="133"/>
      <c r="S965" s="133"/>
      <c r="V965" s="133"/>
      <c r="W965" s="133"/>
      <c r="Z965" s="148"/>
      <c r="AA965" s="133"/>
      <c r="AD965" s="133"/>
      <c r="AE965" s="133"/>
      <c r="AF965" s="32"/>
      <c r="AN965" s="152"/>
    </row>
    <row r="966" spans="7:40" ht="13">
      <c r="G966" s="133"/>
      <c r="K966" s="133"/>
      <c r="N966" s="133"/>
      <c r="O966" s="133"/>
      <c r="R966" s="133"/>
      <c r="S966" s="133"/>
      <c r="V966" s="133"/>
      <c r="W966" s="133"/>
      <c r="Z966" s="148"/>
      <c r="AA966" s="133"/>
      <c r="AD966" s="133"/>
      <c r="AE966" s="133"/>
      <c r="AF966" s="32"/>
      <c r="AN966" s="152"/>
    </row>
    <row r="967" spans="7:40" ht="13">
      <c r="G967" s="133"/>
      <c r="K967" s="133"/>
      <c r="N967" s="133"/>
      <c r="O967" s="133"/>
      <c r="R967" s="133"/>
      <c r="S967" s="133"/>
      <c r="V967" s="133"/>
      <c r="W967" s="133"/>
      <c r="Z967" s="148"/>
      <c r="AA967" s="133"/>
      <c r="AD967" s="133"/>
      <c r="AE967" s="133"/>
      <c r="AF967" s="32"/>
      <c r="AN967" s="152"/>
    </row>
    <row r="968" spans="7:40" ht="13">
      <c r="G968" s="133"/>
      <c r="K968" s="133"/>
      <c r="N968" s="133"/>
      <c r="O968" s="133"/>
      <c r="R968" s="133"/>
      <c r="S968" s="133"/>
      <c r="V968" s="133"/>
      <c r="W968" s="133"/>
      <c r="Z968" s="148"/>
      <c r="AA968" s="133"/>
      <c r="AD968" s="133"/>
      <c r="AE968" s="133"/>
      <c r="AF968" s="32"/>
      <c r="AN968" s="152"/>
    </row>
    <row r="969" spans="7:40" ht="13">
      <c r="G969" s="133"/>
      <c r="K969" s="133"/>
      <c r="N969" s="133"/>
      <c r="O969" s="133"/>
      <c r="R969" s="133"/>
      <c r="S969" s="133"/>
      <c r="V969" s="133"/>
      <c r="W969" s="133"/>
      <c r="Z969" s="148"/>
      <c r="AA969" s="133"/>
      <c r="AD969" s="133"/>
      <c r="AE969" s="133"/>
      <c r="AF969" s="32"/>
      <c r="AN969" s="152"/>
    </row>
    <row r="970" spans="7:40" ht="13">
      <c r="G970" s="133"/>
      <c r="K970" s="133"/>
      <c r="N970" s="133"/>
      <c r="O970" s="133"/>
      <c r="R970" s="133"/>
      <c r="S970" s="133"/>
      <c r="V970" s="133"/>
      <c r="W970" s="133"/>
      <c r="Z970" s="148"/>
      <c r="AA970" s="133"/>
      <c r="AD970" s="133"/>
      <c r="AE970" s="133"/>
      <c r="AF970" s="32"/>
      <c r="AN970" s="152"/>
    </row>
    <row r="971" spans="7:40" ht="13">
      <c r="G971" s="133"/>
      <c r="K971" s="133"/>
      <c r="N971" s="133"/>
      <c r="O971" s="133"/>
      <c r="R971" s="133"/>
      <c r="S971" s="133"/>
      <c r="V971" s="133"/>
      <c r="W971" s="133"/>
      <c r="Z971" s="148"/>
      <c r="AA971" s="133"/>
      <c r="AD971" s="133"/>
      <c r="AE971" s="133"/>
      <c r="AF971" s="32"/>
      <c r="AN971" s="152"/>
    </row>
    <row r="972" spans="7:40" ht="13">
      <c r="G972" s="133"/>
      <c r="K972" s="133"/>
      <c r="N972" s="133"/>
      <c r="O972" s="133"/>
      <c r="R972" s="133"/>
      <c r="S972" s="133"/>
      <c r="V972" s="133"/>
      <c r="W972" s="133"/>
      <c r="Z972" s="148"/>
      <c r="AA972" s="133"/>
      <c r="AD972" s="133"/>
      <c r="AE972" s="133"/>
      <c r="AF972" s="32"/>
      <c r="AN972" s="152"/>
    </row>
    <row r="973" spans="7:40" ht="13">
      <c r="G973" s="133"/>
      <c r="K973" s="133"/>
      <c r="N973" s="133"/>
      <c r="O973" s="133"/>
      <c r="R973" s="133"/>
      <c r="S973" s="133"/>
      <c r="V973" s="133"/>
      <c r="W973" s="133"/>
      <c r="Z973" s="148"/>
      <c r="AA973" s="133"/>
      <c r="AD973" s="133"/>
      <c r="AE973" s="133"/>
      <c r="AF973" s="32"/>
      <c r="AN973" s="152"/>
    </row>
    <row r="974" spans="7:40" ht="13">
      <c r="G974" s="133"/>
      <c r="K974" s="133"/>
      <c r="N974" s="133"/>
      <c r="O974" s="133"/>
      <c r="R974" s="133"/>
      <c r="S974" s="133"/>
      <c r="V974" s="133"/>
      <c r="W974" s="133"/>
      <c r="Z974" s="148"/>
      <c r="AA974" s="133"/>
      <c r="AD974" s="133"/>
      <c r="AE974" s="133"/>
      <c r="AF974" s="32"/>
      <c r="AN974" s="152"/>
    </row>
    <row r="975" spans="7:40" ht="13">
      <c r="G975" s="133"/>
      <c r="K975" s="133"/>
      <c r="N975" s="133"/>
      <c r="O975" s="133"/>
      <c r="R975" s="133"/>
      <c r="S975" s="133"/>
      <c r="V975" s="133"/>
      <c r="W975" s="133"/>
      <c r="Z975" s="148"/>
      <c r="AA975" s="133"/>
      <c r="AD975" s="133"/>
      <c r="AE975" s="133"/>
      <c r="AF975" s="32"/>
      <c r="AN975" s="152"/>
    </row>
    <row r="976" spans="7:40" ht="13">
      <c r="G976" s="133"/>
      <c r="K976" s="133"/>
      <c r="N976" s="133"/>
      <c r="O976" s="133"/>
      <c r="R976" s="133"/>
      <c r="S976" s="133"/>
      <c r="V976" s="133"/>
      <c r="W976" s="133"/>
      <c r="Z976" s="148"/>
      <c r="AA976" s="133"/>
      <c r="AD976" s="133"/>
      <c r="AE976" s="133"/>
      <c r="AF976" s="32"/>
      <c r="AN976" s="152"/>
    </row>
    <row r="977" spans="7:40" ht="13">
      <c r="G977" s="133"/>
      <c r="K977" s="133"/>
      <c r="N977" s="133"/>
      <c r="O977" s="133"/>
      <c r="R977" s="133"/>
      <c r="S977" s="133"/>
      <c r="V977" s="133"/>
      <c r="W977" s="133"/>
      <c r="Z977" s="148"/>
      <c r="AA977" s="133"/>
      <c r="AD977" s="133"/>
      <c r="AE977" s="133"/>
      <c r="AF977" s="32"/>
      <c r="AN977" s="152"/>
    </row>
    <row r="978" spans="7:40" ht="13">
      <c r="G978" s="133"/>
      <c r="K978" s="133"/>
      <c r="N978" s="133"/>
      <c r="O978" s="133"/>
      <c r="R978" s="133"/>
      <c r="S978" s="133"/>
      <c r="V978" s="133"/>
      <c r="W978" s="133"/>
      <c r="Z978" s="148"/>
      <c r="AA978" s="133"/>
      <c r="AD978" s="133"/>
      <c r="AE978" s="133"/>
      <c r="AF978" s="32"/>
      <c r="AN978" s="152"/>
    </row>
    <row r="979" spans="7:40" ht="13">
      <c r="G979" s="133"/>
      <c r="K979" s="133"/>
      <c r="N979" s="133"/>
      <c r="O979" s="133"/>
      <c r="R979" s="133"/>
      <c r="S979" s="133"/>
      <c r="V979" s="133"/>
      <c r="W979" s="133"/>
      <c r="Z979" s="148"/>
      <c r="AA979" s="133"/>
      <c r="AD979" s="133"/>
      <c r="AE979" s="133"/>
      <c r="AF979" s="32"/>
      <c r="AN979" s="152"/>
    </row>
    <row r="980" spans="7:40" ht="13">
      <c r="G980" s="133"/>
      <c r="K980" s="133"/>
      <c r="N980" s="133"/>
      <c r="O980" s="133"/>
      <c r="R980" s="133"/>
      <c r="S980" s="133"/>
      <c r="V980" s="133"/>
      <c r="W980" s="133"/>
      <c r="Z980" s="148"/>
      <c r="AA980" s="133"/>
      <c r="AD980" s="133"/>
      <c r="AE980" s="133"/>
      <c r="AF980" s="32"/>
      <c r="AN980" s="152"/>
    </row>
    <row r="981" spans="7:40" ht="13">
      <c r="G981" s="133"/>
      <c r="K981" s="133"/>
      <c r="N981" s="133"/>
      <c r="O981" s="133"/>
      <c r="R981" s="133"/>
      <c r="S981" s="133"/>
      <c r="V981" s="133"/>
      <c r="W981" s="133"/>
      <c r="Z981" s="148"/>
      <c r="AA981" s="133"/>
      <c r="AD981" s="133"/>
      <c r="AE981" s="133"/>
      <c r="AF981" s="32"/>
      <c r="AN981" s="152"/>
    </row>
    <row r="982" spans="7:40" ht="13">
      <c r="G982" s="133"/>
      <c r="K982" s="133"/>
      <c r="N982" s="133"/>
      <c r="O982" s="133"/>
      <c r="R982" s="133"/>
      <c r="S982" s="133"/>
      <c r="V982" s="133"/>
      <c r="W982" s="133"/>
      <c r="Z982" s="148"/>
      <c r="AA982" s="133"/>
      <c r="AD982" s="133"/>
      <c r="AE982" s="133"/>
      <c r="AF982" s="32"/>
      <c r="AN982" s="152"/>
    </row>
    <row r="983" spans="7:40" ht="13">
      <c r="G983" s="133"/>
      <c r="K983" s="133"/>
      <c r="N983" s="133"/>
      <c r="O983" s="133"/>
      <c r="R983" s="133"/>
      <c r="S983" s="133"/>
      <c r="V983" s="133"/>
      <c r="W983" s="133"/>
      <c r="Z983" s="148"/>
      <c r="AA983" s="133"/>
      <c r="AD983" s="133"/>
      <c r="AE983" s="133"/>
      <c r="AF983" s="32"/>
      <c r="AN983" s="152"/>
    </row>
    <row r="984" spans="7:40" ht="13">
      <c r="G984" s="133"/>
      <c r="K984" s="133"/>
      <c r="N984" s="133"/>
      <c r="O984" s="133"/>
      <c r="R984" s="133"/>
      <c r="S984" s="133"/>
      <c r="V984" s="133"/>
      <c r="W984" s="133"/>
      <c r="Z984" s="148"/>
      <c r="AA984" s="133"/>
      <c r="AD984" s="133"/>
      <c r="AE984" s="133"/>
      <c r="AF984" s="32"/>
      <c r="AN984" s="152"/>
    </row>
    <row r="985" spans="7:40" ht="13">
      <c r="G985" s="133"/>
      <c r="K985" s="133"/>
      <c r="N985" s="133"/>
      <c r="O985" s="133"/>
      <c r="R985" s="133"/>
      <c r="S985" s="133"/>
      <c r="V985" s="133"/>
      <c r="W985" s="133"/>
      <c r="Z985" s="148"/>
      <c r="AA985" s="133"/>
      <c r="AD985" s="133"/>
      <c r="AE985" s="133"/>
      <c r="AF985" s="32"/>
      <c r="AN985" s="152"/>
    </row>
    <row r="986" spans="7:40" ht="13">
      <c r="G986" s="133"/>
      <c r="K986" s="133"/>
      <c r="N986" s="133"/>
      <c r="O986" s="133"/>
      <c r="R986" s="133"/>
      <c r="S986" s="133"/>
      <c r="V986" s="133"/>
      <c r="W986" s="133"/>
      <c r="Z986" s="148"/>
      <c r="AA986" s="133"/>
      <c r="AD986" s="133"/>
      <c r="AE986" s="133"/>
      <c r="AF986" s="32"/>
      <c r="AN986" s="152"/>
    </row>
    <row r="987" spans="7:40" ht="13">
      <c r="G987" s="133"/>
      <c r="K987" s="133"/>
      <c r="N987" s="133"/>
      <c r="O987" s="133"/>
      <c r="R987" s="133"/>
      <c r="S987" s="133"/>
      <c r="V987" s="133"/>
      <c r="W987" s="133"/>
      <c r="Z987" s="148"/>
      <c r="AA987" s="133"/>
      <c r="AD987" s="133"/>
      <c r="AE987" s="133"/>
      <c r="AF987" s="32"/>
      <c r="AN987" s="152"/>
    </row>
    <row r="988" spans="7:40" ht="13">
      <c r="G988" s="133"/>
      <c r="K988" s="133"/>
      <c r="N988" s="133"/>
      <c r="O988" s="133"/>
      <c r="R988" s="133"/>
      <c r="S988" s="133"/>
      <c r="V988" s="133"/>
      <c r="W988" s="133"/>
      <c r="Z988" s="148"/>
      <c r="AA988" s="133"/>
      <c r="AD988" s="133"/>
      <c r="AE988" s="133"/>
      <c r="AF988" s="32"/>
      <c r="AN988" s="152"/>
    </row>
    <row r="989" spans="7:40" ht="13">
      <c r="G989" s="133"/>
      <c r="K989" s="133"/>
      <c r="N989" s="133"/>
      <c r="O989" s="133"/>
      <c r="R989" s="133"/>
      <c r="S989" s="133"/>
      <c r="V989" s="133"/>
      <c r="W989" s="133"/>
      <c r="Z989" s="148"/>
      <c r="AA989" s="133"/>
      <c r="AD989" s="133"/>
      <c r="AE989" s="133"/>
      <c r="AF989" s="32"/>
      <c r="AN989" s="152"/>
    </row>
    <row r="990" spans="7:40" ht="13">
      <c r="G990" s="133"/>
      <c r="K990" s="133"/>
      <c r="N990" s="133"/>
      <c r="O990" s="133"/>
      <c r="R990" s="133"/>
      <c r="S990" s="133"/>
      <c r="V990" s="133"/>
      <c r="W990" s="133"/>
      <c r="Z990" s="148"/>
      <c r="AA990" s="133"/>
      <c r="AD990" s="133"/>
      <c r="AE990" s="133"/>
      <c r="AF990" s="32"/>
      <c r="AN990" s="152"/>
    </row>
    <row r="991" spans="7:40" ht="13">
      <c r="G991" s="133"/>
      <c r="K991" s="133"/>
      <c r="N991" s="133"/>
      <c r="O991" s="133"/>
      <c r="R991" s="133"/>
      <c r="S991" s="133"/>
      <c r="V991" s="133"/>
      <c r="W991" s="133"/>
      <c r="Z991" s="148"/>
      <c r="AA991" s="133"/>
      <c r="AD991" s="133"/>
      <c r="AE991" s="133"/>
      <c r="AF991" s="32"/>
      <c r="AN991" s="152"/>
    </row>
    <row r="992" spans="7:40" ht="13">
      <c r="G992" s="133"/>
      <c r="K992" s="133"/>
      <c r="N992" s="133"/>
      <c r="O992" s="133"/>
      <c r="R992" s="133"/>
      <c r="S992" s="133"/>
      <c r="V992" s="133"/>
      <c r="W992" s="133"/>
      <c r="Z992" s="148"/>
      <c r="AA992" s="133"/>
      <c r="AD992" s="133"/>
      <c r="AE992" s="133"/>
      <c r="AF992" s="32"/>
      <c r="AN992" s="152"/>
    </row>
    <row r="993" spans="7:40" ht="13">
      <c r="G993" s="133"/>
      <c r="K993" s="133"/>
      <c r="N993" s="133"/>
      <c r="O993" s="133"/>
      <c r="R993" s="133"/>
      <c r="S993" s="133"/>
      <c r="V993" s="133"/>
      <c r="W993" s="133"/>
      <c r="Z993" s="148"/>
      <c r="AA993" s="133"/>
      <c r="AD993" s="133"/>
      <c r="AE993" s="133"/>
      <c r="AF993" s="32"/>
      <c r="AN993" s="152"/>
    </row>
    <row r="994" spans="7:40" ht="13">
      <c r="G994" s="133"/>
      <c r="K994" s="133"/>
      <c r="N994" s="133"/>
      <c r="O994" s="133"/>
      <c r="R994" s="133"/>
      <c r="S994" s="133"/>
      <c r="V994" s="133"/>
      <c r="W994" s="133"/>
      <c r="Z994" s="148"/>
      <c r="AA994" s="133"/>
      <c r="AD994" s="133"/>
      <c r="AE994" s="133"/>
      <c r="AF994" s="32"/>
      <c r="AN994" s="152"/>
    </row>
    <row r="995" spans="7:40" ht="13">
      <c r="G995" s="133"/>
      <c r="K995" s="133"/>
      <c r="N995" s="133"/>
      <c r="O995" s="133"/>
      <c r="R995" s="133"/>
      <c r="S995" s="133"/>
      <c r="V995" s="133"/>
      <c r="W995" s="133"/>
      <c r="Z995" s="148"/>
      <c r="AA995" s="133"/>
      <c r="AD995" s="133"/>
      <c r="AE995" s="133"/>
      <c r="AF995" s="32"/>
      <c r="AN995" s="152"/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91"/>
  <sheetViews>
    <sheetView workbookViewId="0">
      <selection activeCell="G4" sqref="G4"/>
    </sheetView>
  </sheetViews>
  <sheetFormatPr baseColWidth="10" defaultColWidth="14.5" defaultRowHeight="15.75" customHeight="1"/>
  <sheetData>
    <row r="1" spans="1:11" ht="15.75" customHeight="1">
      <c r="I1" s="196"/>
      <c r="J1" s="196"/>
      <c r="K1" s="303"/>
    </row>
    <row r="2" spans="1:11" ht="15.75" customHeight="1">
      <c r="E2" s="13" t="s">
        <v>726</v>
      </c>
      <c r="F2" s="2" t="s">
        <v>727</v>
      </c>
      <c r="G2" s="2" t="s">
        <v>728</v>
      </c>
      <c r="H2" s="378" t="s">
        <v>763</v>
      </c>
      <c r="I2" s="196"/>
      <c r="J2" s="196"/>
      <c r="K2" s="303"/>
    </row>
    <row r="3" spans="1:11" ht="15">
      <c r="A3" s="164" t="s">
        <v>435</v>
      </c>
      <c r="B3" s="165" t="s">
        <v>67</v>
      </c>
      <c r="C3" s="171"/>
      <c r="D3" s="171">
        <v>8</v>
      </c>
      <c r="E3" s="305">
        <v>9.0043666666666677</v>
      </c>
      <c r="F3" s="2">
        <v>10.9</v>
      </c>
      <c r="I3" s="196"/>
      <c r="J3" s="196"/>
      <c r="K3" s="303"/>
    </row>
    <row r="4" spans="1:11" ht="15">
      <c r="A4" s="164" t="s">
        <v>408</v>
      </c>
      <c r="B4" s="165" t="s">
        <v>409</v>
      </c>
      <c r="C4" s="171"/>
      <c r="D4" s="171">
        <v>7</v>
      </c>
      <c r="E4" s="305">
        <v>9.1866666666666674</v>
      </c>
      <c r="F4" s="2">
        <v>10.9</v>
      </c>
      <c r="G4">
        <f t="shared" ref="G4:G34" si="0">(E4-E$36)/E$38</f>
        <v>-0.16645275375761781</v>
      </c>
      <c r="I4" s="196"/>
      <c r="J4" s="196"/>
      <c r="K4" s="303"/>
    </row>
    <row r="5" spans="1:11" ht="15">
      <c r="A5" s="173" t="s">
        <v>436</v>
      </c>
      <c r="B5" s="174" t="s">
        <v>15</v>
      </c>
      <c r="C5" s="175"/>
      <c r="D5" s="175">
        <v>6</v>
      </c>
      <c r="E5" s="305">
        <v>8.1333333333333329</v>
      </c>
      <c r="F5" s="2">
        <v>10.9</v>
      </c>
      <c r="G5">
        <f t="shared" si="0"/>
        <v>-0.34480415231545514</v>
      </c>
      <c r="I5" s="196"/>
      <c r="J5" s="196"/>
      <c r="K5" s="303"/>
    </row>
    <row r="6" spans="1:11" ht="15">
      <c r="A6" s="164" t="s">
        <v>437</v>
      </c>
      <c r="B6" s="165" t="s">
        <v>438</v>
      </c>
      <c r="C6" s="171"/>
      <c r="D6" s="171">
        <v>10</v>
      </c>
      <c r="E6" s="305">
        <v>4.0666666666666664</v>
      </c>
      <c r="F6" s="2">
        <v>13.2</v>
      </c>
      <c r="G6">
        <f t="shared" si="0"/>
        <v>-1.0333760075071048</v>
      </c>
      <c r="I6" s="196"/>
      <c r="J6" s="196"/>
      <c r="K6" s="303"/>
    </row>
    <row r="7" spans="1:11" ht="15">
      <c r="A7" s="178" t="s">
        <v>439</v>
      </c>
      <c r="B7" s="179" t="s">
        <v>207</v>
      </c>
      <c r="C7" s="180"/>
      <c r="D7" s="180">
        <v>8</v>
      </c>
      <c r="E7" s="305">
        <v>4.0666666666666664</v>
      </c>
      <c r="F7" s="2">
        <v>10.9</v>
      </c>
      <c r="G7">
        <f t="shared" si="0"/>
        <v>-1.0333760075071048</v>
      </c>
      <c r="I7" s="196"/>
      <c r="J7" s="196"/>
      <c r="K7" s="303"/>
    </row>
    <row r="8" spans="1:11" ht="15">
      <c r="A8" s="178" t="s">
        <v>440</v>
      </c>
      <c r="B8" s="179" t="s">
        <v>257</v>
      </c>
      <c r="C8" s="182"/>
      <c r="D8" s="182">
        <v>6</v>
      </c>
      <c r="E8" s="305">
        <v>4.0666666666666664</v>
      </c>
      <c r="F8" s="2">
        <v>10.9</v>
      </c>
      <c r="G8">
        <f t="shared" si="0"/>
        <v>-1.0333760075071048</v>
      </c>
      <c r="I8" s="196"/>
      <c r="J8" s="196"/>
      <c r="K8" s="303"/>
    </row>
    <row r="9" spans="1:11" ht="15">
      <c r="A9" s="164" t="s">
        <v>441</v>
      </c>
      <c r="B9" s="165" t="s">
        <v>36</v>
      </c>
      <c r="C9" s="171"/>
      <c r="D9" s="171">
        <v>9</v>
      </c>
      <c r="E9" s="305">
        <v>6.9778833333333337</v>
      </c>
      <c r="F9" s="2">
        <v>13.2</v>
      </c>
      <c r="G9">
        <f t="shared" si="0"/>
        <v>-0.54044604167968247</v>
      </c>
    </row>
    <row r="10" spans="1:11" ht="15">
      <c r="A10" s="185" t="s">
        <v>442</v>
      </c>
      <c r="B10" s="186" t="s">
        <v>443</v>
      </c>
      <c r="C10" s="187"/>
      <c r="D10" s="187">
        <v>8</v>
      </c>
      <c r="E10" s="305">
        <v>9.1450000000000014</v>
      </c>
      <c r="F10" s="2">
        <v>10.9</v>
      </c>
      <c r="G10">
        <f t="shared" si="0"/>
        <v>-0.17350779325753216</v>
      </c>
    </row>
    <row r="11" spans="1:11" ht="15">
      <c r="A11" s="168" t="s">
        <v>444</v>
      </c>
      <c r="B11" s="168" t="s">
        <v>59</v>
      </c>
      <c r="C11" s="188"/>
      <c r="D11" s="188">
        <v>8</v>
      </c>
      <c r="E11" s="313">
        <v>10.33</v>
      </c>
      <c r="F11" s="2">
        <v>10.9</v>
      </c>
      <c r="G11">
        <f t="shared" si="0"/>
        <v>2.7137530120034403E-2</v>
      </c>
    </row>
    <row r="12" spans="1:11" ht="15">
      <c r="A12" s="189" t="s">
        <v>445</v>
      </c>
      <c r="B12" s="189" t="s">
        <v>234</v>
      </c>
      <c r="C12" s="190"/>
      <c r="D12" s="190">
        <v>9</v>
      </c>
      <c r="E12" s="313">
        <v>5.7330166666666669</v>
      </c>
      <c r="F12" s="2">
        <v>13.2</v>
      </c>
      <c r="G12">
        <f t="shared" si="0"/>
        <v>-0.75122804581072633</v>
      </c>
    </row>
    <row r="13" spans="1:11" ht="15">
      <c r="A13" s="189" t="s">
        <v>446</v>
      </c>
      <c r="B13" s="189" t="s">
        <v>248</v>
      </c>
      <c r="C13" s="190"/>
      <c r="D13" s="190">
        <v>7</v>
      </c>
      <c r="E13" s="313">
        <v>5.7330166666666669</v>
      </c>
      <c r="F13" s="2">
        <v>10.9</v>
      </c>
      <c r="G13">
        <f t="shared" si="0"/>
        <v>-0.75122804581072633</v>
      </c>
    </row>
    <row r="14" spans="1:11" ht="15">
      <c r="A14" s="192" t="s">
        <v>447</v>
      </c>
      <c r="B14" s="189" t="s">
        <v>148</v>
      </c>
      <c r="C14" s="190"/>
      <c r="D14" s="190">
        <v>7</v>
      </c>
      <c r="E14" s="313">
        <v>5.7330166666666669</v>
      </c>
      <c r="F14" s="2">
        <v>10.9</v>
      </c>
      <c r="G14">
        <f t="shared" si="0"/>
        <v>-0.75122804581072633</v>
      </c>
    </row>
    <row r="15" spans="1:11" ht="15">
      <c r="A15" s="168" t="s">
        <v>448</v>
      </c>
      <c r="B15" s="168" t="s">
        <v>46</v>
      </c>
      <c r="C15" s="188"/>
      <c r="D15" s="188">
        <v>10</v>
      </c>
      <c r="E15" s="305">
        <v>17.596666666666671</v>
      </c>
      <c r="F15" s="2">
        <v>13.2</v>
      </c>
      <c r="G15">
        <f t="shared" si="0"/>
        <v>1.2575364189051141</v>
      </c>
    </row>
    <row r="16" spans="1:11" ht="15">
      <c r="A16" s="168" t="s">
        <v>449</v>
      </c>
      <c r="B16" s="168" t="s">
        <v>26</v>
      </c>
      <c r="C16" s="188"/>
      <c r="D16" s="188">
        <v>6</v>
      </c>
      <c r="E16" s="313">
        <v>6.0866666666666678</v>
      </c>
      <c r="F16" s="2">
        <v>10.9</v>
      </c>
      <c r="G16">
        <f t="shared" si="0"/>
        <v>-0.69134769255125239</v>
      </c>
    </row>
    <row r="17" spans="1:7" ht="15">
      <c r="A17" s="55" t="s">
        <v>450</v>
      </c>
      <c r="B17" s="55" t="s">
        <v>375</v>
      </c>
      <c r="C17" s="145"/>
      <c r="D17" s="145">
        <v>8</v>
      </c>
      <c r="E17" s="305">
        <v>7.7866833333333334</v>
      </c>
      <c r="F17" s="2">
        <v>10.9</v>
      </c>
      <c r="G17">
        <f t="shared" si="0"/>
        <v>-0.40349925893894328</v>
      </c>
    </row>
    <row r="18" spans="1:7" ht="15">
      <c r="A18" s="55" t="s">
        <v>451</v>
      </c>
      <c r="B18" s="55" t="s">
        <v>452</v>
      </c>
      <c r="C18" s="145"/>
      <c r="D18" s="145">
        <v>6</v>
      </c>
      <c r="E18" s="305">
        <v>7.7866833333333334</v>
      </c>
      <c r="F18" s="2">
        <v>10.9</v>
      </c>
      <c r="G18">
        <f t="shared" si="0"/>
        <v>-0.40349925893894328</v>
      </c>
    </row>
    <row r="19" spans="1:7" ht="15.75" customHeight="1">
      <c r="A19" s="2" t="s">
        <v>137</v>
      </c>
      <c r="B19" s="2" t="s">
        <v>138</v>
      </c>
      <c r="C19" s="2"/>
      <c r="D19" s="2">
        <v>10</v>
      </c>
      <c r="E19" s="305">
        <v>23.687666666666669</v>
      </c>
      <c r="F19" s="2">
        <v>13.2</v>
      </c>
      <c r="G19">
        <f t="shared" si="0"/>
        <v>2.2888703131606065</v>
      </c>
    </row>
    <row r="20" spans="1:7" ht="15.75" customHeight="1">
      <c r="A20" s="2" t="s">
        <v>454</v>
      </c>
      <c r="B20" s="2" t="s">
        <v>177</v>
      </c>
      <c r="C20" s="2"/>
      <c r="D20" s="2">
        <v>6</v>
      </c>
      <c r="E20" s="305">
        <v>23.687666666666669</v>
      </c>
      <c r="F20" s="2">
        <v>10.9</v>
      </c>
      <c r="G20">
        <f t="shared" si="0"/>
        <v>2.2888703131606065</v>
      </c>
    </row>
    <row r="21" spans="1:7" ht="15">
      <c r="A21" s="164" t="s">
        <v>455</v>
      </c>
      <c r="B21" s="165" t="s">
        <v>348</v>
      </c>
      <c r="C21" s="2"/>
      <c r="D21" s="2">
        <v>10</v>
      </c>
      <c r="E21" s="305">
        <v>8.7833333333333332</v>
      </c>
      <c r="F21" s="2">
        <v>13.2</v>
      </c>
      <c r="G21">
        <f t="shared" si="0"/>
        <v>-0.23474553611678978</v>
      </c>
    </row>
    <row r="22" spans="1:7" ht="15">
      <c r="A22" s="178" t="s">
        <v>456</v>
      </c>
      <c r="B22" s="179" t="s">
        <v>362</v>
      </c>
      <c r="C22" s="2"/>
      <c r="D22" s="2">
        <v>9</v>
      </c>
      <c r="E22" s="305">
        <v>8.7833333333333332</v>
      </c>
      <c r="F22" s="2">
        <v>13.2</v>
      </c>
      <c r="G22">
        <f t="shared" si="0"/>
        <v>-0.23474553611678978</v>
      </c>
    </row>
    <row r="23" spans="1:7" ht="15">
      <c r="A23" s="164" t="s">
        <v>457</v>
      </c>
      <c r="B23" s="165" t="s">
        <v>458</v>
      </c>
      <c r="C23" s="197"/>
      <c r="D23" s="197">
        <v>6</v>
      </c>
      <c r="E23" s="305">
        <v>14.676</v>
      </c>
      <c r="F23" s="2">
        <v>10.9</v>
      </c>
      <c r="G23">
        <f t="shared" si="0"/>
        <v>0.76300637011911054</v>
      </c>
    </row>
    <row r="24" spans="1:7" ht="15">
      <c r="A24" s="198" t="s">
        <v>459</v>
      </c>
      <c r="B24" s="199" t="s">
        <v>268</v>
      </c>
      <c r="C24" s="200"/>
      <c r="D24" s="200">
        <v>9</v>
      </c>
      <c r="E24" s="305">
        <v>7.1233333333333331</v>
      </c>
      <c r="F24" s="2">
        <v>13.2</v>
      </c>
      <c r="G24">
        <f t="shared" si="0"/>
        <v>-0.51581830979338128</v>
      </c>
    </row>
    <row r="25" spans="1:7" ht="15">
      <c r="A25" s="173" t="s">
        <v>460</v>
      </c>
      <c r="B25" s="174" t="s">
        <v>75</v>
      </c>
      <c r="C25" s="201"/>
      <c r="D25" s="201">
        <v>8</v>
      </c>
      <c r="E25" s="305">
        <v>7.1233333333333331</v>
      </c>
      <c r="F25" s="2">
        <v>10.9</v>
      </c>
      <c r="G25">
        <f t="shared" si="0"/>
        <v>-0.51581830979338128</v>
      </c>
    </row>
    <row r="26" spans="1:7" ht="15">
      <c r="A26" s="178" t="s">
        <v>461</v>
      </c>
      <c r="B26" s="179" t="s">
        <v>278</v>
      </c>
      <c r="C26" s="180"/>
      <c r="D26" s="180">
        <v>7</v>
      </c>
      <c r="E26" s="305">
        <v>7.1233333333333331</v>
      </c>
      <c r="F26" s="2">
        <v>10.9</v>
      </c>
      <c r="G26">
        <f t="shared" si="0"/>
        <v>-0.51581830979338128</v>
      </c>
    </row>
    <row r="27" spans="1:7" ht="15">
      <c r="A27" s="202" t="s">
        <v>462</v>
      </c>
      <c r="B27" s="203" t="s">
        <v>330</v>
      </c>
      <c r="C27" s="204"/>
      <c r="D27" s="204">
        <v>11</v>
      </c>
      <c r="E27" s="305">
        <v>21.386666666666667</v>
      </c>
      <c r="F27" s="2">
        <v>13.2</v>
      </c>
      <c r="G27">
        <f t="shared" si="0"/>
        <v>1.8992628118173311</v>
      </c>
    </row>
    <row r="28" spans="1:7" ht="15">
      <c r="A28" s="178" t="s">
        <v>463</v>
      </c>
      <c r="B28" s="179" t="s">
        <v>339</v>
      </c>
      <c r="C28" s="182"/>
      <c r="D28" s="182">
        <v>9</v>
      </c>
      <c r="E28" s="305">
        <v>21.386666666666667</v>
      </c>
      <c r="F28" s="2">
        <v>13.2</v>
      </c>
      <c r="G28">
        <f t="shared" si="0"/>
        <v>1.8992628118173311</v>
      </c>
    </row>
    <row r="29" spans="1:7" ht="15">
      <c r="A29" s="178" t="s">
        <v>464</v>
      </c>
      <c r="B29" s="179" t="s">
        <v>104</v>
      </c>
      <c r="C29" s="182"/>
      <c r="D29" s="182">
        <v>7</v>
      </c>
      <c r="E29" s="305">
        <v>21.386666666666667</v>
      </c>
      <c r="F29" s="2">
        <v>10.9</v>
      </c>
      <c r="G29">
        <f t="shared" si="0"/>
        <v>1.8992628118173311</v>
      </c>
    </row>
    <row r="30" spans="1:7" ht="15">
      <c r="A30" s="198" t="s">
        <v>465</v>
      </c>
      <c r="B30" s="199" t="s">
        <v>96</v>
      </c>
      <c r="C30" s="205"/>
      <c r="D30" s="205">
        <v>10</v>
      </c>
      <c r="E30" s="305">
        <v>5.6583333333333332</v>
      </c>
      <c r="F30" s="2">
        <v>13.2</v>
      </c>
      <c r="G30">
        <f t="shared" si="0"/>
        <v>-0.76387349861037301</v>
      </c>
    </row>
    <row r="31" spans="1:7" ht="15">
      <c r="A31" s="173" t="s">
        <v>466</v>
      </c>
      <c r="B31" s="174" t="s">
        <v>317</v>
      </c>
      <c r="C31" s="175"/>
      <c r="D31" s="175">
        <v>8</v>
      </c>
      <c r="E31" s="305">
        <v>5.6583333333333332</v>
      </c>
      <c r="F31" s="2">
        <v>10.9</v>
      </c>
      <c r="G31">
        <f t="shared" si="0"/>
        <v>-0.76387349861037301</v>
      </c>
    </row>
    <row r="32" spans="1:7" ht="15">
      <c r="A32" s="198" t="s">
        <v>467</v>
      </c>
      <c r="B32" s="199" t="s">
        <v>116</v>
      </c>
      <c r="C32" s="206"/>
      <c r="D32" s="206">
        <v>10</v>
      </c>
      <c r="E32" s="305">
        <v>10.860000000000001</v>
      </c>
      <c r="F32" s="2">
        <v>13.2</v>
      </c>
      <c r="G32">
        <f t="shared" si="0"/>
        <v>0.11687763255894631</v>
      </c>
    </row>
    <row r="33" spans="1:7" ht="15">
      <c r="A33" s="2" t="s">
        <v>289</v>
      </c>
      <c r="B33" s="55" t="s">
        <v>290</v>
      </c>
      <c r="C33" s="2"/>
      <c r="D33" s="2">
        <v>10</v>
      </c>
      <c r="E33" s="14">
        <v>7.5500000000000007</v>
      </c>
      <c r="F33" s="2">
        <v>13.2</v>
      </c>
      <c r="G33">
        <f t="shared" si="0"/>
        <v>-0.44357470531425713</v>
      </c>
    </row>
    <row r="34" spans="1:7" ht="15">
      <c r="A34" s="2" t="s">
        <v>302</v>
      </c>
      <c r="B34" s="55" t="s">
        <v>303</v>
      </c>
      <c r="C34" s="2"/>
      <c r="D34" s="2">
        <v>8</v>
      </c>
      <c r="E34" s="316">
        <v>8.9633333333333329</v>
      </c>
      <c r="F34" s="2">
        <v>10.9</v>
      </c>
      <c r="G34">
        <f t="shared" si="0"/>
        <v>-0.20426776547715941</v>
      </c>
    </row>
    <row r="35" spans="1:7" ht="15.75" customHeight="1">
      <c r="A35" s="2" t="s">
        <v>736</v>
      </c>
      <c r="B35" s="2" t="s">
        <v>190</v>
      </c>
      <c r="C35" s="2"/>
      <c r="D35" s="2">
        <v>6</v>
      </c>
      <c r="E35" s="313">
        <v>10.33</v>
      </c>
      <c r="F35" s="2">
        <v>10.9</v>
      </c>
    </row>
    <row r="36" spans="1:7" ht="15">
      <c r="C36" s="2"/>
      <c r="D36" s="2" t="s">
        <v>507</v>
      </c>
      <c r="E36" s="207">
        <f t="shared" ref="E36:F36" si="1">AVERAGE(E3:E35)</f>
        <v>10.169727272727274</v>
      </c>
      <c r="F36" s="207">
        <f t="shared" si="1"/>
        <v>11.806060606060599</v>
      </c>
    </row>
    <row r="37" spans="1:7" ht="15">
      <c r="C37" s="2"/>
      <c r="D37" s="2" t="s">
        <v>546</v>
      </c>
      <c r="E37" s="208">
        <f t="shared" ref="E37:F37" si="2">VAR(E3:E35)</f>
        <v>34.880171956784977</v>
      </c>
      <c r="F37" s="208">
        <f t="shared" si="2"/>
        <v>1.3024621212121199</v>
      </c>
    </row>
    <row r="38" spans="1:7" ht="13">
      <c r="D38" s="2" t="s">
        <v>547</v>
      </c>
      <c r="E38">
        <f t="shared" ref="E38:F38" si="3">SQRT(E37)</f>
        <v>5.9059437820542264</v>
      </c>
      <c r="F38">
        <f t="shared" si="3"/>
        <v>1.1412546259324077</v>
      </c>
    </row>
    <row r="39" spans="1:7" ht="15">
      <c r="A39" s="145"/>
      <c r="B39" s="145"/>
    </row>
    <row r="42" spans="1:7" ht="15">
      <c r="A42" s="212" t="s">
        <v>199</v>
      </c>
      <c r="B42" s="212" t="s">
        <v>200</v>
      </c>
      <c r="C42" s="2"/>
      <c r="D42" s="2">
        <v>11</v>
      </c>
    </row>
    <row r="43" spans="1:7" ht="15">
      <c r="A43" s="55" t="s">
        <v>523</v>
      </c>
      <c r="B43" s="55" t="s">
        <v>524</v>
      </c>
      <c r="C43" s="2"/>
      <c r="D43" s="2">
        <v>6</v>
      </c>
    </row>
    <row r="57" spans="1:5" ht="15.75" customHeight="1">
      <c r="A57" s="319"/>
      <c r="B57" s="319"/>
      <c r="C57" s="319"/>
      <c r="D57" s="319"/>
      <c r="E57" s="319"/>
    </row>
    <row r="58" spans="1:5" ht="15.75" customHeight="1">
      <c r="A58" s="319"/>
      <c r="B58" s="319"/>
      <c r="C58" s="319"/>
      <c r="D58" s="319"/>
      <c r="E58" s="319"/>
    </row>
    <row r="59" spans="1:5" ht="13">
      <c r="A59" s="319"/>
      <c r="B59" s="319"/>
      <c r="C59" s="319"/>
      <c r="D59" s="319"/>
      <c r="E59" s="319"/>
    </row>
    <row r="60" spans="1:5" ht="13">
      <c r="A60" s="319"/>
      <c r="B60" s="319"/>
      <c r="C60" s="319"/>
      <c r="D60" s="319"/>
      <c r="E60" s="319"/>
    </row>
    <row r="61" spans="1:5" ht="13">
      <c r="A61" s="319"/>
      <c r="B61" s="319"/>
      <c r="C61" s="319"/>
      <c r="D61" s="319"/>
      <c r="E61" s="319"/>
    </row>
    <row r="62" spans="1:5" ht="13">
      <c r="A62" s="319"/>
      <c r="B62" s="319"/>
      <c r="C62" s="319"/>
      <c r="D62" s="319"/>
      <c r="E62" s="319"/>
    </row>
    <row r="63" spans="1:5" ht="13">
      <c r="A63" s="319"/>
      <c r="B63" s="319"/>
      <c r="C63" s="319"/>
      <c r="D63" s="319"/>
      <c r="E63" s="319"/>
    </row>
    <row r="64" spans="1:5" ht="13">
      <c r="A64" s="319"/>
      <c r="B64" s="319"/>
      <c r="C64" s="319"/>
      <c r="D64" s="319"/>
      <c r="E64" s="319"/>
    </row>
    <row r="65" spans="1:5" ht="13">
      <c r="A65" s="319"/>
      <c r="B65" s="319"/>
      <c r="C65" s="319"/>
      <c r="D65" s="319"/>
      <c r="E65" s="319"/>
    </row>
    <row r="66" spans="1:5" ht="13">
      <c r="A66" s="319"/>
      <c r="B66" s="319"/>
      <c r="C66" s="319"/>
      <c r="D66" s="319"/>
      <c r="E66" s="319"/>
    </row>
    <row r="67" spans="1:5" ht="13">
      <c r="A67" s="319"/>
      <c r="B67" s="319"/>
      <c r="C67" s="319"/>
      <c r="D67" s="319"/>
      <c r="E67" s="319"/>
    </row>
    <row r="68" spans="1:5" ht="13">
      <c r="A68" s="319"/>
      <c r="B68" s="319"/>
      <c r="C68" s="319"/>
      <c r="D68" s="319"/>
      <c r="E68" s="319"/>
    </row>
    <row r="69" spans="1:5" ht="13">
      <c r="A69" s="319"/>
      <c r="B69" s="319"/>
      <c r="C69" s="319"/>
      <c r="D69" s="319"/>
      <c r="E69" s="319"/>
    </row>
    <row r="70" spans="1:5" ht="13">
      <c r="A70" s="319"/>
      <c r="B70" s="319"/>
      <c r="C70" s="319"/>
      <c r="D70" s="319"/>
      <c r="E70" s="319"/>
    </row>
    <row r="71" spans="1:5" ht="13">
      <c r="A71" s="319"/>
      <c r="B71" s="319"/>
      <c r="C71" s="319"/>
      <c r="D71" s="319"/>
      <c r="E71" s="319"/>
    </row>
    <row r="72" spans="1:5" ht="13">
      <c r="A72" s="319"/>
      <c r="B72" s="319"/>
      <c r="C72" s="319"/>
      <c r="D72" s="319"/>
      <c r="E72" s="319"/>
    </row>
    <row r="73" spans="1:5" ht="13">
      <c r="A73" s="319"/>
      <c r="B73" s="319"/>
      <c r="C73" s="319"/>
      <c r="D73" s="319"/>
      <c r="E73" s="319"/>
    </row>
    <row r="74" spans="1:5" ht="13">
      <c r="A74" s="319"/>
      <c r="B74" s="319"/>
      <c r="C74" s="319"/>
      <c r="D74" s="319"/>
      <c r="E74" s="319"/>
    </row>
    <row r="75" spans="1:5" ht="13">
      <c r="A75" s="319"/>
      <c r="B75" s="319"/>
      <c r="C75" s="319"/>
      <c r="D75" s="319"/>
      <c r="E75" s="319"/>
    </row>
    <row r="76" spans="1:5" ht="13">
      <c r="A76" s="319"/>
      <c r="B76" s="319"/>
      <c r="C76" s="319"/>
      <c r="D76" s="319"/>
      <c r="E76" s="319"/>
    </row>
    <row r="77" spans="1:5" ht="13">
      <c r="A77" s="319"/>
      <c r="B77" s="319"/>
      <c r="C77" s="319"/>
      <c r="D77" s="319"/>
      <c r="E77" s="319"/>
    </row>
    <row r="78" spans="1:5" ht="13">
      <c r="A78" s="319"/>
      <c r="B78" s="319"/>
      <c r="C78" s="319"/>
      <c r="D78" s="319"/>
      <c r="E78" s="319"/>
    </row>
    <row r="79" spans="1:5" ht="13">
      <c r="A79" s="319"/>
      <c r="B79" s="319"/>
      <c r="C79" s="319"/>
      <c r="D79" s="319"/>
      <c r="E79" s="319"/>
    </row>
    <row r="80" spans="1:5" ht="13">
      <c r="A80" s="319"/>
      <c r="B80" s="319"/>
      <c r="C80" s="319"/>
      <c r="D80" s="319"/>
      <c r="E80" s="319"/>
    </row>
    <row r="81" spans="1:5" ht="13">
      <c r="A81" s="319"/>
      <c r="B81" s="319"/>
      <c r="C81" s="319"/>
      <c r="D81" s="319"/>
      <c r="E81" s="319"/>
    </row>
    <row r="82" spans="1:5" ht="13">
      <c r="A82" s="319"/>
      <c r="B82" s="319"/>
      <c r="C82" s="319"/>
      <c r="D82" s="319"/>
      <c r="E82" s="319"/>
    </row>
    <row r="83" spans="1:5" ht="13">
      <c r="A83" s="319"/>
      <c r="B83" s="319"/>
      <c r="C83" s="319"/>
      <c r="D83" s="319"/>
      <c r="E83" s="319"/>
    </row>
    <row r="84" spans="1:5" ht="13">
      <c r="A84" s="319"/>
      <c r="B84" s="319"/>
      <c r="C84" s="319"/>
      <c r="D84" s="319"/>
      <c r="E84" s="319"/>
    </row>
    <row r="85" spans="1:5" ht="13">
      <c r="A85" s="319"/>
      <c r="B85" s="319"/>
      <c r="C85" s="319"/>
      <c r="D85" s="319"/>
      <c r="E85" s="319"/>
    </row>
    <row r="86" spans="1:5" ht="13">
      <c r="A86" s="319"/>
      <c r="B86" s="319"/>
      <c r="C86" s="319"/>
      <c r="D86" s="319"/>
      <c r="E86" s="319"/>
    </row>
    <row r="87" spans="1:5" ht="13">
      <c r="A87" s="319"/>
      <c r="B87" s="319"/>
      <c r="C87" s="319"/>
      <c r="D87" s="319"/>
      <c r="E87" s="319"/>
    </row>
    <row r="88" spans="1:5" ht="13">
      <c r="A88" s="319"/>
      <c r="B88" s="319"/>
      <c r="C88" s="319"/>
      <c r="D88" s="319"/>
      <c r="E88" s="319"/>
    </row>
    <row r="89" spans="1:5" ht="13">
      <c r="A89" s="319"/>
      <c r="B89" s="319"/>
      <c r="C89" s="319"/>
      <c r="D89" s="319"/>
      <c r="E89" s="319"/>
    </row>
    <row r="90" spans="1:5" ht="13">
      <c r="A90" s="319"/>
      <c r="B90" s="319"/>
      <c r="C90" s="319"/>
      <c r="D90" s="319"/>
      <c r="E90" s="319"/>
    </row>
    <row r="91" spans="1:5" ht="15.75" customHeight="1">
      <c r="A91" s="319"/>
      <c r="B91" s="319"/>
      <c r="C91" s="319"/>
      <c r="D91" s="319"/>
      <c r="E91" s="3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Q1001"/>
  <sheetViews>
    <sheetView workbookViewId="0">
      <selection activeCell="D25" sqref="D25:F43"/>
    </sheetView>
  </sheetViews>
  <sheetFormatPr baseColWidth="10" defaultColWidth="14.5" defaultRowHeight="15.75" customHeight="1"/>
  <cols>
    <col min="2" max="2" width="28.5" customWidth="1"/>
    <col min="3" max="3" width="20.6640625" customWidth="1"/>
  </cols>
  <sheetData>
    <row r="1" spans="1:43" ht="15">
      <c r="A1" s="61" t="s">
        <v>429</v>
      </c>
      <c r="B1" s="62"/>
      <c r="C1" s="62"/>
      <c r="D1" s="105" t="s">
        <v>473</v>
      </c>
      <c r="E1" s="60"/>
      <c r="F1" s="108"/>
      <c r="G1" s="109"/>
      <c r="H1" s="109"/>
      <c r="I1" s="105" t="s">
        <v>474</v>
      </c>
      <c r="J1" s="105"/>
      <c r="K1" s="105"/>
      <c r="L1" s="115"/>
      <c r="M1" s="105" t="s">
        <v>729</v>
      </c>
      <c r="N1" s="304" t="s">
        <v>730</v>
      </c>
      <c r="O1" s="108"/>
      <c r="P1" s="108"/>
      <c r="Q1" s="105" t="s">
        <v>731</v>
      </c>
      <c r="R1" s="60"/>
      <c r="S1" s="108"/>
      <c r="T1" s="109"/>
      <c r="U1" s="106" t="s">
        <v>475</v>
      </c>
      <c r="V1" s="60"/>
      <c r="W1" s="108"/>
      <c r="X1" s="109"/>
      <c r="Y1" s="106" t="s">
        <v>476</v>
      </c>
      <c r="Z1" s="60"/>
      <c r="AA1" s="108"/>
      <c r="AB1" s="108"/>
      <c r="AC1" s="106" t="s">
        <v>477</v>
      </c>
      <c r="AD1" s="60"/>
      <c r="AE1" s="108"/>
      <c r="AF1" s="109"/>
      <c r="AG1" s="106" t="s">
        <v>478</v>
      </c>
      <c r="AH1" s="60"/>
      <c r="AI1" s="108"/>
      <c r="AJ1" s="109"/>
      <c r="AK1" s="106" t="s">
        <v>479</v>
      </c>
      <c r="AL1" s="60"/>
      <c r="AM1" s="108"/>
      <c r="AN1" s="109"/>
      <c r="AO1" s="62"/>
      <c r="AP1" s="62"/>
    </row>
    <row r="2" spans="1:43" ht="15">
      <c r="D2" s="306" t="s">
        <v>509</v>
      </c>
      <c r="E2" s="307"/>
      <c r="G2" s="269"/>
      <c r="H2" s="308">
        <v>7.9</v>
      </c>
      <c r="I2" s="306" t="s">
        <v>510</v>
      </c>
      <c r="J2" s="306"/>
      <c r="K2" s="306"/>
      <c r="L2" s="309">
        <v>7.9</v>
      </c>
      <c r="M2" s="306" t="s">
        <v>732</v>
      </c>
      <c r="N2" s="307"/>
      <c r="O2" s="310"/>
      <c r="P2" s="308">
        <v>5.3</v>
      </c>
      <c r="Q2" s="306" t="s">
        <v>733</v>
      </c>
      <c r="R2" s="307"/>
      <c r="T2" s="308"/>
      <c r="U2" s="311" t="s">
        <v>482</v>
      </c>
      <c r="V2" s="307"/>
      <c r="X2" s="308">
        <v>4.5</v>
      </c>
      <c r="Y2" s="311" t="s">
        <v>482</v>
      </c>
      <c r="Z2" s="307"/>
      <c r="AA2" s="310"/>
      <c r="AB2" s="308">
        <v>5.5</v>
      </c>
      <c r="AC2" s="311" t="s">
        <v>483</v>
      </c>
      <c r="AD2" s="307"/>
      <c r="AE2" s="310"/>
      <c r="AF2" s="312">
        <f>13.8</f>
        <v>13.8</v>
      </c>
      <c r="AG2" s="311" t="s">
        <v>484</v>
      </c>
      <c r="AH2" s="307"/>
      <c r="AI2" s="310"/>
      <c r="AJ2" s="134">
        <v>4.4000000000000004</v>
      </c>
      <c r="AK2" s="311" t="s">
        <v>485</v>
      </c>
      <c r="AL2" s="307"/>
      <c r="AM2" s="310"/>
      <c r="AN2" s="134">
        <v>0.5</v>
      </c>
    </row>
    <row r="3" spans="1:43" ht="15.75" customHeight="1">
      <c r="A3" s="63" t="s">
        <v>430</v>
      </c>
      <c r="B3" s="63" t="s">
        <v>2</v>
      </c>
      <c r="C3" s="63" t="s">
        <v>431</v>
      </c>
      <c r="D3" s="125" t="s">
        <v>487</v>
      </c>
      <c r="E3" s="126" t="s">
        <v>488</v>
      </c>
      <c r="F3" s="127" t="s">
        <v>489</v>
      </c>
      <c r="G3" s="127"/>
      <c r="H3" s="127" t="s">
        <v>511</v>
      </c>
      <c r="I3" s="125" t="s">
        <v>487</v>
      </c>
      <c r="J3" s="126" t="s">
        <v>488</v>
      </c>
      <c r="K3" s="127" t="s">
        <v>489</v>
      </c>
      <c r="L3" s="127" t="s">
        <v>511</v>
      </c>
      <c r="M3" s="125" t="s">
        <v>487</v>
      </c>
      <c r="N3" s="126" t="s">
        <v>488</v>
      </c>
      <c r="O3" s="127" t="s">
        <v>489</v>
      </c>
      <c r="P3" s="128" t="s">
        <v>511</v>
      </c>
      <c r="Q3" s="125" t="s">
        <v>487</v>
      </c>
      <c r="R3" s="126" t="s">
        <v>488</v>
      </c>
      <c r="S3" s="127" t="s">
        <v>489</v>
      </c>
      <c r="T3" s="127">
        <v>4.3</v>
      </c>
      <c r="U3" s="125" t="s">
        <v>487</v>
      </c>
      <c r="V3" s="126" t="s">
        <v>488</v>
      </c>
      <c r="W3" s="127" t="s">
        <v>489</v>
      </c>
      <c r="X3" s="127" t="s">
        <v>511</v>
      </c>
      <c r="Y3" s="125" t="s">
        <v>487</v>
      </c>
      <c r="Z3" s="126" t="s">
        <v>488</v>
      </c>
      <c r="AA3" s="127" t="s">
        <v>489</v>
      </c>
      <c r="AB3" s="128" t="s">
        <v>490</v>
      </c>
      <c r="AC3" s="125" t="s">
        <v>487</v>
      </c>
      <c r="AD3" s="126" t="s">
        <v>488</v>
      </c>
      <c r="AE3" s="127" t="s">
        <v>489</v>
      </c>
      <c r="AF3" s="128" t="s">
        <v>734</v>
      </c>
      <c r="AG3" s="125" t="s">
        <v>487</v>
      </c>
      <c r="AH3" s="126" t="s">
        <v>488</v>
      </c>
      <c r="AI3" s="127" t="s">
        <v>491</v>
      </c>
      <c r="AJ3" s="128" t="s">
        <v>490</v>
      </c>
      <c r="AK3" s="125" t="s">
        <v>487</v>
      </c>
      <c r="AL3" s="126" t="s">
        <v>488</v>
      </c>
      <c r="AM3" s="127" t="s">
        <v>489</v>
      </c>
      <c r="AN3" s="128" t="s">
        <v>490</v>
      </c>
      <c r="AO3" s="61" t="s">
        <v>735</v>
      </c>
      <c r="AP3" s="314" t="s">
        <v>432</v>
      </c>
      <c r="AQ3" s="315"/>
    </row>
    <row r="4" spans="1:43" ht="15">
      <c r="A4" s="64" t="s">
        <v>433</v>
      </c>
      <c r="B4" s="65" t="s">
        <v>434</v>
      </c>
      <c r="C4" s="66">
        <v>7</v>
      </c>
      <c r="D4" s="2">
        <v>1</v>
      </c>
      <c r="E4" s="2">
        <v>1</v>
      </c>
      <c r="F4" s="2">
        <v>4</v>
      </c>
      <c r="G4" s="133">
        <f>H4/30</f>
        <v>1.0533333333333335</v>
      </c>
      <c r="H4" s="133">
        <f t="shared" ref="H4:H20" si="0">$H$2*F4</f>
        <v>31.6</v>
      </c>
      <c r="I4" s="2">
        <v>1</v>
      </c>
      <c r="J4" s="2">
        <v>1</v>
      </c>
      <c r="K4" s="2">
        <v>4</v>
      </c>
      <c r="L4" s="133">
        <f t="shared" ref="L4:L20" si="1">$L$2*K4</f>
        <v>31.6</v>
      </c>
      <c r="M4" s="2" t="s">
        <v>495</v>
      </c>
      <c r="O4" s="2">
        <v>8.3000000000000004E-2</v>
      </c>
      <c r="P4" s="133">
        <f t="shared" ref="P4:P20" si="2">(P$2*O4)</f>
        <v>0.43990000000000001</v>
      </c>
      <c r="Q4" s="2">
        <v>0</v>
      </c>
      <c r="R4" s="2">
        <v>0</v>
      </c>
      <c r="S4" s="2">
        <v>0</v>
      </c>
      <c r="T4" s="133">
        <f t="shared" ref="T4:T20" si="3">(T$3*S4)</f>
        <v>0</v>
      </c>
      <c r="U4" s="2">
        <v>3</v>
      </c>
      <c r="V4" s="2">
        <v>1</v>
      </c>
      <c r="W4" s="134">
        <f>((U4*V4)*4)</f>
        <v>12</v>
      </c>
      <c r="X4" s="133">
        <f>W4*X2</f>
        <v>54</v>
      </c>
      <c r="Y4" s="2">
        <v>0</v>
      </c>
      <c r="AA4" s="134">
        <f>((Y4*Z4)*4)</f>
        <v>0</v>
      </c>
      <c r="AB4" s="134">
        <f t="shared" ref="AB4:AB20" si="4">(AB$2*AA4)</f>
        <v>0</v>
      </c>
      <c r="AC4" s="2">
        <v>2</v>
      </c>
      <c r="AD4" s="2">
        <v>1</v>
      </c>
      <c r="AE4" s="134">
        <f>((AC4*AD4)*4)</f>
        <v>8</v>
      </c>
      <c r="AF4" s="133">
        <f t="shared" ref="AF4:AF20" si="5">(AF$2*AE4)</f>
        <v>110.4</v>
      </c>
      <c r="AG4" s="2">
        <v>3</v>
      </c>
      <c r="AH4" s="2">
        <v>3</v>
      </c>
      <c r="AI4" s="135">
        <f t="shared" ref="AI4:AI14" si="6">(AG4*AH4)*4</f>
        <v>36</v>
      </c>
      <c r="AJ4" s="133">
        <f t="shared" ref="AJ4:AJ20" si="7">(AJ$2*AI4)</f>
        <v>158.4</v>
      </c>
      <c r="AM4" s="134">
        <f>(AK4*AL4)*4</f>
        <v>0</v>
      </c>
      <c r="AN4" s="133">
        <f t="shared" ref="AN4:AN20" si="8">(AN$2*AM4)</f>
        <v>0</v>
      </c>
      <c r="AO4">
        <f t="shared" ref="AO4:AO20" si="9">AP4/30</f>
        <v>11.081330000000003</v>
      </c>
      <c r="AP4" s="58">
        <f t="shared" ref="AP4:AP20" si="10">(AN4+AJ4+AF4+AB4+T4+P4+L4+H4)</f>
        <v>332.43990000000008</v>
      </c>
      <c r="AQ4" s="58"/>
    </row>
    <row r="5" spans="1:43" ht="15">
      <c r="A5" s="67" t="s">
        <v>435</v>
      </c>
      <c r="B5" s="68" t="s">
        <v>67</v>
      </c>
      <c r="C5" s="69">
        <v>8</v>
      </c>
      <c r="D5" s="2">
        <v>3</v>
      </c>
      <c r="E5" s="2">
        <v>1</v>
      </c>
      <c r="F5" s="2">
        <v>12</v>
      </c>
      <c r="G5" s="133"/>
      <c r="H5" s="133">
        <f t="shared" si="0"/>
        <v>94.800000000000011</v>
      </c>
      <c r="I5" s="2">
        <v>1</v>
      </c>
      <c r="J5" s="2">
        <v>1</v>
      </c>
      <c r="K5" s="2">
        <v>4</v>
      </c>
      <c r="L5" s="133">
        <f t="shared" si="1"/>
        <v>31.6</v>
      </c>
      <c r="M5" s="2" t="s">
        <v>737</v>
      </c>
      <c r="N5" s="2">
        <v>1</v>
      </c>
      <c r="O5" s="2">
        <v>0.16</v>
      </c>
      <c r="P5" s="133">
        <f t="shared" si="2"/>
        <v>0.84799999999999998</v>
      </c>
      <c r="Q5" s="2">
        <v>5</v>
      </c>
      <c r="R5" s="2">
        <v>1</v>
      </c>
      <c r="S5" s="2">
        <v>20</v>
      </c>
      <c r="T5" s="133">
        <f t="shared" si="3"/>
        <v>86</v>
      </c>
      <c r="U5" s="2" t="s">
        <v>492</v>
      </c>
      <c r="V5" s="2">
        <v>1</v>
      </c>
      <c r="W5" s="134">
        <v>0.16</v>
      </c>
      <c r="X5" s="133">
        <f>X2*W5</f>
        <v>0.72</v>
      </c>
      <c r="Y5" s="2" t="s">
        <v>493</v>
      </c>
      <c r="AA5" s="134">
        <v>0.25</v>
      </c>
      <c r="AB5" s="134">
        <f t="shared" si="4"/>
        <v>1.375</v>
      </c>
      <c r="AC5" s="2" t="s">
        <v>492</v>
      </c>
      <c r="AE5" s="134">
        <v>0.16</v>
      </c>
      <c r="AF5" s="133">
        <f t="shared" si="5"/>
        <v>2.2080000000000002</v>
      </c>
      <c r="AG5" s="2">
        <v>3</v>
      </c>
      <c r="AH5" s="2">
        <v>1</v>
      </c>
      <c r="AI5" s="135">
        <f t="shared" si="6"/>
        <v>12</v>
      </c>
      <c r="AJ5" s="133">
        <f t="shared" si="7"/>
        <v>52.800000000000004</v>
      </c>
      <c r="AK5" s="2"/>
      <c r="AL5" s="2"/>
      <c r="AM5" s="134">
        <v>1</v>
      </c>
      <c r="AN5" s="133">
        <f t="shared" si="8"/>
        <v>0.5</v>
      </c>
      <c r="AO5">
        <f t="shared" si="9"/>
        <v>9.0043666666666677</v>
      </c>
      <c r="AP5" s="58">
        <f t="shared" si="10"/>
        <v>270.13100000000003</v>
      </c>
      <c r="AQ5" s="58"/>
    </row>
    <row r="6" spans="1:43" ht="15">
      <c r="A6" s="94" t="s">
        <v>470</v>
      </c>
      <c r="B6" s="95" t="s">
        <v>471</v>
      </c>
      <c r="C6" s="96">
        <v>5</v>
      </c>
      <c r="D6" s="2">
        <v>3</v>
      </c>
      <c r="E6" s="2">
        <v>1</v>
      </c>
      <c r="F6" s="2">
        <v>12</v>
      </c>
      <c r="G6" s="133"/>
      <c r="H6" s="133">
        <f t="shared" si="0"/>
        <v>94.800000000000011</v>
      </c>
      <c r="I6" s="2">
        <v>1</v>
      </c>
      <c r="J6" s="2">
        <v>1</v>
      </c>
      <c r="K6" s="2">
        <v>4</v>
      </c>
      <c r="L6" s="133">
        <f t="shared" si="1"/>
        <v>31.6</v>
      </c>
      <c r="M6" s="2" t="s">
        <v>737</v>
      </c>
      <c r="N6" s="2">
        <v>1</v>
      </c>
      <c r="O6" s="2">
        <v>0.16</v>
      </c>
      <c r="P6" s="133">
        <f t="shared" si="2"/>
        <v>0.84799999999999998</v>
      </c>
      <c r="Q6" s="2">
        <v>5</v>
      </c>
      <c r="R6" s="2">
        <v>1</v>
      </c>
      <c r="S6" s="2">
        <v>20</v>
      </c>
      <c r="T6" s="133">
        <f t="shared" si="3"/>
        <v>86</v>
      </c>
      <c r="U6" s="2" t="s">
        <v>492</v>
      </c>
      <c r="V6" s="2">
        <v>1</v>
      </c>
      <c r="W6" s="134">
        <v>0.16</v>
      </c>
      <c r="X6" s="133">
        <f t="shared" ref="X6:X20" si="11">W6*$P$2</f>
        <v>0.84799999999999998</v>
      </c>
      <c r="Y6" s="2" t="s">
        <v>494</v>
      </c>
      <c r="AA6" s="134">
        <v>0.25</v>
      </c>
      <c r="AB6" s="134">
        <f t="shared" si="4"/>
        <v>1.375</v>
      </c>
      <c r="AC6" s="2" t="s">
        <v>493</v>
      </c>
      <c r="AE6" s="134">
        <v>0.16</v>
      </c>
      <c r="AF6" s="133">
        <f t="shared" si="5"/>
        <v>2.2080000000000002</v>
      </c>
      <c r="AG6" s="2">
        <v>3</v>
      </c>
      <c r="AH6" s="2">
        <v>1</v>
      </c>
      <c r="AI6" s="135">
        <f t="shared" si="6"/>
        <v>12</v>
      </c>
      <c r="AJ6" s="133">
        <f t="shared" si="7"/>
        <v>52.800000000000004</v>
      </c>
      <c r="AK6" s="2"/>
      <c r="AL6" s="2"/>
      <c r="AM6" s="134">
        <v>1</v>
      </c>
      <c r="AN6" s="133">
        <f t="shared" si="8"/>
        <v>0.5</v>
      </c>
      <c r="AO6">
        <f t="shared" si="9"/>
        <v>9.0043666666666677</v>
      </c>
      <c r="AP6" s="58">
        <f t="shared" si="10"/>
        <v>270.13100000000003</v>
      </c>
      <c r="AQ6" s="58"/>
    </row>
    <row r="7" spans="1:43" ht="15">
      <c r="A7" s="67" t="s">
        <v>408</v>
      </c>
      <c r="B7" s="68" t="s">
        <v>409</v>
      </c>
      <c r="C7" s="69">
        <v>7</v>
      </c>
      <c r="D7" s="2">
        <v>1</v>
      </c>
      <c r="E7" s="2">
        <v>2</v>
      </c>
      <c r="F7" s="2">
        <v>8</v>
      </c>
      <c r="G7" s="133"/>
      <c r="H7" s="133">
        <f t="shared" si="0"/>
        <v>63.2</v>
      </c>
      <c r="I7" s="2">
        <v>1</v>
      </c>
      <c r="J7" s="2">
        <v>1</v>
      </c>
      <c r="K7" s="2">
        <v>4</v>
      </c>
      <c r="L7" s="133">
        <f t="shared" si="1"/>
        <v>31.6</v>
      </c>
      <c r="M7" s="2">
        <v>0</v>
      </c>
      <c r="N7" s="2">
        <v>0</v>
      </c>
      <c r="O7" s="2">
        <v>0</v>
      </c>
      <c r="P7" s="133">
        <f t="shared" si="2"/>
        <v>0</v>
      </c>
      <c r="Q7" s="2">
        <v>0</v>
      </c>
      <c r="R7" s="2">
        <v>0</v>
      </c>
      <c r="S7" s="2">
        <v>0</v>
      </c>
      <c r="T7" s="133">
        <f t="shared" si="3"/>
        <v>0</v>
      </c>
      <c r="U7" s="2">
        <v>1</v>
      </c>
      <c r="V7" s="2">
        <v>1</v>
      </c>
      <c r="W7" s="134">
        <f t="shared" ref="W7:W13" si="12">((U7*V7)*4)</f>
        <v>4</v>
      </c>
      <c r="X7" s="133">
        <f t="shared" si="11"/>
        <v>21.2</v>
      </c>
      <c r="Y7" s="2">
        <v>0</v>
      </c>
      <c r="Z7" s="2">
        <v>0</v>
      </c>
      <c r="AA7" s="134">
        <v>0</v>
      </c>
      <c r="AB7" s="134">
        <f t="shared" si="4"/>
        <v>0</v>
      </c>
      <c r="AC7" s="2">
        <v>1</v>
      </c>
      <c r="AD7" s="2">
        <v>2</v>
      </c>
      <c r="AE7" s="134">
        <f t="shared" ref="AE7:AE12" si="13">((AC7*AD7)*4)</f>
        <v>8</v>
      </c>
      <c r="AF7" s="133">
        <f t="shared" si="5"/>
        <v>110.4</v>
      </c>
      <c r="AG7" s="2">
        <v>1</v>
      </c>
      <c r="AH7" s="2">
        <v>4</v>
      </c>
      <c r="AI7" s="135">
        <f t="shared" si="6"/>
        <v>16</v>
      </c>
      <c r="AJ7" s="133">
        <f t="shared" si="7"/>
        <v>70.400000000000006</v>
      </c>
      <c r="AK7" s="2">
        <v>0</v>
      </c>
      <c r="AL7" s="2">
        <v>0</v>
      </c>
      <c r="AM7" s="134">
        <v>0</v>
      </c>
      <c r="AN7" s="133">
        <f t="shared" si="8"/>
        <v>0</v>
      </c>
      <c r="AO7">
        <f t="shared" si="9"/>
        <v>9.1866666666666674</v>
      </c>
      <c r="AP7" s="58">
        <f t="shared" si="10"/>
        <v>275.60000000000002</v>
      </c>
      <c r="AQ7" s="58"/>
    </row>
    <row r="8" spans="1:43" ht="15">
      <c r="A8" s="70" t="s">
        <v>436</v>
      </c>
      <c r="B8" s="71" t="s">
        <v>15</v>
      </c>
      <c r="C8" s="72">
        <v>6</v>
      </c>
      <c r="D8" s="2">
        <v>1</v>
      </c>
      <c r="E8" s="2">
        <v>2</v>
      </c>
      <c r="F8" s="2">
        <v>8</v>
      </c>
      <c r="G8" s="133"/>
      <c r="H8" s="133">
        <f t="shared" si="0"/>
        <v>63.2</v>
      </c>
      <c r="I8" s="2">
        <v>0</v>
      </c>
      <c r="J8" s="2">
        <v>0</v>
      </c>
      <c r="K8" s="2">
        <v>0</v>
      </c>
      <c r="L8" s="133">
        <f t="shared" si="1"/>
        <v>0</v>
      </c>
      <c r="M8" s="2">
        <v>0</v>
      </c>
      <c r="N8" s="2">
        <v>0</v>
      </c>
      <c r="O8" s="2">
        <v>0</v>
      </c>
      <c r="P8" s="133">
        <f t="shared" si="2"/>
        <v>0</v>
      </c>
      <c r="Q8" s="2">
        <v>0</v>
      </c>
      <c r="R8" s="2">
        <v>0</v>
      </c>
      <c r="S8" s="2">
        <v>0</v>
      </c>
      <c r="T8" s="133">
        <f t="shared" si="3"/>
        <v>0</v>
      </c>
      <c r="U8" s="2">
        <v>1</v>
      </c>
      <c r="V8" s="2">
        <v>1</v>
      </c>
      <c r="W8" s="134">
        <f t="shared" si="12"/>
        <v>4</v>
      </c>
      <c r="X8" s="133">
        <f t="shared" si="11"/>
        <v>21.2</v>
      </c>
      <c r="Y8" s="2">
        <v>0</v>
      </c>
      <c r="Z8" s="2">
        <v>0</v>
      </c>
      <c r="AA8" s="134">
        <v>0</v>
      </c>
      <c r="AB8" s="134">
        <f t="shared" si="4"/>
        <v>0</v>
      </c>
      <c r="AC8" s="2">
        <v>1</v>
      </c>
      <c r="AD8" s="2">
        <v>2</v>
      </c>
      <c r="AE8" s="134">
        <f t="shared" si="13"/>
        <v>8</v>
      </c>
      <c r="AF8" s="133">
        <f t="shared" si="5"/>
        <v>110.4</v>
      </c>
      <c r="AG8" s="2">
        <v>1</v>
      </c>
      <c r="AH8" s="2">
        <v>4</v>
      </c>
      <c r="AI8" s="135">
        <f t="shared" si="6"/>
        <v>16</v>
      </c>
      <c r="AJ8" s="133">
        <f t="shared" si="7"/>
        <v>70.400000000000006</v>
      </c>
      <c r="AK8" s="2">
        <v>0</v>
      </c>
      <c r="AL8" s="2">
        <v>0</v>
      </c>
      <c r="AM8" s="134">
        <v>0</v>
      </c>
      <c r="AN8" s="133">
        <f t="shared" si="8"/>
        <v>0</v>
      </c>
      <c r="AO8">
        <f t="shared" si="9"/>
        <v>8.1333333333333329</v>
      </c>
      <c r="AP8" s="58">
        <f t="shared" si="10"/>
        <v>244</v>
      </c>
      <c r="AQ8" s="58"/>
    </row>
    <row r="9" spans="1:43" ht="15">
      <c r="A9" s="67" t="s">
        <v>437</v>
      </c>
      <c r="B9" s="68" t="s">
        <v>438</v>
      </c>
      <c r="C9" s="69">
        <v>10</v>
      </c>
      <c r="D9" s="2">
        <v>1</v>
      </c>
      <c r="E9" s="2">
        <v>1</v>
      </c>
      <c r="F9" s="2">
        <v>4</v>
      </c>
      <c r="G9" s="133"/>
      <c r="H9" s="133">
        <f t="shared" si="0"/>
        <v>31.6</v>
      </c>
      <c r="I9" s="2">
        <v>0</v>
      </c>
      <c r="J9" s="2">
        <v>0</v>
      </c>
      <c r="K9" s="2">
        <v>0</v>
      </c>
      <c r="L9" s="133">
        <f t="shared" si="1"/>
        <v>0</v>
      </c>
      <c r="M9" s="2">
        <v>0</v>
      </c>
      <c r="N9" s="2">
        <v>0</v>
      </c>
      <c r="O9" s="2">
        <v>0</v>
      </c>
      <c r="P9" s="133">
        <f t="shared" si="2"/>
        <v>0</v>
      </c>
      <c r="Q9" s="2">
        <v>0</v>
      </c>
      <c r="R9" s="2">
        <v>0</v>
      </c>
      <c r="S9" s="2">
        <v>0</v>
      </c>
      <c r="T9" s="133">
        <f t="shared" si="3"/>
        <v>0</v>
      </c>
      <c r="U9" s="2">
        <v>0</v>
      </c>
      <c r="V9" s="2">
        <v>0</v>
      </c>
      <c r="W9" s="134">
        <f t="shared" si="12"/>
        <v>0</v>
      </c>
      <c r="X9" s="133">
        <f t="shared" si="11"/>
        <v>0</v>
      </c>
      <c r="Y9" s="2">
        <v>0</v>
      </c>
      <c r="Z9" s="2">
        <v>0</v>
      </c>
      <c r="AA9" s="134">
        <v>0</v>
      </c>
      <c r="AB9" s="134">
        <f t="shared" si="4"/>
        <v>0</v>
      </c>
      <c r="AC9" s="2">
        <v>1</v>
      </c>
      <c r="AD9" s="2">
        <v>1</v>
      </c>
      <c r="AE9" s="134">
        <f t="shared" si="13"/>
        <v>4</v>
      </c>
      <c r="AF9" s="133">
        <f t="shared" si="5"/>
        <v>55.2</v>
      </c>
      <c r="AG9" s="2">
        <v>2</v>
      </c>
      <c r="AH9" s="2">
        <v>1</v>
      </c>
      <c r="AI9" s="135">
        <f t="shared" si="6"/>
        <v>8</v>
      </c>
      <c r="AJ9" s="133">
        <f t="shared" si="7"/>
        <v>35.200000000000003</v>
      </c>
      <c r="AK9" s="2">
        <v>0</v>
      </c>
      <c r="AL9" s="2">
        <v>0</v>
      </c>
      <c r="AM9" s="134">
        <v>0</v>
      </c>
      <c r="AN9" s="133">
        <f t="shared" si="8"/>
        <v>0</v>
      </c>
      <c r="AO9">
        <f t="shared" si="9"/>
        <v>4.0666666666666664</v>
      </c>
      <c r="AP9" s="58">
        <f t="shared" si="10"/>
        <v>122</v>
      </c>
      <c r="AQ9" s="58"/>
    </row>
    <row r="10" spans="1:43" ht="15">
      <c r="A10" s="67" t="s">
        <v>439</v>
      </c>
      <c r="B10" s="68" t="s">
        <v>207</v>
      </c>
      <c r="C10" s="73">
        <v>8</v>
      </c>
      <c r="D10" s="2">
        <v>1</v>
      </c>
      <c r="E10" s="2">
        <v>1</v>
      </c>
      <c r="F10" s="2">
        <v>4</v>
      </c>
      <c r="G10" s="133"/>
      <c r="H10" s="133">
        <f t="shared" si="0"/>
        <v>31.6</v>
      </c>
      <c r="I10" s="2">
        <v>0</v>
      </c>
      <c r="J10" s="2">
        <v>0</v>
      </c>
      <c r="K10" s="2">
        <v>0</v>
      </c>
      <c r="L10" s="133">
        <f t="shared" si="1"/>
        <v>0</v>
      </c>
      <c r="M10" s="2">
        <v>0</v>
      </c>
      <c r="N10" s="2">
        <v>0</v>
      </c>
      <c r="O10" s="2">
        <v>0</v>
      </c>
      <c r="P10" s="133">
        <f t="shared" si="2"/>
        <v>0</v>
      </c>
      <c r="Q10" s="2">
        <v>0</v>
      </c>
      <c r="R10" s="2">
        <v>0</v>
      </c>
      <c r="S10" s="2">
        <v>0</v>
      </c>
      <c r="T10" s="133">
        <f t="shared" si="3"/>
        <v>0</v>
      </c>
      <c r="U10" s="2">
        <v>0</v>
      </c>
      <c r="V10" s="2">
        <v>0</v>
      </c>
      <c r="W10" s="134">
        <f t="shared" si="12"/>
        <v>0</v>
      </c>
      <c r="X10" s="133">
        <f t="shared" si="11"/>
        <v>0</v>
      </c>
      <c r="Y10" s="2">
        <v>0</v>
      </c>
      <c r="Z10" s="2">
        <v>0</v>
      </c>
      <c r="AA10" s="134">
        <v>0</v>
      </c>
      <c r="AB10" s="134">
        <f t="shared" si="4"/>
        <v>0</v>
      </c>
      <c r="AC10" s="2">
        <v>1</v>
      </c>
      <c r="AD10" s="2">
        <v>1</v>
      </c>
      <c r="AE10" s="134">
        <f t="shared" si="13"/>
        <v>4</v>
      </c>
      <c r="AF10" s="133">
        <f t="shared" si="5"/>
        <v>55.2</v>
      </c>
      <c r="AG10" s="2">
        <v>2</v>
      </c>
      <c r="AH10" s="2">
        <v>1</v>
      </c>
      <c r="AI10" s="135">
        <f t="shared" si="6"/>
        <v>8</v>
      </c>
      <c r="AJ10" s="133">
        <f t="shared" si="7"/>
        <v>35.200000000000003</v>
      </c>
      <c r="AK10" s="2">
        <v>0</v>
      </c>
      <c r="AL10" s="2">
        <v>0</v>
      </c>
      <c r="AM10" s="134">
        <v>0</v>
      </c>
      <c r="AN10" s="133">
        <f t="shared" si="8"/>
        <v>0</v>
      </c>
      <c r="AO10">
        <f t="shared" si="9"/>
        <v>4.0666666666666664</v>
      </c>
      <c r="AP10" s="58">
        <f t="shared" si="10"/>
        <v>122</v>
      </c>
      <c r="AQ10" s="58"/>
    </row>
    <row r="11" spans="1:43" ht="15">
      <c r="A11" s="67" t="s">
        <v>440</v>
      </c>
      <c r="B11" s="68" t="s">
        <v>257</v>
      </c>
      <c r="C11" s="69">
        <v>6</v>
      </c>
      <c r="D11" s="2">
        <v>1</v>
      </c>
      <c r="E11" s="2">
        <v>1</v>
      </c>
      <c r="F11" s="2">
        <v>4</v>
      </c>
      <c r="G11" s="133"/>
      <c r="H11" s="133">
        <f t="shared" si="0"/>
        <v>31.6</v>
      </c>
      <c r="I11" s="2">
        <v>0</v>
      </c>
      <c r="J11" s="2">
        <v>0</v>
      </c>
      <c r="K11" s="2">
        <v>0</v>
      </c>
      <c r="L11" s="133">
        <f t="shared" si="1"/>
        <v>0</v>
      </c>
      <c r="M11" s="2">
        <v>0</v>
      </c>
      <c r="N11" s="2">
        <v>0</v>
      </c>
      <c r="O11" s="2">
        <v>0</v>
      </c>
      <c r="P11" s="133">
        <f t="shared" si="2"/>
        <v>0</v>
      </c>
      <c r="Q11" s="2">
        <v>0</v>
      </c>
      <c r="R11" s="2">
        <v>0</v>
      </c>
      <c r="S11" s="2">
        <v>0</v>
      </c>
      <c r="T11" s="133">
        <f t="shared" si="3"/>
        <v>0</v>
      </c>
      <c r="U11" s="2">
        <v>0</v>
      </c>
      <c r="V11" s="2">
        <v>0</v>
      </c>
      <c r="W11" s="134">
        <f t="shared" si="12"/>
        <v>0</v>
      </c>
      <c r="X11" s="133">
        <f t="shared" si="11"/>
        <v>0</v>
      </c>
      <c r="Y11" s="2">
        <v>0</v>
      </c>
      <c r="Z11" s="2">
        <v>0</v>
      </c>
      <c r="AA11" s="134">
        <v>0</v>
      </c>
      <c r="AB11" s="134">
        <f t="shared" si="4"/>
        <v>0</v>
      </c>
      <c r="AC11" s="2">
        <v>1</v>
      </c>
      <c r="AD11" s="2">
        <v>1</v>
      </c>
      <c r="AE11" s="134">
        <f t="shared" si="13"/>
        <v>4</v>
      </c>
      <c r="AF11" s="133">
        <f t="shared" si="5"/>
        <v>55.2</v>
      </c>
      <c r="AG11" s="2">
        <v>2</v>
      </c>
      <c r="AH11" s="2">
        <v>1</v>
      </c>
      <c r="AI11" s="135">
        <f t="shared" si="6"/>
        <v>8</v>
      </c>
      <c r="AJ11" s="133">
        <f t="shared" si="7"/>
        <v>35.200000000000003</v>
      </c>
      <c r="AK11" s="2">
        <v>0</v>
      </c>
      <c r="AL11" s="2">
        <v>0</v>
      </c>
      <c r="AM11" s="134">
        <v>0</v>
      </c>
      <c r="AN11" s="133">
        <f t="shared" si="8"/>
        <v>0</v>
      </c>
      <c r="AO11">
        <f t="shared" si="9"/>
        <v>4.0666666666666664</v>
      </c>
      <c r="AP11" s="58">
        <f t="shared" si="10"/>
        <v>122</v>
      </c>
      <c r="AQ11" s="58"/>
    </row>
    <row r="12" spans="1:43" ht="15">
      <c r="A12" s="67" t="s">
        <v>441</v>
      </c>
      <c r="B12" s="68" t="s">
        <v>36</v>
      </c>
      <c r="C12" s="69">
        <v>9</v>
      </c>
      <c r="D12" s="2">
        <v>2</v>
      </c>
      <c r="E12" s="2">
        <v>1</v>
      </c>
      <c r="F12" s="2">
        <v>4</v>
      </c>
      <c r="G12" s="133"/>
      <c r="H12" s="133">
        <f t="shared" si="0"/>
        <v>31.6</v>
      </c>
      <c r="I12" s="2">
        <v>1</v>
      </c>
      <c r="J12" s="2">
        <v>1</v>
      </c>
      <c r="K12" s="2">
        <v>4</v>
      </c>
      <c r="L12" s="133">
        <f t="shared" si="1"/>
        <v>31.6</v>
      </c>
      <c r="M12" s="2">
        <v>0</v>
      </c>
      <c r="N12" s="2">
        <v>0</v>
      </c>
      <c r="O12" s="2">
        <v>0</v>
      </c>
      <c r="P12" s="133">
        <f t="shared" si="2"/>
        <v>0</v>
      </c>
      <c r="Q12" s="2">
        <v>0</v>
      </c>
      <c r="R12" s="2">
        <v>0</v>
      </c>
      <c r="S12" s="2">
        <v>0</v>
      </c>
      <c r="T12" s="133">
        <f t="shared" si="3"/>
        <v>0</v>
      </c>
      <c r="U12" s="2">
        <v>0</v>
      </c>
      <c r="V12" s="2">
        <v>0</v>
      </c>
      <c r="W12" s="134">
        <f t="shared" si="12"/>
        <v>0</v>
      </c>
      <c r="X12" s="133">
        <f t="shared" si="11"/>
        <v>0</v>
      </c>
      <c r="Y12" s="2" t="s">
        <v>495</v>
      </c>
      <c r="Z12" s="2">
        <v>0</v>
      </c>
      <c r="AA12" s="134">
        <v>8.3000000000000004E-2</v>
      </c>
      <c r="AB12" s="134">
        <f t="shared" si="4"/>
        <v>0.45650000000000002</v>
      </c>
      <c r="AC12" s="2">
        <v>2</v>
      </c>
      <c r="AD12" s="2">
        <v>1</v>
      </c>
      <c r="AE12" s="134">
        <f t="shared" si="13"/>
        <v>8</v>
      </c>
      <c r="AF12" s="133">
        <f t="shared" si="5"/>
        <v>110.4</v>
      </c>
      <c r="AG12" s="2">
        <v>2</v>
      </c>
      <c r="AH12" s="2">
        <v>1</v>
      </c>
      <c r="AI12" s="135">
        <f t="shared" si="6"/>
        <v>8</v>
      </c>
      <c r="AJ12" s="133">
        <f t="shared" si="7"/>
        <v>35.200000000000003</v>
      </c>
      <c r="AK12" s="2" t="s">
        <v>496</v>
      </c>
      <c r="AL12" s="2">
        <v>1</v>
      </c>
      <c r="AM12" s="134">
        <v>0.16</v>
      </c>
      <c r="AN12" s="133">
        <f t="shared" si="8"/>
        <v>0.08</v>
      </c>
      <c r="AO12">
        <f t="shared" si="9"/>
        <v>6.9778833333333337</v>
      </c>
      <c r="AP12" s="58">
        <f t="shared" si="10"/>
        <v>209.3365</v>
      </c>
      <c r="AQ12" s="58"/>
    </row>
    <row r="13" spans="1:43" ht="15">
      <c r="A13" s="74" t="s">
        <v>442</v>
      </c>
      <c r="B13" s="75" t="s">
        <v>443</v>
      </c>
      <c r="C13" s="76">
        <v>8</v>
      </c>
      <c r="D13" s="137">
        <v>1</v>
      </c>
      <c r="E13" s="137">
        <v>3</v>
      </c>
      <c r="F13" s="137">
        <v>12</v>
      </c>
      <c r="G13" s="133"/>
      <c r="H13" s="133">
        <f t="shared" si="0"/>
        <v>94.800000000000011</v>
      </c>
      <c r="I13" s="137">
        <v>1</v>
      </c>
      <c r="J13" s="137">
        <v>3</v>
      </c>
      <c r="K13" s="137">
        <v>12</v>
      </c>
      <c r="L13" s="133">
        <f t="shared" si="1"/>
        <v>94.800000000000011</v>
      </c>
      <c r="M13" s="137">
        <v>2</v>
      </c>
      <c r="N13" s="137">
        <v>1</v>
      </c>
      <c r="O13" s="137">
        <v>8</v>
      </c>
      <c r="P13" s="133">
        <f t="shared" si="2"/>
        <v>42.4</v>
      </c>
      <c r="Q13" s="2">
        <v>0</v>
      </c>
      <c r="R13" s="2">
        <v>0</v>
      </c>
      <c r="S13" s="2">
        <v>0</v>
      </c>
      <c r="T13" s="133">
        <f t="shared" si="3"/>
        <v>0</v>
      </c>
      <c r="U13" s="137">
        <v>2</v>
      </c>
      <c r="V13" s="137">
        <v>1</v>
      </c>
      <c r="W13" s="137">
        <f t="shared" si="12"/>
        <v>8</v>
      </c>
      <c r="X13" s="138">
        <f t="shared" si="11"/>
        <v>42.4</v>
      </c>
      <c r="Y13" s="137">
        <v>1</v>
      </c>
      <c r="Z13" s="137">
        <v>1</v>
      </c>
      <c r="AA13" s="137">
        <v>0</v>
      </c>
      <c r="AB13" s="137">
        <f t="shared" si="4"/>
        <v>0</v>
      </c>
      <c r="AC13" s="138"/>
      <c r="AD13" s="138"/>
      <c r="AE13" s="137">
        <v>0.5</v>
      </c>
      <c r="AF13" s="138">
        <f t="shared" si="5"/>
        <v>6.9</v>
      </c>
      <c r="AG13" s="137">
        <v>1</v>
      </c>
      <c r="AH13" s="137">
        <v>2</v>
      </c>
      <c r="AI13" s="139">
        <f t="shared" si="6"/>
        <v>8</v>
      </c>
      <c r="AJ13" s="138">
        <f t="shared" si="7"/>
        <v>35.200000000000003</v>
      </c>
      <c r="AK13" s="138"/>
      <c r="AL13" s="138"/>
      <c r="AM13" s="137">
        <v>0.5</v>
      </c>
      <c r="AN13" s="138">
        <f t="shared" si="8"/>
        <v>0.25</v>
      </c>
      <c r="AO13">
        <f t="shared" si="9"/>
        <v>9.1450000000000014</v>
      </c>
      <c r="AP13" s="58">
        <f t="shared" si="10"/>
        <v>274.35000000000002</v>
      </c>
      <c r="AQ13" s="58"/>
    </row>
    <row r="14" spans="1:43" ht="15">
      <c r="A14" s="77" t="s">
        <v>444</v>
      </c>
      <c r="B14" s="78" t="s">
        <v>59</v>
      </c>
      <c r="C14" s="79">
        <v>8</v>
      </c>
      <c r="D14" s="2">
        <v>3</v>
      </c>
      <c r="E14" s="2">
        <v>1</v>
      </c>
      <c r="F14" s="2">
        <v>12</v>
      </c>
      <c r="G14" s="133"/>
      <c r="H14" s="133">
        <f t="shared" si="0"/>
        <v>94.800000000000011</v>
      </c>
      <c r="I14" s="2">
        <v>1</v>
      </c>
      <c r="J14" s="2">
        <v>1</v>
      </c>
      <c r="K14" s="2">
        <v>4</v>
      </c>
      <c r="L14" s="133">
        <f t="shared" si="1"/>
        <v>31.6</v>
      </c>
      <c r="M14" s="2">
        <v>1</v>
      </c>
      <c r="N14" s="2">
        <v>3</v>
      </c>
      <c r="O14" s="2">
        <v>12</v>
      </c>
      <c r="P14" s="133">
        <f t="shared" si="2"/>
        <v>63.599999999999994</v>
      </c>
      <c r="Q14" s="2">
        <v>0</v>
      </c>
      <c r="R14" s="2">
        <v>0</v>
      </c>
      <c r="S14" s="2">
        <v>0</v>
      </c>
      <c r="T14" s="133">
        <f t="shared" si="3"/>
        <v>0</v>
      </c>
      <c r="U14" s="2">
        <v>0</v>
      </c>
      <c r="V14" s="2">
        <v>0</v>
      </c>
      <c r="W14" s="134">
        <v>0</v>
      </c>
      <c r="X14" s="133">
        <f t="shared" si="11"/>
        <v>0</v>
      </c>
      <c r="Y14" s="2">
        <v>0</v>
      </c>
      <c r="Z14" s="2">
        <v>0</v>
      </c>
      <c r="AA14" s="134">
        <v>0</v>
      </c>
      <c r="AB14" s="134">
        <f t="shared" si="4"/>
        <v>0</v>
      </c>
      <c r="AE14" s="134">
        <v>1</v>
      </c>
      <c r="AF14" s="133">
        <f t="shared" si="5"/>
        <v>13.8</v>
      </c>
      <c r="AG14" s="2">
        <v>1</v>
      </c>
      <c r="AH14" s="2">
        <v>6</v>
      </c>
      <c r="AI14" s="135">
        <f t="shared" si="6"/>
        <v>24</v>
      </c>
      <c r="AJ14" s="133">
        <f t="shared" si="7"/>
        <v>105.60000000000001</v>
      </c>
      <c r="AL14" s="2">
        <v>1</v>
      </c>
      <c r="AM14" s="134">
        <v>1</v>
      </c>
      <c r="AN14" s="133">
        <f t="shared" si="8"/>
        <v>0.5</v>
      </c>
      <c r="AO14">
        <f t="shared" si="9"/>
        <v>10.33</v>
      </c>
      <c r="AP14" s="58">
        <f t="shared" si="10"/>
        <v>309.89999999999998</v>
      </c>
      <c r="AQ14" s="58"/>
    </row>
    <row r="15" spans="1:43" ht="15">
      <c r="A15" s="80" t="s">
        <v>445</v>
      </c>
      <c r="B15" s="81" t="s">
        <v>234</v>
      </c>
      <c r="C15" s="82">
        <v>9</v>
      </c>
      <c r="D15" s="2">
        <v>3</v>
      </c>
      <c r="E15" s="2">
        <v>1</v>
      </c>
      <c r="F15" s="2">
        <v>12</v>
      </c>
      <c r="G15" s="133"/>
      <c r="H15" s="133">
        <f t="shared" si="0"/>
        <v>94.800000000000011</v>
      </c>
      <c r="I15" s="2">
        <v>1</v>
      </c>
      <c r="J15" s="2">
        <v>1</v>
      </c>
      <c r="K15" s="2">
        <v>4</v>
      </c>
      <c r="L15" s="133">
        <f t="shared" si="1"/>
        <v>31.6</v>
      </c>
      <c r="M15" s="2" t="s">
        <v>738</v>
      </c>
      <c r="O15" s="2">
        <v>1</v>
      </c>
      <c r="P15" s="133">
        <f t="shared" si="2"/>
        <v>5.3</v>
      </c>
      <c r="Q15" s="2">
        <v>0</v>
      </c>
      <c r="R15" s="2">
        <v>0</v>
      </c>
      <c r="S15" s="2">
        <v>0</v>
      </c>
      <c r="T15" s="133">
        <f t="shared" si="3"/>
        <v>0</v>
      </c>
      <c r="U15" s="2" t="s">
        <v>495</v>
      </c>
      <c r="W15" s="134">
        <v>8.3000000000000004E-2</v>
      </c>
      <c r="X15" s="133">
        <f t="shared" si="11"/>
        <v>0.43990000000000001</v>
      </c>
      <c r="Y15" s="2" t="s">
        <v>495</v>
      </c>
      <c r="AA15" s="134">
        <v>8.3000000000000004E-2</v>
      </c>
      <c r="AB15" s="134">
        <f t="shared" si="4"/>
        <v>0.45650000000000002</v>
      </c>
      <c r="AC15" s="2" t="s">
        <v>494</v>
      </c>
      <c r="AE15" s="134">
        <v>0.33</v>
      </c>
      <c r="AF15" s="133">
        <f t="shared" si="5"/>
        <v>4.5540000000000003</v>
      </c>
      <c r="AG15" s="2">
        <v>2</v>
      </c>
      <c r="AH15" s="2">
        <v>1</v>
      </c>
      <c r="AI15" s="135">
        <v>8</v>
      </c>
      <c r="AJ15" s="133">
        <f t="shared" si="7"/>
        <v>35.200000000000003</v>
      </c>
      <c r="AK15" s="2" t="s">
        <v>497</v>
      </c>
      <c r="AM15" s="134">
        <v>0.16</v>
      </c>
      <c r="AN15" s="133">
        <f t="shared" si="8"/>
        <v>0.08</v>
      </c>
      <c r="AO15">
        <f t="shared" si="9"/>
        <v>5.7330166666666669</v>
      </c>
      <c r="AP15" s="58">
        <f t="shared" si="10"/>
        <v>171.9905</v>
      </c>
      <c r="AQ15" s="58"/>
    </row>
    <row r="16" spans="1:43" ht="15">
      <c r="A16" s="80" t="s">
        <v>446</v>
      </c>
      <c r="B16" s="81" t="s">
        <v>248</v>
      </c>
      <c r="C16" s="82">
        <v>7</v>
      </c>
      <c r="F16" s="2">
        <v>12</v>
      </c>
      <c r="G16" s="133"/>
      <c r="H16" s="133">
        <f t="shared" si="0"/>
        <v>94.800000000000011</v>
      </c>
      <c r="K16" s="2">
        <v>4</v>
      </c>
      <c r="L16" s="133">
        <f t="shared" si="1"/>
        <v>31.6</v>
      </c>
      <c r="O16" s="2">
        <v>1</v>
      </c>
      <c r="P16" s="133">
        <f t="shared" si="2"/>
        <v>5.3</v>
      </c>
      <c r="Q16" s="2">
        <v>0</v>
      </c>
      <c r="R16" s="2">
        <v>0</v>
      </c>
      <c r="S16" s="2">
        <v>0</v>
      </c>
      <c r="T16" s="133">
        <f t="shared" si="3"/>
        <v>0</v>
      </c>
      <c r="U16" s="2" t="s">
        <v>492</v>
      </c>
      <c r="W16" s="134">
        <v>8.3000000000000004E-2</v>
      </c>
      <c r="X16" s="133">
        <f t="shared" si="11"/>
        <v>0.43990000000000001</v>
      </c>
      <c r="Y16" s="2" t="s">
        <v>492</v>
      </c>
      <c r="AA16" s="134">
        <v>8.3000000000000004E-2</v>
      </c>
      <c r="AB16" s="134">
        <f t="shared" si="4"/>
        <v>0.45650000000000002</v>
      </c>
      <c r="AC16" s="2" t="s">
        <v>498</v>
      </c>
      <c r="AE16" s="134">
        <v>0.33</v>
      </c>
      <c r="AF16" s="133">
        <f t="shared" si="5"/>
        <v>4.5540000000000003</v>
      </c>
      <c r="AG16" s="2">
        <v>2</v>
      </c>
      <c r="AH16" s="2">
        <v>1</v>
      </c>
      <c r="AI16" s="135">
        <v>8</v>
      </c>
      <c r="AJ16" s="133">
        <f t="shared" si="7"/>
        <v>35.200000000000003</v>
      </c>
      <c r="AK16" s="2" t="s">
        <v>499</v>
      </c>
      <c r="AM16" s="134">
        <v>0.16</v>
      </c>
      <c r="AN16" s="133">
        <f t="shared" si="8"/>
        <v>0.08</v>
      </c>
      <c r="AO16">
        <f t="shared" si="9"/>
        <v>5.7330166666666669</v>
      </c>
      <c r="AP16" s="58">
        <f t="shared" si="10"/>
        <v>171.9905</v>
      </c>
      <c r="AQ16" s="58"/>
    </row>
    <row r="17" spans="1:43" ht="15">
      <c r="A17" s="83" t="s">
        <v>447</v>
      </c>
      <c r="B17" s="81" t="s">
        <v>148</v>
      </c>
      <c r="C17" s="82">
        <v>7</v>
      </c>
      <c r="F17" s="2">
        <v>12</v>
      </c>
      <c r="G17" s="133"/>
      <c r="H17" s="133">
        <f t="shared" si="0"/>
        <v>94.800000000000011</v>
      </c>
      <c r="K17" s="2">
        <v>4</v>
      </c>
      <c r="L17" s="133">
        <f t="shared" si="1"/>
        <v>31.6</v>
      </c>
      <c r="O17" s="2">
        <v>1</v>
      </c>
      <c r="P17" s="133">
        <f t="shared" si="2"/>
        <v>5.3</v>
      </c>
      <c r="Q17" s="2">
        <v>0</v>
      </c>
      <c r="R17" s="2">
        <v>0</v>
      </c>
      <c r="S17" s="2">
        <v>0</v>
      </c>
      <c r="T17" s="133">
        <f t="shared" si="3"/>
        <v>0</v>
      </c>
      <c r="U17" s="2" t="s">
        <v>493</v>
      </c>
      <c r="W17" s="134">
        <v>8.3000000000000004E-2</v>
      </c>
      <c r="X17" s="133">
        <f t="shared" si="11"/>
        <v>0.43990000000000001</v>
      </c>
      <c r="Y17" s="2" t="s">
        <v>493</v>
      </c>
      <c r="AA17" s="134">
        <v>8.3000000000000004E-2</v>
      </c>
      <c r="AB17" s="134">
        <f t="shared" si="4"/>
        <v>0.45650000000000002</v>
      </c>
      <c r="AC17" s="2" t="s">
        <v>500</v>
      </c>
      <c r="AE17" s="134">
        <v>0.33</v>
      </c>
      <c r="AF17" s="133">
        <f t="shared" si="5"/>
        <v>4.5540000000000003</v>
      </c>
      <c r="AG17" s="2">
        <v>2</v>
      </c>
      <c r="AH17" s="2">
        <v>1</v>
      </c>
      <c r="AI17" s="135">
        <v>8</v>
      </c>
      <c r="AJ17" s="133">
        <f t="shared" si="7"/>
        <v>35.200000000000003</v>
      </c>
      <c r="AK17" s="2" t="s">
        <v>501</v>
      </c>
      <c r="AM17" s="134">
        <v>0.16</v>
      </c>
      <c r="AN17" s="133">
        <f t="shared" si="8"/>
        <v>0.08</v>
      </c>
      <c r="AO17">
        <f t="shared" si="9"/>
        <v>5.7330166666666669</v>
      </c>
      <c r="AP17" s="58">
        <f t="shared" si="10"/>
        <v>171.9905</v>
      </c>
      <c r="AQ17" s="58"/>
    </row>
    <row r="18" spans="1:43" ht="15">
      <c r="A18" s="77" t="s">
        <v>448</v>
      </c>
      <c r="B18" s="78" t="s">
        <v>46</v>
      </c>
      <c r="C18" s="79">
        <v>10</v>
      </c>
      <c r="D18" s="2">
        <v>3</v>
      </c>
      <c r="E18" s="2">
        <v>2</v>
      </c>
      <c r="F18" s="2">
        <v>24</v>
      </c>
      <c r="G18" s="133"/>
      <c r="H18" s="133">
        <f t="shared" si="0"/>
        <v>189.60000000000002</v>
      </c>
      <c r="I18" s="2">
        <v>2</v>
      </c>
      <c r="J18" s="2">
        <v>2</v>
      </c>
      <c r="K18" s="2">
        <v>16</v>
      </c>
      <c r="L18" s="133">
        <f t="shared" si="1"/>
        <v>126.4</v>
      </c>
      <c r="M18" s="2" t="s">
        <v>739</v>
      </c>
      <c r="N18" s="2">
        <v>1</v>
      </c>
      <c r="O18" s="2">
        <v>30</v>
      </c>
      <c r="P18" s="133">
        <f t="shared" si="2"/>
        <v>159</v>
      </c>
      <c r="Q18" s="2">
        <v>0</v>
      </c>
      <c r="R18" s="2">
        <v>0</v>
      </c>
      <c r="S18" s="2">
        <v>0</v>
      </c>
      <c r="T18" s="133">
        <f t="shared" si="3"/>
        <v>0</v>
      </c>
      <c r="U18" s="2" t="s">
        <v>495</v>
      </c>
      <c r="W18" s="134">
        <v>8.3000000000000004E-2</v>
      </c>
      <c r="X18" s="133">
        <f t="shared" si="11"/>
        <v>0.43990000000000001</v>
      </c>
      <c r="Y18" s="2">
        <v>0</v>
      </c>
      <c r="Z18" s="2">
        <v>0</v>
      </c>
      <c r="AA18" s="134">
        <v>0</v>
      </c>
      <c r="AB18" s="134">
        <f t="shared" si="4"/>
        <v>0</v>
      </c>
      <c r="AC18" s="2">
        <v>1</v>
      </c>
      <c r="AD18" s="2">
        <v>2</v>
      </c>
      <c r="AE18" s="133"/>
      <c r="AF18" s="133">
        <f t="shared" si="5"/>
        <v>0</v>
      </c>
      <c r="AG18" s="2">
        <v>3</v>
      </c>
      <c r="AH18" s="2">
        <v>1</v>
      </c>
      <c r="AI18" s="135">
        <v>12</v>
      </c>
      <c r="AJ18" s="133">
        <f t="shared" si="7"/>
        <v>52.800000000000004</v>
      </c>
      <c r="AK18" s="2" t="s">
        <v>495</v>
      </c>
      <c r="AL18" s="2">
        <v>3</v>
      </c>
      <c r="AM18" s="134">
        <v>0.2</v>
      </c>
      <c r="AN18" s="133">
        <f t="shared" si="8"/>
        <v>0.1</v>
      </c>
      <c r="AO18">
        <f t="shared" si="9"/>
        <v>17.596666666666671</v>
      </c>
      <c r="AP18" s="58">
        <f t="shared" si="10"/>
        <v>527.90000000000009</v>
      </c>
      <c r="AQ18" s="58"/>
    </row>
    <row r="19" spans="1:43" ht="15">
      <c r="A19" s="77" t="s">
        <v>449</v>
      </c>
      <c r="B19" s="78" t="s">
        <v>26</v>
      </c>
      <c r="C19" s="79">
        <v>6</v>
      </c>
      <c r="D19" s="2">
        <v>2</v>
      </c>
      <c r="E19" s="2">
        <v>1</v>
      </c>
      <c r="F19" s="2">
        <v>8</v>
      </c>
      <c r="G19" s="133"/>
      <c r="H19" s="133">
        <f t="shared" si="0"/>
        <v>63.2</v>
      </c>
      <c r="I19" s="2">
        <v>0</v>
      </c>
      <c r="J19" s="2">
        <v>0</v>
      </c>
      <c r="K19" s="2">
        <v>0</v>
      </c>
      <c r="L19" s="133">
        <f t="shared" si="1"/>
        <v>0</v>
      </c>
      <c r="M19" s="2">
        <v>0</v>
      </c>
      <c r="N19" s="2">
        <v>0</v>
      </c>
      <c r="O19" s="2">
        <v>0</v>
      </c>
      <c r="P19" s="133">
        <f t="shared" si="2"/>
        <v>0</v>
      </c>
      <c r="Q19" s="2">
        <v>0</v>
      </c>
      <c r="R19" s="2">
        <v>0</v>
      </c>
      <c r="S19" s="2">
        <v>0</v>
      </c>
      <c r="T19" s="133">
        <f t="shared" si="3"/>
        <v>0</v>
      </c>
      <c r="U19" s="2">
        <v>0</v>
      </c>
      <c r="W19" s="134">
        <v>0</v>
      </c>
      <c r="X19" s="133">
        <f t="shared" si="11"/>
        <v>0</v>
      </c>
      <c r="AA19" s="134">
        <v>0</v>
      </c>
      <c r="AB19" s="134">
        <f t="shared" si="4"/>
        <v>0</v>
      </c>
      <c r="AC19" s="2" t="s">
        <v>502</v>
      </c>
      <c r="AE19" s="134">
        <v>1</v>
      </c>
      <c r="AF19" s="133">
        <f t="shared" si="5"/>
        <v>13.8</v>
      </c>
      <c r="AG19" s="2">
        <v>3</v>
      </c>
      <c r="AH19" s="2">
        <v>2</v>
      </c>
      <c r="AI19" s="135">
        <v>24</v>
      </c>
      <c r="AJ19" s="133">
        <f t="shared" si="7"/>
        <v>105.60000000000001</v>
      </c>
      <c r="AK19" s="2">
        <v>0</v>
      </c>
      <c r="AL19" s="2">
        <v>0</v>
      </c>
      <c r="AM19" s="134">
        <v>0</v>
      </c>
      <c r="AN19" s="133">
        <f t="shared" si="8"/>
        <v>0</v>
      </c>
      <c r="AO19">
        <f t="shared" si="9"/>
        <v>6.0866666666666678</v>
      </c>
      <c r="AP19" s="58">
        <f t="shared" si="10"/>
        <v>182.60000000000002</v>
      </c>
      <c r="AQ19" s="58"/>
    </row>
    <row r="20" spans="1:43" ht="15.75" customHeight="1">
      <c r="A20" s="2" t="s">
        <v>736</v>
      </c>
      <c r="B20" s="2" t="s">
        <v>190</v>
      </c>
      <c r="C20" s="2">
        <v>6</v>
      </c>
      <c r="D20" s="2">
        <v>1</v>
      </c>
      <c r="E20" s="2">
        <v>1</v>
      </c>
      <c r="F20" s="2">
        <v>4</v>
      </c>
      <c r="G20" s="133"/>
      <c r="H20" s="133">
        <f t="shared" si="0"/>
        <v>31.6</v>
      </c>
      <c r="I20" s="2">
        <v>0</v>
      </c>
      <c r="J20" s="2">
        <v>0</v>
      </c>
      <c r="K20" s="2">
        <v>0</v>
      </c>
      <c r="L20" s="133">
        <f t="shared" si="1"/>
        <v>0</v>
      </c>
      <c r="M20" s="2">
        <v>0</v>
      </c>
      <c r="N20" s="2">
        <v>0</v>
      </c>
      <c r="O20" s="2">
        <v>0</v>
      </c>
      <c r="P20" s="133">
        <f t="shared" si="2"/>
        <v>0</v>
      </c>
      <c r="Q20" s="2">
        <v>0</v>
      </c>
      <c r="R20" s="2">
        <v>0</v>
      </c>
      <c r="S20" s="2">
        <v>0</v>
      </c>
      <c r="T20" s="133">
        <f t="shared" si="3"/>
        <v>0</v>
      </c>
      <c r="U20" s="2">
        <v>0</v>
      </c>
      <c r="V20" s="2">
        <v>0</v>
      </c>
      <c r="W20" s="134">
        <f>((U20*V20)*4)</f>
        <v>0</v>
      </c>
      <c r="X20" s="133">
        <f t="shared" si="11"/>
        <v>0</v>
      </c>
      <c r="Y20" s="2">
        <v>0</v>
      </c>
      <c r="Z20" s="2">
        <v>0</v>
      </c>
      <c r="AA20" s="134">
        <v>0</v>
      </c>
      <c r="AB20" s="134">
        <f t="shared" si="4"/>
        <v>0</v>
      </c>
      <c r="AC20" s="2">
        <v>1</v>
      </c>
      <c r="AD20" s="2">
        <v>1</v>
      </c>
      <c r="AE20" s="134">
        <f>((AC20*AD20)*4)</f>
        <v>4</v>
      </c>
      <c r="AF20" s="133">
        <f t="shared" si="5"/>
        <v>55.2</v>
      </c>
      <c r="AG20" s="2">
        <v>2</v>
      </c>
      <c r="AH20" s="2">
        <v>1</v>
      </c>
      <c r="AI20" s="135">
        <f>(AG20*AH20)*4</f>
        <v>8</v>
      </c>
      <c r="AJ20" s="133">
        <f t="shared" si="7"/>
        <v>35.200000000000003</v>
      </c>
      <c r="AK20" s="2">
        <v>0</v>
      </c>
      <c r="AL20" s="2">
        <v>0</v>
      </c>
      <c r="AM20" s="134">
        <v>0</v>
      </c>
      <c r="AN20" s="133">
        <f t="shared" si="8"/>
        <v>0</v>
      </c>
      <c r="AO20">
        <f t="shared" si="9"/>
        <v>4.0666666666666664</v>
      </c>
      <c r="AP20" s="58">
        <f t="shared" si="10"/>
        <v>122</v>
      </c>
      <c r="AQ20" s="58"/>
    </row>
    <row r="21" spans="1:43" ht="15.75" customHeight="1">
      <c r="G21" s="133"/>
      <c r="H21" s="133"/>
      <c r="L21" s="133"/>
      <c r="P21" s="133"/>
      <c r="T21" s="133"/>
      <c r="W21" s="133"/>
      <c r="X21" s="133"/>
      <c r="AA21" s="133"/>
      <c r="AB21" s="134"/>
      <c r="AE21" s="133"/>
      <c r="AF21" s="133"/>
      <c r="AI21" s="148"/>
      <c r="AJ21" s="133"/>
      <c r="AM21" s="133"/>
      <c r="AN21" s="133"/>
      <c r="AP21" s="58">
        <f>AVERAGE(AP4:AP19)</f>
        <v>236.14749375</v>
      </c>
      <c r="AQ21" s="58"/>
    </row>
    <row r="22" spans="1:43" ht="15">
      <c r="A22" s="61" t="s">
        <v>453</v>
      </c>
      <c r="B22" s="62"/>
      <c r="C22" s="62"/>
      <c r="D22" s="105" t="s">
        <v>473</v>
      </c>
      <c r="E22" s="60"/>
      <c r="F22" s="108"/>
      <c r="G22" s="109"/>
      <c r="H22" s="109"/>
      <c r="I22" s="105" t="s">
        <v>474</v>
      </c>
      <c r="J22" s="105"/>
      <c r="K22" s="105"/>
      <c r="L22" s="115"/>
      <c r="M22" s="105" t="s">
        <v>729</v>
      </c>
      <c r="N22" s="60"/>
      <c r="O22" s="108"/>
      <c r="P22" s="108"/>
      <c r="Q22" s="105" t="s">
        <v>731</v>
      </c>
      <c r="R22" s="60"/>
      <c r="S22" s="108"/>
      <c r="T22" s="109"/>
      <c r="U22" s="106" t="s">
        <v>475</v>
      </c>
      <c r="V22" s="60"/>
      <c r="W22" s="108"/>
      <c r="X22" s="109"/>
      <c r="Y22" s="106" t="s">
        <v>476</v>
      </c>
      <c r="Z22" s="60"/>
      <c r="AA22" s="108"/>
      <c r="AB22" s="108"/>
      <c r="AC22" s="106" t="s">
        <v>477</v>
      </c>
      <c r="AD22" s="60"/>
      <c r="AE22" s="108"/>
      <c r="AF22" s="109"/>
      <c r="AG22" s="106" t="s">
        <v>478</v>
      </c>
      <c r="AH22" s="60"/>
      <c r="AI22" s="108"/>
      <c r="AJ22" s="109"/>
      <c r="AK22" s="106" t="s">
        <v>479</v>
      </c>
      <c r="AL22" s="60"/>
      <c r="AM22" s="108"/>
      <c r="AN22" s="109"/>
      <c r="AO22" s="62"/>
      <c r="AP22" s="317"/>
      <c r="AQ22" s="58"/>
    </row>
    <row r="23" spans="1:43" ht="15">
      <c r="A23" s="62"/>
      <c r="B23" s="62"/>
      <c r="C23" s="62"/>
      <c r="D23" s="105" t="s">
        <v>509</v>
      </c>
      <c r="E23" s="60"/>
      <c r="F23" s="62"/>
      <c r="G23" s="116"/>
      <c r="H23" s="116">
        <v>7.9</v>
      </c>
      <c r="I23" s="105" t="s">
        <v>510</v>
      </c>
      <c r="J23" s="105"/>
      <c r="K23" s="105"/>
      <c r="L23" s="115">
        <v>7.9</v>
      </c>
      <c r="M23" s="105" t="s">
        <v>732</v>
      </c>
      <c r="N23" s="60"/>
      <c r="O23" s="108"/>
      <c r="P23" s="116">
        <v>5.3</v>
      </c>
      <c r="Q23" s="105" t="s">
        <v>733</v>
      </c>
      <c r="R23" s="60"/>
      <c r="S23" s="62"/>
      <c r="T23" s="116"/>
      <c r="U23" s="106" t="s">
        <v>482</v>
      </c>
      <c r="V23" s="60"/>
      <c r="W23" s="62"/>
      <c r="X23" s="116">
        <v>4.5</v>
      </c>
      <c r="Y23" s="106" t="s">
        <v>482</v>
      </c>
      <c r="Z23" s="60"/>
      <c r="AA23" s="108"/>
      <c r="AB23" s="116">
        <v>5.5</v>
      </c>
      <c r="AC23" s="106" t="s">
        <v>483</v>
      </c>
      <c r="AD23" s="60"/>
      <c r="AE23" s="108"/>
      <c r="AF23" s="117">
        <v>13.8</v>
      </c>
      <c r="AG23" s="106" t="s">
        <v>484</v>
      </c>
      <c r="AH23" s="60"/>
      <c r="AI23" s="108"/>
      <c r="AJ23" s="118">
        <v>4.4000000000000004</v>
      </c>
      <c r="AK23" s="106" t="s">
        <v>485</v>
      </c>
      <c r="AL23" s="60"/>
      <c r="AM23" s="108"/>
      <c r="AN23" s="118">
        <v>0.5</v>
      </c>
      <c r="AO23" s="62"/>
      <c r="AP23" s="317"/>
      <c r="AQ23" s="58"/>
    </row>
    <row r="24" spans="1:43" ht="15.75" customHeight="1">
      <c r="A24" s="63" t="s">
        <v>430</v>
      </c>
      <c r="B24" s="63" t="s">
        <v>2</v>
      </c>
      <c r="C24" s="63" t="s">
        <v>431</v>
      </c>
      <c r="D24" s="125" t="s">
        <v>487</v>
      </c>
      <c r="E24" s="126" t="s">
        <v>488</v>
      </c>
      <c r="F24" s="127" t="s">
        <v>489</v>
      </c>
      <c r="G24" s="127"/>
      <c r="H24" s="127" t="s">
        <v>511</v>
      </c>
      <c r="I24" s="125" t="s">
        <v>487</v>
      </c>
      <c r="J24" s="126" t="s">
        <v>488</v>
      </c>
      <c r="K24" s="127" t="s">
        <v>489</v>
      </c>
      <c r="L24" s="127" t="s">
        <v>511</v>
      </c>
      <c r="M24" s="125" t="s">
        <v>487</v>
      </c>
      <c r="N24" s="126" t="s">
        <v>488</v>
      </c>
      <c r="O24" s="127" t="s">
        <v>489</v>
      </c>
      <c r="P24" s="128" t="s">
        <v>511</v>
      </c>
      <c r="Q24" s="125" t="s">
        <v>487</v>
      </c>
      <c r="R24" s="126" t="s">
        <v>488</v>
      </c>
      <c r="S24" s="127" t="s">
        <v>489</v>
      </c>
      <c r="T24" s="127">
        <v>4.3</v>
      </c>
      <c r="U24" s="125" t="s">
        <v>487</v>
      </c>
      <c r="V24" s="126" t="s">
        <v>488</v>
      </c>
      <c r="W24" s="127" t="s">
        <v>489</v>
      </c>
      <c r="X24" s="127" t="s">
        <v>511</v>
      </c>
      <c r="Y24" s="125" t="s">
        <v>487</v>
      </c>
      <c r="Z24" s="126" t="s">
        <v>488</v>
      </c>
      <c r="AA24" s="127" t="s">
        <v>489</v>
      </c>
      <c r="AB24" s="128" t="s">
        <v>490</v>
      </c>
      <c r="AC24" s="125" t="s">
        <v>487</v>
      </c>
      <c r="AD24" s="126" t="s">
        <v>488</v>
      </c>
      <c r="AE24" s="127" t="s">
        <v>489</v>
      </c>
      <c r="AF24" s="128" t="s">
        <v>734</v>
      </c>
      <c r="AG24" s="125" t="s">
        <v>487</v>
      </c>
      <c r="AH24" s="126" t="s">
        <v>488</v>
      </c>
      <c r="AI24" s="127" t="s">
        <v>491</v>
      </c>
      <c r="AJ24" s="128" t="s">
        <v>490</v>
      </c>
      <c r="AK24" s="125" t="s">
        <v>487</v>
      </c>
      <c r="AL24" s="126" t="s">
        <v>488</v>
      </c>
      <c r="AM24" s="127" t="s">
        <v>489</v>
      </c>
      <c r="AN24" s="128" t="s">
        <v>490</v>
      </c>
      <c r="AO24" s="62"/>
      <c r="AP24" s="317"/>
      <c r="AQ24" s="58"/>
    </row>
    <row r="25" spans="1:43" ht="15">
      <c r="A25" s="88" t="s">
        <v>450</v>
      </c>
      <c r="B25" s="60" t="s">
        <v>375</v>
      </c>
      <c r="C25" s="89">
        <v>8</v>
      </c>
      <c r="D25" s="2" t="s">
        <v>512</v>
      </c>
      <c r="E25" s="2">
        <v>1</v>
      </c>
      <c r="F25" s="2">
        <v>0.16</v>
      </c>
      <c r="G25" s="134"/>
      <c r="H25" s="134">
        <f t="shared" ref="H25:H43" si="14">(H$23*F25)</f>
        <v>1.264</v>
      </c>
      <c r="I25" s="2">
        <v>0</v>
      </c>
      <c r="J25" s="2">
        <v>0</v>
      </c>
      <c r="K25" s="2">
        <v>0</v>
      </c>
      <c r="L25" s="134">
        <f t="shared" ref="L25:L43" si="15">(L$23*K25)</f>
        <v>0</v>
      </c>
      <c r="M25" s="2" t="s">
        <v>740</v>
      </c>
      <c r="N25" s="2">
        <v>1</v>
      </c>
      <c r="O25" s="2">
        <v>30</v>
      </c>
      <c r="P25" s="133">
        <f t="shared" ref="P25:P43" si="16">(P$23*O25)</f>
        <v>159</v>
      </c>
      <c r="Q25" s="2">
        <v>0</v>
      </c>
      <c r="R25" s="2">
        <v>0</v>
      </c>
      <c r="S25" s="2">
        <v>0</v>
      </c>
      <c r="T25" s="133">
        <f t="shared" ref="T25:T43" si="17">(T$24*S25)</f>
        <v>0</v>
      </c>
      <c r="U25" s="2" t="s">
        <v>495</v>
      </c>
      <c r="W25" s="134">
        <v>0</v>
      </c>
      <c r="X25" s="133">
        <f t="shared" ref="X25:X43" si="18">W25*$P$2</f>
        <v>0</v>
      </c>
      <c r="Y25" s="2" t="s">
        <v>495</v>
      </c>
      <c r="AA25" s="134">
        <v>8.3000000000000004E-2</v>
      </c>
      <c r="AB25" s="134">
        <f t="shared" ref="AB25:AB43" si="19">(AB$2*AA25)</f>
        <v>0.45650000000000002</v>
      </c>
      <c r="AC25" s="2" t="s">
        <v>513</v>
      </c>
      <c r="AD25" s="2">
        <v>2</v>
      </c>
      <c r="AE25" s="134">
        <v>4</v>
      </c>
      <c r="AF25" s="133">
        <f t="shared" ref="AF25:AF43" si="20">(AF$2*AE25)</f>
        <v>55.2</v>
      </c>
      <c r="AG25" s="2" t="s">
        <v>514</v>
      </c>
      <c r="AH25" s="2">
        <v>2</v>
      </c>
      <c r="AI25" s="135">
        <v>4</v>
      </c>
      <c r="AJ25" s="133">
        <f t="shared" ref="AJ25:AJ43" si="21">(AJ$2*AI25)</f>
        <v>17.600000000000001</v>
      </c>
      <c r="AK25" s="2" t="s">
        <v>496</v>
      </c>
      <c r="AM25" s="134">
        <v>0.16</v>
      </c>
      <c r="AN25" s="133">
        <f t="shared" ref="AN25:AN43" si="22">(AN$2*AM25)</f>
        <v>0.08</v>
      </c>
      <c r="AO25">
        <f t="shared" ref="AO25:AO43" si="23">AP25/30</f>
        <v>7.7866833333333334</v>
      </c>
      <c r="AP25" s="58">
        <f t="shared" ref="AP25:AP43" si="24">(AN25+AJ25+AF25+AB25+T25+P25+L25+H25)</f>
        <v>233.60050000000001</v>
      </c>
      <c r="AQ25" s="58"/>
    </row>
    <row r="26" spans="1:43" ht="15">
      <c r="A26" s="88" t="s">
        <v>451</v>
      </c>
      <c r="B26" s="60" t="s">
        <v>452</v>
      </c>
      <c r="C26" s="89">
        <v>6</v>
      </c>
      <c r="D26" s="2" t="s">
        <v>499</v>
      </c>
      <c r="E26" s="2">
        <v>1</v>
      </c>
      <c r="F26" s="2">
        <v>0.16</v>
      </c>
      <c r="G26" s="134"/>
      <c r="H26" s="134">
        <f t="shared" si="14"/>
        <v>1.264</v>
      </c>
      <c r="I26" s="2">
        <v>0</v>
      </c>
      <c r="J26" s="2">
        <v>0</v>
      </c>
      <c r="K26" s="2">
        <v>0</v>
      </c>
      <c r="L26" s="134">
        <f t="shared" si="15"/>
        <v>0</v>
      </c>
      <c r="M26" s="2" t="s">
        <v>740</v>
      </c>
      <c r="N26" s="2">
        <v>1</v>
      </c>
      <c r="O26" s="2">
        <v>30</v>
      </c>
      <c r="P26" s="133">
        <f t="shared" si="16"/>
        <v>159</v>
      </c>
      <c r="Q26" s="2">
        <v>0</v>
      </c>
      <c r="R26" s="2">
        <v>0</v>
      </c>
      <c r="S26" s="2">
        <v>0</v>
      </c>
      <c r="T26" s="133">
        <f t="shared" si="17"/>
        <v>0</v>
      </c>
      <c r="U26" s="2" t="s">
        <v>495</v>
      </c>
      <c r="W26" s="134">
        <v>8.3000000000000004E-2</v>
      </c>
      <c r="X26" s="133">
        <f t="shared" si="18"/>
        <v>0.43990000000000001</v>
      </c>
      <c r="Y26" s="2" t="s">
        <v>495</v>
      </c>
      <c r="AA26" s="134">
        <v>8.3000000000000004E-2</v>
      </c>
      <c r="AB26" s="134">
        <f t="shared" si="19"/>
        <v>0.45650000000000002</v>
      </c>
      <c r="AC26" s="2" t="s">
        <v>513</v>
      </c>
      <c r="AD26" s="2">
        <v>2</v>
      </c>
      <c r="AE26" s="134">
        <v>4</v>
      </c>
      <c r="AF26" s="133">
        <f t="shared" si="20"/>
        <v>55.2</v>
      </c>
      <c r="AG26" s="2" t="s">
        <v>513</v>
      </c>
      <c r="AH26" s="2">
        <v>2</v>
      </c>
      <c r="AI26" s="135">
        <v>4</v>
      </c>
      <c r="AJ26" s="133">
        <f t="shared" si="21"/>
        <v>17.600000000000001</v>
      </c>
      <c r="AK26" s="2" t="s">
        <v>496</v>
      </c>
      <c r="AM26" s="134">
        <v>0.16</v>
      </c>
      <c r="AN26" s="133">
        <f t="shared" si="22"/>
        <v>0.08</v>
      </c>
      <c r="AO26">
        <f t="shared" si="23"/>
        <v>7.7866833333333334</v>
      </c>
      <c r="AP26" s="58">
        <f t="shared" si="24"/>
        <v>233.60050000000001</v>
      </c>
      <c r="AQ26" s="58"/>
    </row>
    <row r="27" spans="1:43" ht="15.75" customHeight="1">
      <c r="A27" s="90" t="s">
        <v>137</v>
      </c>
      <c r="B27" s="61" t="s">
        <v>138</v>
      </c>
      <c r="C27" s="92">
        <v>10</v>
      </c>
      <c r="D27" s="2">
        <v>2</v>
      </c>
      <c r="E27" s="2">
        <v>1</v>
      </c>
      <c r="F27" s="2">
        <v>8</v>
      </c>
      <c r="G27" s="134"/>
      <c r="H27" s="134">
        <f t="shared" si="14"/>
        <v>63.2</v>
      </c>
      <c r="I27" s="2">
        <v>3</v>
      </c>
      <c r="J27" s="2">
        <v>1</v>
      </c>
      <c r="K27" s="2">
        <v>12</v>
      </c>
      <c r="L27" s="134">
        <f t="shared" si="15"/>
        <v>94.800000000000011</v>
      </c>
      <c r="M27" s="2" t="s">
        <v>740</v>
      </c>
      <c r="N27" s="2">
        <v>3</v>
      </c>
      <c r="O27" s="2">
        <v>90</v>
      </c>
      <c r="P27" s="133">
        <f t="shared" si="16"/>
        <v>477</v>
      </c>
      <c r="Q27" s="2">
        <v>0</v>
      </c>
      <c r="R27" s="2">
        <v>0</v>
      </c>
      <c r="S27" s="2">
        <v>0</v>
      </c>
      <c r="T27" s="133">
        <f t="shared" si="17"/>
        <v>0</v>
      </c>
      <c r="U27" s="2" t="s">
        <v>515</v>
      </c>
      <c r="V27" s="2">
        <v>1</v>
      </c>
      <c r="W27" s="134">
        <v>0.5</v>
      </c>
      <c r="X27" s="133">
        <f t="shared" si="18"/>
        <v>2.65</v>
      </c>
      <c r="Y27" s="2" t="s">
        <v>515</v>
      </c>
      <c r="Z27" s="2">
        <v>1</v>
      </c>
      <c r="AA27" s="134">
        <v>0.5</v>
      </c>
      <c r="AB27" s="134">
        <f t="shared" si="19"/>
        <v>2.75</v>
      </c>
      <c r="AC27" s="2">
        <v>1</v>
      </c>
      <c r="AD27" s="2">
        <v>1</v>
      </c>
      <c r="AE27" s="134">
        <v>4</v>
      </c>
      <c r="AF27" s="133">
        <f t="shared" si="20"/>
        <v>55.2</v>
      </c>
      <c r="AG27" s="2">
        <v>1</v>
      </c>
      <c r="AH27" s="2">
        <v>1</v>
      </c>
      <c r="AI27" s="135">
        <v>4</v>
      </c>
      <c r="AJ27" s="133">
        <f t="shared" si="21"/>
        <v>17.600000000000001</v>
      </c>
      <c r="AK27" s="2" t="s">
        <v>496</v>
      </c>
      <c r="AM27" s="134">
        <v>0.16</v>
      </c>
      <c r="AN27" s="133">
        <f t="shared" si="22"/>
        <v>0.08</v>
      </c>
      <c r="AO27">
        <f t="shared" si="23"/>
        <v>23.687666666666669</v>
      </c>
      <c r="AP27" s="58">
        <f t="shared" si="24"/>
        <v>710.63000000000011</v>
      </c>
      <c r="AQ27" s="58"/>
    </row>
    <row r="28" spans="1:43" ht="15.75" customHeight="1">
      <c r="A28" s="90" t="s">
        <v>454</v>
      </c>
      <c r="B28" s="61" t="s">
        <v>177</v>
      </c>
      <c r="C28" s="92">
        <v>6</v>
      </c>
      <c r="D28" s="2">
        <v>2</v>
      </c>
      <c r="E28" s="2">
        <v>1</v>
      </c>
      <c r="F28" s="2">
        <v>8</v>
      </c>
      <c r="G28" s="134"/>
      <c r="H28" s="134">
        <f t="shared" si="14"/>
        <v>63.2</v>
      </c>
      <c r="I28" s="2">
        <v>3</v>
      </c>
      <c r="J28" s="2">
        <v>1</v>
      </c>
      <c r="K28" s="2">
        <v>12</v>
      </c>
      <c r="L28" s="134">
        <f t="shared" si="15"/>
        <v>94.800000000000011</v>
      </c>
      <c r="M28" s="2" t="s">
        <v>740</v>
      </c>
      <c r="N28" s="2">
        <v>3</v>
      </c>
      <c r="O28" s="2">
        <v>90</v>
      </c>
      <c r="P28" s="133">
        <f t="shared" si="16"/>
        <v>477</v>
      </c>
      <c r="Q28" s="2">
        <v>0</v>
      </c>
      <c r="R28" s="2">
        <v>0</v>
      </c>
      <c r="S28" s="2">
        <v>0</v>
      </c>
      <c r="T28" s="133">
        <f t="shared" si="17"/>
        <v>0</v>
      </c>
      <c r="U28" s="2" t="s">
        <v>515</v>
      </c>
      <c r="V28" s="2">
        <v>1</v>
      </c>
      <c r="W28" s="134">
        <v>0.5</v>
      </c>
      <c r="X28" s="133">
        <f t="shared" si="18"/>
        <v>2.65</v>
      </c>
      <c r="Y28" s="2" t="s">
        <v>515</v>
      </c>
      <c r="Z28" s="2">
        <v>1</v>
      </c>
      <c r="AA28" s="134">
        <v>0.5</v>
      </c>
      <c r="AB28" s="134">
        <f t="shared" si="19"/>
        <v>2.75</v>
      </c>
      <c r="AC28" s="2">
        <v>1</v>
      </c>
      <c r="AD28" s="2">
        <v>1</v>
      </c>
      <c r="AE28" s="134">
        <v>4</v>
      </c>
      <c r="AF28" s="133">
        <f t="shared" si="20"/>
        <v>55.2</v>
      </c>
      <c r="AG28" s="2">
        <v>1</v>
      </c>
      <c r="AH28" s="2">
        <v>1</v>
      </c>
      <c r="AI28" s="135">
        <v>4</v>
      </c>
      <c r="AJ28" s="133">
        <f t="shared" si="21"/>
        <v>17.600000000000001</v>
      </c>
      <c r="AK28" s="2" t="s">
        <v>496</v>
      </c>
      <c r="AM28" s="134">
        <v>0.16</v>
      </c>
      <c r="AN28" s="133">
        <f t="shared" si="22"/>
        <v>0.08</v>
      </c>
      <c r="AO28">
        <f t="shared" si="23"/>
        <v>23.687666666666669</v>
      </c>
      <c r="AP28" s="58">
        <f t="shared" si="24"/>
        <v>710.63000000000011</v>
      </c>
      <c r="AQ28" s="58"/>
    </row>
    <row r="29" spans="1:43" ht="15">
      <c r="A29" s="67" t="s">
        <v>455</v>
      </c>
      <c r="B29" s="68" t="s">
        <v>348</v>
      </c>
      <c r="C29" s="92">
        <v>10</v>
      </c>
      <c r="D29" s="2">
        <v>1</v>
      </c>
      <c r="E29" s="2">
        <v>1</v>
      </c>
      <c r="F29" s="2">
        <v>4</v>
      </c>
      <c r="G29" s="134"/>
      <c r="H29" s="134">
        <f t="shared" si="14"/>
        <v>31.6</v>
      </c>
      <c r="I29" s="2">
        <v>1</v>
      </c>
      <c r="J29" s="2">
        <v>1</v>
      </c>
      <c r="K29" s="2">
        <v>4</v>
      </c>
      <c r="L29" s="134">
        <f t="shared" si="15"/>
        <v>31.6</v>
      </c>
      <c r="M29" s="2" t="s">
        <v>740</v>
      </c>
      <c r="N29" s="2" t="s">
        <v>741</v>
      </c>
      <c r="O29" s="2">
        <v>16</v>
      </c>
      <c r="P29" s="133">
        <f t="shared" si="16"/>
        <v>84.8</v>
      </c>
      <c r="Q29" s="2">
        <v>0</v>
      </c>
      <c r="R29" s="2">
        <v>0</v>
      </c>
      <c r="S29" s="2">
        <v>0</v>
      </c>
      <c r="T29" s="133">
        <f t="shared" si="17"/>
        <v>0</v>
      </c>
      <c r="U29" s="2" t="s">
        <v>502</v>
      </c>
      <c r="W29" s="134">
        <v>1</v>
      </c>
      <c r="X29" s="133">
        <f t="shared" si="18"/>
        <v>5.3</v>
      </c>
      <c r="AA29" s="134">
        <v>1</v>
      </c>
      <c r="AB29" s="134">
        <f t="shared" si="19"/>
        <v>5.5</v>
      </c>
      <c r="AC29" s="2">
        <v>1</v>
      </c>
      <c r="AD29" s="2">
        <v>1</v>
      </c>
      <c r="AE29" s="134">
        <v>4</v>
      </c>
      <c r="AF29" s="133">
        <f t="shared" si="20"/>
        <v>55.2</v>
      </c>
      <c r="AG29" s="2">
        <v>3</v>
      </c>
      <c r="AH29" s="2">
        <v>1</v>
      </c>
      <c r="AI29" s="135">
        <v>12</v>
      </c>
      <c r="AJ29" s="133">
        <f t="shared" si="21"/>
        <v>52.800000000000004</v>
      </c>
      <c r="AK29" s="2">
        <v>1</v>
      </c>
      <c r="AL29" s="2">
        <v>1</v>
      </c>
      <c r="AM29" s="134">
        <v>4</v>
      </c>
      <c r="AN29" s="133">
        <f t="shared" si="22"/>
        <v>2</v>
      </c>
      <c r="AO29">
        <f t="shared" si="23"/>
        <v>8.7833333333333332</v>
      </c>
      <c r="AP29" s="58">
        <f t="shared" si="24"/>
        <v>263.5</v>
      </c>
      <c r="AQ29" s="58"/>
    </row>
    <row r="30" spans="1:43" ht="15">
      <c r="A30" s="67" t="s">
        <v>456</v>
      </c>
      <c r="B30" s="68" t="s">
        <v>362</v>
      </c>
      <c r="C30" s="92">
        <v>9</v>
      </c>
      <c r="D30" s="2">
        <v>1</v>
      </c>
      <c r="E30" s="2">
        <v>1</v>
      </c>
      <c r="F30" s="2">
        <v>4</v>
      </c>
      <c r="G30" s="134"/>
      <c r="H30" s="134">
        <f t="shared" si="14"/>
        <v>31.6</v>
      </c>
      <c r="I30" s="2">
        <v>1</v>
      </c>
      <c r="J30" s="2">
        <v>1</v>
      </c>
      <c r="K30" s="2">
        <v>4</v>
      </c>
      <c r="L30" s="134">
        <f t="shared" si="15"/>
        <v>31.6</v>
      </c>
      <c r="M30" s="2" t="s">
        <v>740</v>
      </c>
      <c r="N30" s="2" t="s">
        <v>742</v>
      </c>
      <c r="O30" s="2">
        <v>16</v>
      </c>
      <c r="P30" s="133">
        <f t="shared" si="16"/>
        <v>84.8</v>
      </c>
      <c r="Q30" s="2">
        <v>0</v>
      </c>
      <c r="R30" s="2">
        <v>0</v>
      </c>
      <c r="S30" s="2">
        <v>0</v>
      </c>
      <c r="T30" s="133">
        <f t="shared" si="17"/>
        <v>0</v>
      </c>
      <c r="U30" s="2" t="s">
        <v>502</v>
      </c>
      <c r="W30" s="134">
        <v>1</v>
      </c>
      <c r="X30" s="133">
        <f t="shared" si="18"/>
        <v>5.3</v>
      </c>
      <c r="AA30" s="134">
        <v>1</v>
      </c>
      <c r="AB30" s="134">
        <f t="shared" si="19"/>
        <v>5.5</v>
      </c>
      <c r="AC30" s="2">
        <v>1</v>
      </c>
      <c r="AD30" s="2">
        <v>1</v>
      </c>
      <c r="AE30" s="134">
        <v>4</v>
      </c>
      <c r="AF30" s="133">
        <f t="shared" si="20"/>
        <v>55.2</v>
      </c>
      <c r="AG30" s="2">
        <v>3</v>
      </c>
      <c r="AH30" s="2">
        <v>1</v>
      </c>
      <c r="AI30" s="135">
        <v>12</v>
      </c>
      <c r="AJ30" s="133">
        <f t="shared" si="21"/>
        <v>52.800000000000004</v>
      </c>
      <c r="AK30" s="2">
        <v>1</v>
      </c>
      <c r="AL30" s="2">
        <v>1</v>
      </c>
      <c r="AM30" s="134">
        <v>4</v>
      </c>
      <c r="AN30" s="133">
        <f t="shared" si="22"/>
        <v>2</v>
      </c>
      <c r="AO30">
        <f t="shared" si="23"/>
        <v>8.7833333333333332</v>
      </c>
      <c r="AP30" s="58">
        <f t="shared" si="24"/>
        <v>263.5</v>
      </c>
      <c r="AQ30" s="58"/>
    </row>
    <row r="31" spans="1:43" ht="15">
      <c r="A31" s="67" t="s">
        <v>457</v>
      </c>
      <c r="B31" s="68" t="s">
        <v>458</v>
      </c>
      <c r="C31" s="73">
        <v>6</v>
      </c>
      <c r="D31" s="2" t="s">
        <v>516</v>
      </c>
      <c r="E31" s="2">
        <v>1</v>
      </c>
      <c r="F31" s="2">
        <v>2</v>
      </c>
      <c r="G31" s="134"/>
      <c r="H31" s="134">
        <f t="shared" si="14"/>
        <v>15.8</v>
      </c>
      <c r="I31" s="2" t="s">
        <v>502</v>
      </c>
      <c r="J31" s="2">
        <v>1</v>
      </c>
      <c r="K31" s="2">
        <v>1</v>
      </c>
      <c r="L31" s="134">
        <f t="shared" si="15"/>
        <v>7.9</v>
      </c>
      <c r="M31" s="2" t="s">
        <v>740</v>
      </c>
      <c r="N31" s="2">
        <v>2</v>
      </c>
      <c r="O31" s="2">
        <v>60</v>
      </c>
      <c r="P31" s="133">
        <f t="shared" si="16"/>
        <v>318</v>
      </c>
      <c r="Q31" s="2">
        <v>2</v>
      </c>
      <c r="R31" s="2">
        <v>1</v>
      </c>
      <c r="S31" s="2">
        <v>8</v>
      </c>
      <c r="T31" s="133">
        <f t="shared" si="17"/>
        <v>34.4</v>
      </c>
      <c r="U31" s="2" t="s">
        <v>515</v>
      </c>
      <c r="V31" s="2">
        <v>1</v>
      </c>
      <c r="W31" s="134">
        <v>0.16</v>
      </c>
      <c r="X31" s="133">
        <f t="shared" si="18"/>
        <v>0.84799999999999998</v>
      </c>
      <c r="Y31" s="2" t="s">
        <v>515</v>
      </c>
      <c r="Z31" s="2">
        <v>1</v>
      </c>
      <c r="AA31" s="134">
        <v>0.16</v>
      </c>
      <c r="AB31" s="134">
        <f t="shared" si="19"/>
        <v>0.88</v>
      </c>
      <c r="AC31" s="2" t="s">
        <v>517</v>
      </c>
      <c r="AD31" s="2">
        <v>1</v>
      </c>
      <c r="AE31" s="134">
        <v>2</v>
      </c>
      <c r="AF31" s="133">
        <f t="shared" si="20"/>
        <v>27.6</v>
      </c>
      <c r="AG31" s="2">
        <v>2</v>
      </c>
      <c r="AH31" s="2">
        <v>1</v>
      </c>
      <c r="AI31" s="135">
        <v>8</v>
      </c>
      <c r="AJ31" s="133">
        <f t="shared" si="21"/>
        <v>35.200000000000003</v>
      </c>
      <c r="AK31" s="2" t="s">
        <v>515</v>
      </c>
      <c r="AL31" s="2">
        <v>2</v>
      </c>
      <c r="AM31" s="134">
        <v>1</v>
      </c>
      <c r="AN31" s="133">
        <f t="shared" si="22"/>
        <v>0.5</v>
      </c>
      <c r="AO31">
        <f t="shared" si="23"/>
        <v>14.676</v>
      </c>
      <c r="AP31" s="58">
        <f t="shared" si="24"/>
        <v>440.28000000000003</v>
      </c>
      <c r="AQ31" s="58"/>
    </row>
    <row r="32" spans="1:43" ht="15">
      <c r="A32" s="70" t="s">
        <v>459</v>
      </c>
      <c r="B32" s="71" t="s">
        <v>268</v>
      </c>
      <c r="C32" s="93">
        <v>9</v>
      </c>
      <c r="D32" s="2">
        <v>2</v>
      </c>
      <c r="E32" s="2">
        <v>1</v>
      </c>
      <c r="F32" s="2">
        <v>8</v>
      </c>
      <c r="G32" s="134"/>
      <c r="H32" s="134">
        <f t="shared" si="14"/>
        <v>63.2</v>
      </c>
      <c r="I32" s="2">
        <v>1</v>
      </c>
      <c r="J32" s="2">
        <v>1</v>
      </c>
      <c r="K32" s="2">
        <v>4</v>
      </c>
      <c r="L32" s="134">
        <f t="shared" si="15"/>
        <v>31.6</v>
      </c>
      <c r="M32" s="2" t="s">
        <v>740</v>
      </c>
      <c r="N32" s="2">
        <v>1</v>
      </c>
      <c r="O32" s="2">
        <v>4</v>
      </c>
      <c r="P32" s="133">
        <f t="shared" si="16"/>
        <v>21.2</v>
      </c>
      <c r="Q32" s="2" t="s">
        <v>743</v>
      </c>
      <c r="R32" s="2">
        <v>1</v>
      </c>
      <c r="S32" s="2">
        <v>1</v>
      </c>
      <c r="T32" s="133">
        <f t="shared" si="17"/>
        <v>4.3</v>
      </c>
      <c r="U32" s="2" t="s">
        <v>502</v>
      </c>
      <c r="V32" s="2">
        <v>1</v>
      </c>
      <c r="W32" s="134">
        <v>1</v>
      </c>
      <c r="X32" s="133">
        <f t="shared" si="18"/>
        <v>5.3</v>
      </c>
      <c r="Y32" s="2" t="s">
        <v>518</v>
      </c>
      <c r="Z32" s="2">
        <v>1</v>
      </c>
      <c r="AA32" s="134">
        <v>2</v>
      </c>
      <c r="AB32" s="134">
        <f t="shared" si="19"/>
        <v>11</v>
      </c>
      <c r="AC32" s="2" t="s">
        <v>513</v>
      </c>
      <c r="AD32" s="2">
        <v>1</v>
      </c>
      <c r="AE32" s="134">
        <v>2</v>
      </c>
      <c r="AF32" s="133">
        <f t="shared" si="20"/>
        <v>27.6</v>
      </c>
      <c r="AG32" s="2">
        <v>3</v>
      </c>
      <c r="AH32" s="2">
        <v>1</v>
      </c>
      <c r="AI32" s="135">
        <v>12</v>
      </c>
      <c r="AJ32" s="133">
        <f t="shared" si="21"/>
        <v>52.800000000000004</v>
      </c>
      <c r="AK32" s="2">
        <v>1</v>
      </c>
      <c r="AL32" s="2">
        <v>1</v>
      </c>
      <c r="AM32" s="134">
        <v>4</v>
      </c>
      <c r="AN32" s="133">
        <f t="shared" si="22"/>
        <v>2</v>
      </c>
      <c r="AO32">
        <f t="shared" si="23"/>
        <v>7.1233333333333331</v>
      </c>
      <c r="AP32" s="58">
        <f t="shared" si="24"/>
        <v>213.7</v>
      </c>
      <c r="AQ32" s="58"/>
    </row>
    <row r="33" spans="1:43" ht="15">
      <c r="A33" s="70" t="s">
        <v>460</v>
      </c>
      <c r="B33" s="71" t="s">
        <v>75</v>
      </c>
      <c r="C33" s="93">
        <v>8</v>
      </c>
      <c r="D33" s="2">
        <v>2</v>
      </c>
      <c r="E33" s="2">
        <v>1</v>
      </c>
      <c r="F33" s="2">
        <v>8</v>
      </c>
      <c r="G33" s="134"/>
      <c r="H33" s="134">
        <f t="shared" si="14"/>
        <v>63.2</v>
      </c>
      <c r="I33" s="2">
        <v>1</v>
      </c>
      <c r="J33" s="2">
        <v>1</v>
      </c>
      <c r="K33" s="2">
        <v>4</v>
      </c>
      <c r="L33" s="134">
        <f t="shared" si="15"/>
        <v>31.6</v>
      </c>
      <c r="M33" s="2" t="s">
        <v>740</v>
      </c>
      <c r="N33" s="2">
        <v>1</v>
      </c>
      <c r="O33" s="2">
        <v>4</v>
      </c>
      <c r="P33" s="133">
        <f t="shared" si="16"/>
        <v>21.2</v>
      </c>
      <c r="Q33" s="2" t="s">
        <v>516</v>
      </c>
      <c r="R33" s="2">
        <v>1</v>
      </c>
      <c r="S33" s="2">
        <v>1</v>
      </c>
      <c r="T33" s="133">
        <f t="shared" si="17"/>
        <v>4.3</v>
      </c>
      <c r="U33" s="2" t="s">
        <v>502</v>
      </c>
      <c r="V33" s="2">
        <v>1</v>
      </c>
      <c r="W33" s="134">
        <v>1</v>
      </c>
      <c r="X33" s="133">
        <f t="shared" si="18"/>
        <v>5.3</v>
      </c>
      <c r="Y33" s="2" t="s">
        <v>518</v>
      </c>
      <c r="Z33" s="2">
        <v>1</v>
      </c>
      <c r="AA33" s="134">
        <v>2</v>
      </c>
      <c r="AB33" s="134">
        <f t="shared" si="19"/>
        <v>11</v>
      </c>
      <c r="AC33" s="2" t="s">
        <v>513</v>
      </c>
      <c r="AD33" s="2">
        <v>1</v>
      </c>
      <c r="AE33" s="134">
        <v>2</v>
      </c>
      <c r="AF33" s="133">
        <f t="shared" si="20"/>
        <v>27.6</v>
      </c>
      <c r="AG33" s="2">
        <v>3</v>
      </c>
      <c r="AH33" s="2">
        <v>1</v>
      </c>
      <c r="AI33" s="135">
        <v>12</v>
      </c>
      <c r="AJ33" s="133">
        <f t="shared" si="21"/>
        <v>52.800000000000004</v>
      </c>
      <c r="AK33" s="2">
        <v>1</v>
      </c>
      <c r="AL33" s="2">
        <v>1</v>
      </c>
      <c r="AM33" s="134">
        <v>4</v>
      </c>
      <c r="AN33" s="133">
        <f t="shared" si="22"/>
        <v>2</v>
      </c>
      <c r="AO33">
        <f t="shared" si="23"/>
        <v>7.1233333333333331</v>
      </c>
      <c r="AP33" s="58">
        <f t="shared" si="24"/>
        <v>213.7</v>
      </c>
      <c r="AQ33" s="58"/>
    </row>
    <row r="34" spans="1:43" ht="15">
      <c r="A34" s="67" t="s">
        <v>461</v>
      </c>
      <c r="B34" s="68" t="s">
        <v>278</v>
      </c>
      <c r="C34" s="73">
        <v>7</v>
      </c>
      <c r="D34" s="2">
        <v>2</v>
      </c>
      <c r="E34" s="2">
        <v>1</v>
      </c>
      <c r="F34" s="2">
        <v>8</v>
      </c>
      <c r="G34" s="134"/>
      <c r="H34" s="134">
        <f t="shared" si="14"/>
        <v>63.2</v>
      </c>
      <c r="I34" s="2">
        <v>1</v>
      </c>
      <c r="J34" s="2">
        <v>1</v>
      </c>
      <c r="K34" s="2">
        <v>4</v>
      </c>
      <c r="L34" s="134">
        <f t="shared" si="15"/>
        <v>31.6</v>
      </c>
      <c r="M34" s="2" t="s">
        <v>740</v>
      </c>
      <c r="N34" s="2">
        <v>1</v>
      </c>
      <c r="O34" s="2">
        <v>4</v>
      </c>
      <c r="P34" s="133">
        <f t="shared" si="16"/>
        <v>21.2</v>
      </c>
      <c r="Q34" s="2" t="s">
        <v>744</v>
      </c>
      <c r="R34" s="2">
        <v>1</v>
      </c>
      <c r="S34" s="2">
        <v>1</v>
      </c>
      <c r="T34" s="133">
        <f t="shared" si="17"/>
        <v>4.3</v>
      </c>
      <c r="U34" s="2" t="s">
        <v>502</v>
      </c>
      <c r="V34" s="2">
        <v>1</v>
      </c>
      <c r="W34" s="134">
        <v>1</v>
      </c>
      <c r="X34" s="133">
        <f t="shared" si="18"/>
        <v>5.3</v>
      </c>
      <c r="Y34" s="2" t="s">
        <v>518</v>
      </c>
      <c r="Z34" s="2">
        <v>1</v>
      </c>
      <c r="AA34" s="134">
        <v>2</v>
      </c>
      <c r="AB34" s="134">
        <f t="shared" si="19"/>
        <v>11</v>
      </c>
      <c r="AC34" s="2" t="s">
        <v>513</v>
      </c>
      <c r="AD34" s="2">
        <v>1</v>
      </c>
      <c r="AE34" s="134">
        <v>2</v>
      </c>
      <c r="AF34" s="133">
        <f t="shared" si="20"/>
        <v>27.6</v>
      </c>
      <c r="AG34" s="2">
        <v>3</v>
      </c>
      <c r="AH34" s="2">
        <v>1</v>
      </c>
      <c r="AI34" s="135">
        <v>12</v>
      </c>
      <c r="AJ34" s="133">
        <f t="shared" si="21"/>
        <v>52.800000000000004</v>
      </c>
      <c r="AK34" s="2">
        <v>1</v>
      </c>
      <c r="AL34" s="2">
        <v>1</v>
      </c>
      <c r="AM34" s="134">
        <v>4</v>
      </c>
      <c r="AN34" s="133">
        <f t="shared" si="22"/>
        <v>2</v>
      </c>
      <c r="AO34">
        <f t="shared" si="23"/>
        <v>7.1233333333333331</v>
      </c>
      <c r="AP34" s="58">
        <f t="shared" si="24"/>
        <v>213.7</v>
      </c>
      <c r="AQ34" s="58"/>
    </row>
    <row r="35" spans="1:43" ht="15">
      <c r="A35" s="101" t="s">
        <v>472</v>
      </c>
      <c r="B35" s="95" t="s">
        <v>420</v>
      </c>
      <c r="C35" s="102">
        <v>5</v>
      </c>
      <c r="D35" s="2">
        <v>7</v>
      </c>
      <c r="E35" s="2">
        <v>1</v>
      </c>
      <c r="F35" s="2">
        <v>28</v>
      </c>
      <c r="G35" s="134"/>
      <c r="H35" s="134">
        <f t="shared" si="14"/>
        <v>221.20000000000002</v>
      </c>
      <c r="I35" s="2">
        <v>1</v>
      </c>
      <c r="J35" s="2">
        <v>1</v>
      </c>
      <c r="K35" s="2">
        <v>4</v>
      </c>
      <c r="L35" s="134">
        <f t="shared" si="15"/>
        <v>31.6</v>
      </c>
      <c r="M35" s="2" t="s">
        <v>740</v>
      </c>
      <c r="N35" s="2" t="s">
        <v>745</v>
      </c>
      <c r="O35" s="2">
        <v>4</v>
      </c>
      <c r="P35" s="133">
        <f t="shared" si="16"/>
        <v>21.2</v>
      </c>
      <c r="Q35" s="2">
        <v>0</v>
      </c>
      <c r="R35" s="2">
        <v>0</v>
      </c>
      <c r="S35" s="2">
        <v>0</v>
      </c>
      <c r="T35" s="133">
        <f t="shared" si="17"/>
        <v>0</v>
      </c>
      <c r="U35" s="2" t="s">
        <v>495</v>
      </c>
      <c r="V35" s="2">
        <v>1</v>
      </c>
      <c r="W35" s="134">
        <v>8.3000000000000004E-2</v>
      </c>
      <c r="X35" s="133">
        <f t="shared" si="18"/>
        <v>0.43990000000000001</v>
      </c>
      <c r="Y35" s="2" t="s">
        <v>515</v>
      </c>
      <c r="Z35" s="2">
        <v>1</v>
      </c>
      <c r="AA35" s="134">
        <v>0.5</v>
      </c>
      <c r="AB35" s="134">
        <f t="shared" si="19"/>
        <v>2.75</v>
      </c>
      <c r="AC35" s="2">
        <v>1</v>
      </c>
      <c r="AD35" s="2">
        <v>1</v>
      </c>
      <c r="AE35" s="134">
        <v>4</v>
      </c>
      <c r="AF35" s="133">
        <f t="shared" si="20"/>
        <v>55.2</v>
      </c>
      <c r="AG35" s="2">
        <v>7</v>
      </c>
      <c r="AH35" s="2">
        <v>1</v>
      </c>
      <c r="AI35" s="135">
        <v>28</v>
      </c>
      <c r="AJ35" s="133">
        <f t="shared" si="21"/>
        <v>123.20000000000002</v>
      </c>
      <c r="AK35" s="2" t="s">
        <v>502</v>
      </c>
      <c r="AL35" s="2">
        <v>1</v>
      </c>
      <c r="AM35" s="134">
        <v>1</v>
      </c>
      <c r="AN35" s="133">
        <f t="shared" si="22"/>
        <v>0.5</v>
      </c>
      <c r="AO35">
        <f t="shared" si="23"/>
        <v>15.188333333333334</v>
      </c>
      <c r="AP35" s="58">
        <f t="shared" si="24"/>
        <v>455.65000000000003</v>
      </c>
      <c r="AQ35" s="58"/>
    </row>
    <row r="36" spans="1:43" ht="15">
      <c r="A36" s="94" t="s">
        <v>462</v>
      </c>
      <c r="B36" s="95" t="s">
        <v>330</v>
      </c>
      <c r="C36" s="96">
        <v>11</v>
      </c>
      <c r="D36" s="2">
        <v>2</v>
      </c>
      <c r="E36" s="2">
        <v>1</v>
      </c>
      <c r="F36" s="2">
        <v>8</v>
      </c>
      <c r="G36" s="134"/>
      <c r="H36" s="134">
        <f t="shared" si="14"/>
        <v>63.2</v>
      </c>
      <c r="I36" s="2">
        <v>1</v>
      </c>
      <c r="J36" s="2">
        <v>1</v>
      </c>
      <c r="K36" s="2">
        <v>4</v>
      </c>
      <c r="L36" s="134">
        <f t="shared" si="15"/>
        <v>31.6</v>
      </c>
      <c r="M36" s="2" t="s">
        <v>740</v>
      </c>
      <c r="N36" s="2">
        <v>2</v>
      </c>
      <c r="O36" s="2">
        <v>60</v>
      </c>
      <c r="P36" s="133">
        <f t="shared" si="16"/>
        <v>318</v>
      </c>
      <c r="Q36" s="2">
        <v>0</v>
      </c>
      <c r="R36" s="2">
        <v>0</v>
      </c>
      <c r="S36" s="2">
        <v>0</v>
      </c>
      <c r="T36" s="133">
        <f t="shared" si="17"/>
        <v>0</v>
      </c>
      <c r="U36" s="2">
        <v>0</v>
      </c>
      <c r="V36" s="2">
        <v>0</v>
      </c>
      <c r="W36" s="134">
        <v>0</v>
      </c>
      <c r="X36" s="133">
        <f t="shared" si="18"/>
        <v>0</v>
      </c>
      <c r="Y36" s="2">
        <v>2</v>
      </c>
      <c r="Z36" s="2">
        <v>1</v>
      </c>
      <c r="AA36" s="134">
        <v>8</v>
      </c>
      <c r="AB36" s="134">
        <f t="shared" si="19"/>
        <v>44</v>
      </c>
      <c r="AC36" s="2">
        <v>2</v>
      </c>
      <c r="AD36" s="2">
        <v>1</v>
      </c>
      <c r="AE36" s="134">
        <v>8</v>
      </c>
      <c r="AF36" s="133">
        <f t="shared" si="20"/>
        <v>110.4</v>
      </c>
      <c r="AG36" s="2">
        <v>2</v>
      </c>
      <c r="AH36" s="2">
        <v>2</v>
      </c>
      <c r="AI36" s="135">
        <v>16</v>
      </c>
      <c r="AJ36" s="133">
        <f t="shared" si="21"/>
        <v>70.400000000000006</v>
      </c>
      <c r="AK36" s="2">
        <v>2</v>
      </c>
      <c r="AL36" s="2">
        <v>1</v>
      </c>
      <c r="AM36" s="134">
        <v>8</v>
      </c>
      <c r="AN36" s="133">
        <f t="shared" si="22"/>
        <v>4</v>
      </c>
      <c r="AO36">
        <f t="shared" si="23"/>
        <v>21.386666666666667</v>
      </c>
      <c r="AP36" s="58">
        <f t="shared" si="24"/>
        <v>641.6</v>
      </c>
      <c r="AQ36" s="58"/>
    </row>
    <row r="37" spans="1:43" ht="15">
      <c r="A37" s="67" t="s">
        <v>463</v>
      </c>
      <c r="B37" s="68" t="s">
        <v>339</v>
      </c>
      <c r="C37" s="69">
        <v>9</v>
      </c>
      <c r="D37" s="2">
        <v>2</v>
      </c>
      <c r="E37" s="2">
        <v>1</v>
      </c>
      <c r="F37" s="2">
        <v>8</v>
      </c>
      <c r="G37" s="134"/>
      <c r="H37" s="134">
        <f t="shared" si="14"/>
        <v>63.2</v>
      </c>
      <c r="I37" s="2">
        <v>1</v>
      </c>
      <c r="J37" s="2">
        <v>1</v>
      </c>
      <c r="K37" s="2">
        <v>4</v>
      </c>
      <c r="L37" s="134">
        <f t="shared" si="15"/>
        <v>31.6</v>
      </c>
      <c r="M37" s="2" t="s">
        <v>746</v>
      </c>
      <c r="N37" s="2">
        <v>2</v>
      </c>
      <c r="O37" s="2">
        <v>60</v>
      </c>
      <c r="P37" s="133">
        <f t="shared" si="16"/>
        <v>318</v>
      </c>
      <c r="Q37" s="2">
        <v>0</v>
      </c>
      <c r="R37" s="2">
        <v>0</v>
      </c>
      <c r="S37" s="2">
        <v>0</v>
      </c>
      <c r="T37" s="133">
        <f t="shared" si="17"/>
        <v>0</v>
      </c>
      <c r="U37" s="2">
        <v>0</v>
      </c>
      <c r="V37" s="2">
        <v>0</v>
      </c>
      <c r="W37" s="134">
        <v>0</v>
      </c>
      <c r="X37" s="133">
        <f t="shared" si="18"/>
        <v>0</v>
      </c>
      <c r="Y37" s="2">
        <v>2</v>
      </c>
      <c r="Z37" s="2">
        <v>1</v>
      </c>
      <c r="AA37" s="134">
        <v>8</v>
      </c>
      <c r="AB37" s="134">
        <f t="shared" si="19"/>
        <v>44</v>
      </c>
      <c r="AC37" s="2">
        <v>2</v>
      </c>
      <c r="AD37" s="2">
        <v>1</v>
      </c>
      <c r="AE37" s="134">
        <v>8</v>
      </c>
      <c r="AF37" s="133">
        <f t="shared" si="20"/>
        <v>110.4</v>
      </c>
      <c r="AG37" s="2">
        <v>2</v>
      </c>
      <c r="AH37" s="2">
        <v>2</v>
      </c>
      <c r="AI37" s="135">
        <v>16</v>
      </c>
      <c r="AJ37" s="133">
        <f t="shared" si="21"/>
        <v>70.400000000000006</v>
      </c>
      <c r="AK37" s="2">
        <v>2</v>
      </c>
      <c r="AL37" s="2">
        <v>1</v>
      </c>
      <c r="AM37" s="134">
        <v>8</v>
      </c>
      <c r="AN37" s="133">
        <f t="shared" si="22"/>
        <v>4</v>
      </c>
      <c r="AO37">
        <f t="shared" si="23"/>
        <v>21.386666666666667</v>
      </c>
      <c r="AP37" s="58">
        <f t="shared" si="24"/>
        <v>641.6</v>
      </c>
      <c r="AQ37" s="58"/>
    </row>
    <row r="38" spans="1:43" ht="15">
      <c r="A38" s="67" t="s">
        <v>464</v>
      </c>
      <c r="B38" s="68" t="s">
        <v>104</v>
      </c>
      <c r="C38" s="69">
        <v>7</v>
      </c>
      <c r="D38" s="2">
        <v>2</v>
      </c>
      <c r="E38" s="2">
        <v>1</v>
      </c>
      <c r="F38" s="2">
        <v>8</v>
      </c>
      <c r="G38" s="134"/>
      <c r="H38" s="134">
        <f t="shared" si="14"/>
        <v>63.2</v>
      </c>
      <c r="I38" s="2">
        <v>1</v>
      </c>
      <c r="J38" s="2">
        <v>1</v>
      </c>
      <c r="K38" s="2">
        <v>4</v>
      </c>
      <c r="L38" s="134">
        <f t="shared" si="15"/>
        <v>31.6</v>
      </c>
      <c r="M38" s="2" t="s">
        <v>746</v>
      </c>
      <c r="N38" s="2">
        <v>2</v>
      </c>
      <c r="O38" s="2">
        <v>60</v>
      </c>
      <c r="P38" s="133">
        <f t="shared" si="16"/>
        <v>318</v>
      </c>
      <c r="Q38" s="2">
        <v>0</v>
      </c>
      <c r="R38" s="2">
        <v>0</v>
      </c>
      <c r="S38" s="2">
        <v>0</v>
      </c>
      <c r="T38" s="133">
        <f t="shared" si="17"/>
        <v>0</v>
      </c>
      <c r="U38" s="2">
        <v>0</v>
      </c>
      <c r="V38" s="2">
        <v>0</v>
      </c>
      <c r="W38" s="134">
        <v>0</v>
      </c>
      <c r="X38" s="133">
        <f t="shared" si="18"/>
        <v>0</v>
      </c>
      <c r="Y38" s="2">
        <v>2</v>
      </c>
      <c r="Z38" s="2">
        <v>1</v>
      </c>
      <c r="AA38" s="134">
        <v>8</v>
      </c>
      <c r="AB38" s="134">
        <f t="shared" si="19"/>
        <v>44</v>
      </c>
      <c r="AC38" s="2">
        <v>2</v>
      </c>
      <c r="AD38" s="2">
        <v>1</v>
      </c>
      <c r="AE38" s="134">
        <v>8</v>
      </c>
      <c r="AF38" s="133">
        <f t="shared" si="20"/>
        <v>110.4</v>
      </c>
      <c r="AG38" s="2">
        <v>2</v>
      </c>
      <c r="AH38" s="2">
        <v>2</v>
      </c>
      <c r="AI38" s="135">
        <v>16</v>
      </c>
      <c r="AJ38" s="133">
        <f t="shared" si="21"/>
        <v>70.400000000000006</v>
      </c>
      <c r="AK38" s="2">
        <v>2</v>
      </c>
      <c r="AL38" s="2">
        <v>1</v>
      </c>
      <c r="AM38" s="134">
        <v>8</v>
      </c>
      <c r="AN38" s="133">
        <f t="shared" si="22"/>
        <v>4</v>
      </c>
      <c r="AO38">
        <f t="shared" si="23"/>
        <v>21.386666666666667</v>
      </c>
      <c r="AP38" s="58">
        <f t="shared" si="24"/>
        <v>641.6</v>
      </c>
      <c r="AQ38" s="58"/>
    </row>
    <row r="39" spans="1:43" ht="15">
      <c r="A39" s="70" t="s">
        <v>465</v>
      </c>
      <c r="B39" s="71" t="s">
        <v>96</v>
      </c>
      <c r="C39" s="72">
        <v>10</v>
      </c>
      <c r="D39" s="2">
        <v>1</v>
      </c>
      <c r="E39" s="2">
        <v>1</v>
      </c>
      <c r="F39" s="2">
        <v>4</v>
      </c>
      <c r="G39" s="134"/>
      <c r="H39" s="134">
        <f t="shared" si="14"/>
        <v>31.6</v>
      </c>
      <c r="I39" s="2">
        <v>1</v>
      </c>
      <c r="J39" s="2">
        <v>1</v>
      </c>
      <c r="K39" s="2">
        <v>4</v>
      </c>
      <c r="L39" s="134">
        <f t="shared" si="15"/>
        <v>31.6</v>
      </c>
      <c r="M39" s="2" t="s">
        <v>746</v>
      </c>
      <c r="N39" s="2" t="s">
        <v>747</v>
      </c>
      <c r="O39" s="2">
        <v>1</v>
      </c>
      <c r="P39" s="133">
        <f t="shared" si="16"/>
        <v>5.3</v>
      </c>
      <c r="Q39" s="2">
        <v>0</v>
      </c>
      <c r="R39" s="2">
        <v>0</v>
      </c>
      <c r="S39" s="2">
        <v>0</v>
      </c>
      <c r="T39" s="133">
        <f t="shared" si="17"/>
        <v>0</v>
      </c>
      <c r="U39" s="2" t="s">
        <v>496</v>
      </c>
      <c r="V39" s="2">
        <v>1</v>
      </c>
      <c r="W39" s="134">
        <v>0.5</v>
      </c>
      <c r="X39" s="133">
        <f t="shared" si="18"/>
        <v>2.65</v>
      </c>
      <c r="Y39" s="2" t="s">
        <v>515</v>
      </c>
      <c r="Z39" s="2">
        <v>1</v>
      </c>
      <c r="AA39" s="134">
        <v>0.5</v>
      </c>
      <c r="AB39" s="134">
        <f t="shared" si="19"/>
        <v>2.75</v>
      </c>
      <c r="AC39" s="2" t="s">
        <v>517</v>
      </c>
      <c r="AD39" s="2">
        <v>1</v>
      </c>
      <c r="AE39" s="134">
        <v>2</v>
      </c>
      <c r="AF39" s="133">
        <f t="shared" si="20"/>
        <v>27.6</v>
      </c>
      <c r="AG39" s="2">
        <v>2</v>
      </c>
      <c r="AH39" s="2">
        <v>2</v>
      </c>
      <c r="AI39" s="135">
        <v>16</v>
      </c>
      <c r="AJ39" s="133">
        <f t="shared" si="21"/>
        <v>70.400000000000006</v>
      </c>
      <c r="AK39" s="2" t="s">
        <v>502</v>
      </c>
      <c r="AL39" s="2">
        <v>1</v>
      </c>
      <c r="AM39" s="134">
        <v>1</v>
      </c>
      <c r="AN39" s="133">
        <f t="shared" si="22"/>
        <v>0.5</v>
      </c>
      <c r="AO39">
        <f t="shared" si="23"/>
        <v>5.6583333333333332</v>
      </c>
      <c r="AP39" s="58">
        <f t="shared" si="24"/>
        <v>169.75</v>
      </c>
      <c r="AQ39" s="58"/>
    </row>
    <row r="40" spans="1:43" ht="15">
      <c r="A40" s="70" t="s">
        <v>466</v>
      </c>
      <c r="B40" s="71" t="s">
        <v>317</v>
      </c>
      <c r="C40" s="72">
        <v>8</v>
      </c>
      <c r="D40" s="2">
        <v>1</v>
      </c>
      <c r="E40" s="2">
        <v>1</v>
      </c>
      <c r="F40" s="2">
        <v>4</v>
      </c>
      <c r="G40" s="134"/>
      <c r="H40" s="134">
        <f t="shared" si="14"/>
        <v>31.6</v>
      </c>
      <c r="I40" s="2">
        <v>1</v>
      </c>
      <c r="J40" s="2">
        <v>1</v>
      </c>
      <c r="K40" s="2">
        <v>4</v>
      </c>
      <c r="L40" s="134">
        <f t="shared" si="15"/>
        <v>31.6</v>
      </c>
      <c r="M40" s="2" t="s">
        <v>746</v>
      </c>
      <c r="N40" s="2" t="s">
        <v>747</v>
      </c>
      <c r="O40" s="2">
        <v>1</v>
      </c>
      <c r="P40" s="133">
        <f t="shared" si="16"/>
        <v>5.3</v>
      </c>
      <c r="Q40" s="2">
        <v>0</v>
      </c>
      <c r="R40" s="2">
        <v>0</v>
      </c>
      <c r="S40" s="2">
        <v>0</v>
      </c>
      <c r="T40" s="133">
        <f t="shared" si="17"/>
        <v>0</v>
      </c>
      <c r="U40" s="2" t="s">
        <v>496</v>
      </c>
      <c r="V40" s="2">
        <v>1</v>
      </c>
      <c r="W40" s="134">
        <v>0.5</v>
      </c>
      <c r="X40" s="133">
        <f t="shared" si="18"/>
        <v>2.65</v>
      </c>
      <c r="Y40" s="2" t="s">
        <v>515</v>
      </c>
      <c r="Z40" s="2">
        <v>1</v>
      </c>
      <c r="AA40" s="134">
        <v>0.5</v>
      </c>
      <c r="AB40" s="134">
        <f t="shared" si="19"/>
        <v>2.75</v>
      </c>
      <c r="AC40" s="2" t="s">
        <v>517</v>
      </c>
      <c r="AD40" s="2">
        <v>1</v>
      </c>
      <c r="AE40" s="134">
        <v>2</v>
      </c>
      <c r="AF40" s="133">
        <f t="shared" si="20"/>
        <v>27.6</v>
      </c>
      <c r="AG40" s="2">
        <v>2</v>
      </c>
      <c r="AH40" s="2">
        <v>2</v>
      </c>
      <c r="AI40" s="135">
        <v>16</v>
      </c>
      <c r="AJ40" s="133">
        <f t="shared" si="21"/>
        <v>70.400000000000006</v>
      </c>
      <c r="AK40" s="2" t="s">
        <v>502</v>
      </c>
      <c r="AL40" s="2">
        <v>1</v>
      </c>
      <c r="AM40" s="134">
        <v>1</v>
      </c>
      <c r="AN40" s="133">
        <f t="shared" si="22"/>
        <v>0.5</v>
      </c>
      <c r="AO40">
        <f t="shared" si="23"/>
        <v>5.6583333333333332</v>
      </c>
      <c r="AP40" s="58">
        <f t="shared" si="24"/>
        <v>169.75</v>
      </c>
      <c r="AQ40" s="58"/>
    </row>
    <row r="41" spans="1:43" ht="15">
      <c r="A41" s="97" t="s">
        <v>467</v>
      </c>
      <c r="B41" s="98" t="s">
        <v>116</v>
      </c>
      <c r="C41" s="99">
        <v>10</v>
      </c>
      <c r="D41" s="2">
        <v>0</v>
      </c>
      <c r="E41" s="2">
        <v>0</v>
      </c>
      <c r="F41" s="2">
        <v>0</v>
      </c>
      <c r="G41" s="134"/>
      <c r="H41" s="134">
        <f t="shared" si="14"/>
        <v>0</v>
      </c>
      <c r="I41" s="2" t="s">
        <v>502</v>
      </c>
      <c r="J41" s="2">
        <v>1</v>
      </c>
      <c r="K41" s="2">
        <v>1</v>
      </c>
      <c r="L41" s="134">
        <f t="shared" si="15"/>
        <v>7.9</v>
      </c>
      <c r="M41" s="2" t="s">
        <v>746</v>
      </c>
      <c r="N41" s="2" t="s">
        <v>516</v>
      </c>
      <c r="O41" s="2">
        <v>1</v>
      </c>
      <c r="P41" s="133">
        <f t="shared" si="16"/>
        <v>5.3</v>
      </c>
      <c r="Q41" s="2">
        <v>0</v>
      </c>
      <c r="R41" s="2">
        <v>0</v>
      </c>
      <c r="S41" s="2">
        <v>0</v>
      </c>
      <c r="T41" s="133">
        <f t="shared" si="17"/>
        <v>0</v>
      </c>
      <c r="U41" s="2">
        <v>0</v>
      </c>
      <c r="V41" s="2">
        <v>0</v>
      </c>
      <c r="W41" s="134">
        <v>0</v>
      </c>
      <c r="X41" s="133">
        <f t="shared" si="18"/>
        <v>0</v>
      </c>
      <c r="Y41" s="2" t="s">
        <v>516</v>
      </c>
      <c r="Z41" s="2">
        <v>1</v>
      </c>
      <c r="AA41" s="134">
        <v>2</v>
      </c>
      <c r="AB41" s="134">
        <f t="shared" si="19"/>
        <v>11</v>
      </c>
      <c r="AC41" s="2">
        <v>1</v>
      </c>
      <c r="AD41" s="2">
        <v>1</v>
      </c>
      <c r="AE41" s="134">
        <v>4</v>
      </c>
      <c r="AF41" s="133">
        <f t="shared" si="20"/>
        <v>55.2</v>
      </c>
      <c r="AG41" s="2">
        <v>7</v>
      </c>
      <c r="AH41" s="2">
        <v>2</v>
      </c>
      <c r="AI41" s="135">
        <v>56</v>
      </c>
      <c r="AJ41" s="133">
        <f t="shared" si="21"/>
        <v>246.40000000000003</v>
      </c>
      <c r="AK41" s="2">
        <v>0</v>
      </c>
      <c r="AL41" s="2">
        <v>0</v>
      </c>
      <c r="AM41" s="134">
        <v>0</v>
      </c>
      <c r="AN41" s="133">
        <f t="shared" si="22"/>
        <v>0</v>
      </c>
      <c r="AO41">
        <f t="shared" si="23"/>
        <v>10.860000000000001</v>
      </c>
      <c r="AP41" s="58">
        <f t="shared" si="24"/>
        <v>325.8</v>
      </c>
      <c r="AQ41" s="58"/>
    </row>
    <row r="42" spans="1:43" ht="15">
      <c r="A42" s="55" t="s">
        <v>468</v>
      </c>
      <c r="B42" s="55" t="s">
        <v>290</v>
      </c>
      <c r="C42" s="2">
        <v>10</v>
      </c>
      <c r="D42" s="2">
        <v>3</v>
      </c>
      <c r="E42" s="2">
        <v>1</v>
      </c>
      <c r="F42" s="2">
        <v>12</v>
      </c>
      <c r="G42" s="134"/>
      <c r="H42" s="134">
        <f t="shared" si="14"/>
        <v>94.800000000000011</v>
      </c>
      <c r="I42" s="2">
        <v>1</v>
      </c>
      <c r="J42" s="2">
        <v>1</v>
      </c>
      <c r="K42" s="2">
        <v>4</v>
      </c>
      <c r="L42" s="134">
        <f t="shared" si="15"/>
        <v>31.6</v>
      </c>
      <c r="M42" s="2">
        <v>0</v>
      </c>
      <c r="N42" s="2">
        <v>0</v>
      </c>
      <c r="O42" s="2">
        <v>0</v>
      </c>
      <c r="P42" s="133">
        <f t="shared" si="16"/>
        <v>0</v>
      </c>
      <c r="Q42" s="2" t="s">
        <v>747</v>
      </c>
      <c r="R42" s="2">
        <v>1</v>
      </c>
      <c r="S42" s="2">
        <v>1</v>
      </c>
      <c r="T42" s="133">
        <f t="shared" si="17"/>
        <v>4.3</v>
      </c>
      <c r="U42" s="2">
        <v>1</v>
      </c>
      <c r="V42" s="2">
        <v>1</v>
      </c>
      <c r="W42" s="134">
        <v>4</v>
      </c>
      <c r="X42" s="133">
        <f t="shared" si="18"/>
        <v>21.2</v>
      </c>
      <c r="Y42" s="2">
        <v>1</v>
      </c>
      <c r="Z42" s="2">
        <v>1</v>
      </c>
      <c r="AA42" s="134">
        <v>4</v>
      </c>
      <c r="AB42" s="134">
        <f t="shared" si="19"/>
        <v>22</v>
      </c>
      <c r="AC42" s="2">
        <v>1</v>
      </c>
      <c r="AD42" s="2">
        <v>1</v>
      </c>
      <c r="AE42" s="134">
        <v>4</v>
      </c>
      <c r="AF42" s="133">
        <f t="shared" si="20"/>
        <v>55.2</v>
      </c>
      <c r="AG42" s="2">
        <v>1</v>
      </c>
      <c r="AH42" s="2">
        <v>1</v>
      </c>
      <c r="AI42" s="135">
        <v>4</v>
      </c>
      <c r="AJ42" s="133">
        <f t="shared" si="21"/>
        <v>17.600000000000001</v>
      </c>
      <c r="AK42" s="2" t="s">
        <v>516</v>
      </c>
      <c r="AL42" s="2">
        <v>1</v>
      </c>
      <c r="AM42" s="134">
        <v>2</v>
      </c>
      <c r="AN42" s="133">
        <f t="shared" si="22"/>
        <v>1</v>
      </c>
      <c r="AO42">
        <f t="shared" si="23"/>
        <v>7.5500000000000007</v>
      </c>
      <c r="AP42" s="58">
        <f t="shared" si="24"/>
        <v>226.50000000000003</v>
      </c>
      <c r="AQ42" s="58"/>
    </row>
    <row r="43" spans="1:43" ht="15">
      <c r="A43" s="55" t="s">
        <v>469</v>
      </c>
      <c r="B43" s="55" t="s">
        <v>303</v>
      </c>
      <c r="C43" s="2">
        <v>8</v>
      </c>
      <c r="D43" s="2">
        <v>3</v>
      </c>
      <c r="E43" s="2">
        <v>1</v>
      </c>
      <c r="F43" s="2">
        <v>12</v>
      </c>
      <c r="G43" s="134"/>
      <c r="H43" s="134">
        <f t="shared" si="14"/>
        <v>94.800000000000011</v>
      </c>
      <c r="I43" s="2">
        <v>1</v>
      </c>
      <c r="J43" s="2">
        <v>1</v>
      </c>
      <c r="K43" s="2">
        <v>4</v>
      </c>
      <c r="L43" s="134">
        <f t="shared" si="15"/>
        <v>31.6</v>
      </c>
      <c r="M43" s="2" t="s">
        <v>746</v>
      </c>
      <c r="N43" s="2" t="s">
        <v>748</v>
      </c>
      <c r="O43" s="2">
        <v>8</v>
      </c>
      <c r="P43" s="133">
        <f t="shared" si="16"/>
        <v>42.4</v>
      </c>
      <c r="Q43" s="2" t="s">
        <v>747</v>
      </c>
      <c r="R43" s="2">
        <v>1</v>
      </c>
      <c r="S43" s="2">
        <v>1</v>
      </c>
      <c r="T43" s="133">
        <f t="shared" si="17"/>
        <v>4.3</v>
      </c>
      <c r="U43" s="2">
        <v>1</v>
      </c>
      <c r="V43" s="2">
        <v>1</v>
      </c>
      <c r="W43" s="134">
        <v>4</v>
      </c>
      <c r="X43" s="133">
        <f t="shared" si="18"/>
        <v>21.2</v>
      </c>
      <c r="Y43" s="2">
        <v>1</v>
      </c>
      <c r="Z43" s="2">
        <v>1</v>
      </c>
      <c r="AA43" s="134">
        <v>4</v>
      </c>
      <c r="AB43" s="134">
        <f t="shared" si="19"/>
        <v>22</v>
      </c>
      <c r="AC43" s="2">
        <v>1</v>
      </c>
      <c r="AD43" s="2">
        <v>1</v>
      </c>
      <c r="AE43" s="134">
        <v>4</v>
      </c>
      <c r="AF43" s="133">
        <f t="shared" si="20"/>
        <v>55.2</v>
      </c>
      <c r="AG43" s="2">
        <v>1</v>
      </c>
      <c r="AH43" s="2">
        <v>1</v>
      </c>
      <c r="AI43" s="135">
        <v>4</v>
      </c>
      <c r="AJ43" s="133">
        <f t="shared" si="21"/>
        <v>17.600000000000001</v>
      </c>
      <c r="AK43" s="2" t="s">
        <v>516</v>
      </c>
      <c r="AL43" s="2">
        <v>1</v>
      </c>
      <c r="AM43" s="134">
        <v>2</v>
      </c>
      <c r="AN43" s="133">
        <f t="shared" si="22"/>
        <v>1</v>
      </c>
      <c r="AO43">
        <f t="shared" si="23"/>
        <v>8.9633333333333329</v>
      </c>
      <c r="AP43" s="58">
        <f t="shared" si="24"/>
        <v>268.89999999999998</v>
      </c>
      <c r="AQ43" s="58"/>
    </row>
    <row r="44" spans="1:43" ht="13"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E44" s="133"/>
      <c r="AF44" s="133"/>
      <c r="AI44" s="148"/>
      <c r="AJ44" s="133"/>
      <c r="AM44" s="133"/>
      <c r="AN44" s="133"/>
      <c r="AP44">
        <f>AVERAGE(AP25:AP43)</f>
        <v>370.42057894736848</v>
      </c>
    </row>
    <row r="45" spans="1:43" ht="13">
      <c r="A45" s="156" t="s">
        <v>749</v>
      </c>
      <c r="B45" s="159">
        <v>236.14749375</v>
      </c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</row>
    <row r="46" spans="1:43" ht="13">
      <c r="A46" s="156" t="s">
        <v>525</v>
      </c>
      <c r="B46" s="159">
        <v>370.42057894736848</v>
      </c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/>
    </row>
    <row r="47" spans="1:43" ht="13"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  <c r="AA47" s="319"/>
      <c r="AB47" s="319"/>
    </row>
    <row r="48" spans="1:43" ht="13"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</row>
    <row r="49" spans="7:28" ht="13"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19"/>
      <c r="AB49" s="319"/>
    </row>
    <row r="50" spans="7:28" ht="13"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  <c r="AA50" s="319"/>
      <c r="AB50" s="319"/>
    </row>
    <row r="51" spans="7:28" ht="13"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  <c r="AB51" s="319"/>
    </row>
    <row r="52" spans="7:28" ht="13"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</row>
    <row r="53" spans="7:28" ht="13"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</row>
    <row r="54" spans="7:28" ht="13"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</row>
    <row r="55" spans="7:28" ht="13"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 s="319"/>
    </row>
    <row r="56" spans="7:28" ht="13"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</row>
    <row r="57" spans="7:28" ht="13"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</row>
    <row r="58" spans="7:28" ht="13"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</row>
    <row r="59" spans="7:28" ht="13"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</row>
    <row r="60" spans="7:28" ht="13"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</row>
    <row r="61" spans="7:28" ht="13"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19"/>
      <c r="AB61" s="319"/>
    </row>
    <row r="62" spans="7:28" ht="13"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</row>
    <row r="63" spans="7:28" ht="13"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</row>
    <row r="64" spans="7:28" ht="13"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</row>
    <row r="65" spans="7:28" ht="13"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</row>
    <row r="66" spans="7:28" ht="13"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19"/>
      <c r="AB66" s="319"/>
    </row>
    <row r="67" spans="7:28" ht="13"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</row>
    <row r="68" spans="7:28" ht="13"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19"/>
      <c r="AB68" s="319"/>
    </row>
    <row r="69" spans="7:28" ht="13"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</row>
    <row r="70" spans="7:28" ht="13"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  <c r="AA70" s="319"/>
      <c r="AB70" s="319"/>
    </row>
    <row r="71" spans="7:28" ht="13"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</row>
    <row r="72" spans="7:28" ht="13"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</row>
    <row r="73" spans="7:28" ht="13"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</row>
    <row r="74" spans="7:28" ht="13"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</row>
    <row r="75" spans="7:28" ht="13"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</row>
    <row r="76" spans="7:28" ht="13"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</row>
    <row r="77" spans="7:28" ht="13"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</row>
    <row r="78" spans="7:28" ht="13"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</row>
    <row r="79" spans="7:28" ht="13"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</row>
    <row r="80" spans="7:28" ht="13"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</row>
    <row r="81" spans="7:28" ht="13"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</row>
    <row r="82" spans="7:28" ht="13"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  <c r="AA82" s="319"/>
      <c r="AB82" s="319"/>
    </row>
    <row r="83" spans="7:28" ht="13"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</row>
    <row r="84" spans="7:28" ht="13"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/>
    </row>
    <row r="85" spans="7:28" ht="13"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319"/>
      <c r="AB85" s="319"/>
    </row>
    <row r="86" spans="7:28" ht="13"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</row>
    <row r="87" spans="7:28" ht="13"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  <c r="AA87" s="319"/>
      <c r="AB87" s="319"/>
    </row>
    <row r="88" spans="7:28" ht="13"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319"/>
      <c r="AB88" s="319"/>
    </row>
    <row r="89" spans="7:28" ht="13"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</row>
    <row r="90" spans="7:28" ht="13"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</row>
    <row r="91" spans="7:28" ht="13"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319"/>
      <c r="AB91" s="319"/>
    </row>
    <row r="92" spans="7:28" ht="13"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</row>
    <row r="93" spans="7:28" ht="13"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  <c r="AA93" s="319"/>
      <c r="AB93" s="319"/>
    </row>
    <row r="94" spans="7:28" ht="13"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</row>
    <row r="95" spans="7:28" ht="13"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</row>
    <row r="96" spans="7:28" ht="13"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</row>
    <row r="97" spans="7:28" ht="13"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</row>
    <row r="98" spans="7:28" ht="13"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</row>
    <row r="99" spans="7:28" ht="13"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  <c r="AA99" s="319"/>
      <c r="AB99" s="319"/>
    </row>
    <row r="100" spans="7:28" ht="13"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</row>
    <row r="101" spans="7:28" ht="13"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</row>
    <row r="102" spans="7:28" ht="13"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</row>
    <row r="103" spans="7:28" ht="13"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  <c r="AA103" s="319"/>
      <c r="AB103" s="319"/>
    </row>
    <row r="104" spans="7:28" ht="13"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</row>
    <row r="105" spans="7:28" ht="13"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  <c r="AA105" s="319"/>
      <c r="AB105" s="319"/>
    </row>
    <row r="106" spans="7:28" ht="13"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319"/>
      <c r="AB106" s="319"/>
    </row>
    <row r="107" spans="7:28" ht="13"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319"/>
      <c r="AB107" s="319"/>
    </row>
    <row r="108" spans="7:28" ht="13"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</row>
    <row r="109" spans="7:28" ht="13"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 s="319"/>
    </row>
    <row r="110" spans="7:28" ht="13"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319"/>
      <c r="AB110" s="319"/>
    </row>
    <row r="111" spans="7:28" ht="13"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  <c r="AA111" s="319"/>
      <c r="AB111" s="319"/>
    </row>
    <row r="112" spans="7:28" ht="13"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  <c r="AA112" s="319"/>
      <c r="AB112" s="319"/>
    </row>
    <row r="113" spans="7:28" ht="13"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319"/>
      <c r="AB113" s="319"/>
    </row>
    <row r="114" spans="7:28" ht="13"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  <c r="AA114" s="319"/>
      <c r="AB114" s="319"/>
    </row>
    <row r="115" spans="7:28" ht="13"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  <c r="AA115" s="319"/>
      <c r="AB115" s="319"/>
    </row>
    <row r="116" spans="7:28" ht="13"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  <c r="AA116" s="319"/>
      <c r="AB116" s="319"/>
    </row>
    <row r="117" spans="7:28" ht="13"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  <c r="AA117" s="319"/>
      <c r="AB117" s="319"/>
    </row>
    <row r="118" spans="7:28" ht="13"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  <c r="AA118" s="319"/>
      <c r="AB118" s="319"/>
    </row>
    <row r="119" spans="7:28" ht="13"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  <c r="AA119" s="319"/>
      <c r="AB119" s="319"/>
    </row>
    <row r="120" spans="7:28" ht="13"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319"/>
    </row>
    <row r="121" spans="7:28" ht="13"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  <c r="AA121" s="319"/>
      <c r="AB121" s="319"/>
    </row>
    <row r="122" spans="7:28" ht="13"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  <c r="AA122" s="319"/>
      <c r="AB122" s="319"/>
    </row>
    <row r="123" spans="7:28" ht="13"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  <c r="AA123" s="319"/>
      <c r="AB123" s="319"/>
    </row>
    <row r="124" spans="7:28" ht="13"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 s="319"/>
    </row>
    <row r="125" spans="7:28" ht="13"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 s="319"/>
    </row>
    <row r="126" spans="7:28" ht="13"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319"/>
      <c r="AB126" s="319"/>
    </row>
    <row r="127" spans="7:28" ht="13"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319"/>
      <c r="AB127" s="319"/>
    </row>
    <row r="128" spans="7:28" ht="13"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319"/>
      <c r="AB128" s="319"/>
    </row>
    <row r="129" spans="7:28" ht="13"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  <c r="AA129" s="319"/>
      <c r="AB129" s="319"/>
    </row>
    <row r="130" spans="7:28" ht="13"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  <c r="AA130" s="319"/>
      <c r="AB130" s="319"/>
    </row>
    <row r="131" spans="7:28" ht="13"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</row>
    <row r="132" spans="7:28" ht="13"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319"/>
      <c r="AB132" s="319"/>
    </row>
    <row r="133" spans="7:28" ht="13"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</row>
    <row r="134" spans="7:28" ht="13"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  <c r="AA134" s="319"/>
      <c r="AB134" s="319"/>
    </row>
    <row r="135" spans="7:28" ht="13"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  <c r="AA135" s="319"/>
      <c r="AB135" s="319"/>
    </row>
    <row r="136" spans="7:28" ht="13"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  <c r="AA136" s="319"/>
      <c r="AB136" s="319"/>
    </row>
    <row r="137" spans="7:28" ht="13"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</row>
    <row r="138" spans="7:28" ht="13"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319"/>
      <c r="AB138" s="319"/>
    </row>
    <row r="139" spans="7:28" ht="13"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</row>
    <row r="140" spans="7:28" ht="13"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319"/>
      <c r="AB140" s="319"/>
    </row>
    <row r="141" spans="7:28" ht="13"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19"/>
    </row>
    <row r="142" spans="7:28" ht="13"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319"/>
      <c r="AB142" s="319"/>
    </row>
    <row r="143" spans="7:28" ht="13"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 s="319"/>
    </row>
    <row r="144" spans="7:28" ht="13"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  <c r="AA144" s="319"/>
      <c r="AB144" s="319"/>
    </row>
    <row r="145" spans="7:28" ht="13"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319"/>
      <c r="AB145" s="319"/>
    </row>
    <row r="146" spans="7:28" ht="13"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319"/>
      <c r="AB146" s="319"/>
    </row>
    <row r="147" spans="7:28" ht="13"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319"/>
      <c r="AB147" s="319"/>
    </row>
    <row r="148" spans="7:28" ht="13"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319"/>
      <c r="AB148" s="319"/>
    </row>
    <row r="149" spans="7:28" ht="13"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  <c r="AA149" s="319"/>
      <c r="AB149" s="319"/>
    </row>
    <row r="150" spans="7:28" ht="13"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  <c r="AA150" s="319"/>
      <c r="AB150" s="319"/>
    </row>
    <row r="151" spans="7:28" ht="13"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  <c r="AA151" s="319"/>
      <c r="AB151" s="319"/>
    </row>
    <row r="152" spans="7:28" ht="13"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  <c r="AA152" s="319"/>
      <c r="AB152" s="319"/>
    </row>
    <row r="153" spans="7:28" ht="13"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319"/>
      <c r="AB153" s="319"/>
    </row>
    <row r="154" spans="7:28" ht="13"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319"/>
      <c r="AB154" s="319"/>
    </row>
    <row r="155" spans="7:28" ht="13"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  <c r="AA155" s="319"/>
      <c r="AB155" s="319"/>
    </row>
    <row r="156" spans="7:28" ht="13"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319"/>
      <c r="AB156" s="319"/>
    </row>
    <row r="157" spans="7:28" ht="13"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319"/>
      <c r="AB157" s="319"/>
    </row>
    <row r="158" spans="7:28" ht="13"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  <c r="AA158" s="319"/>
      <c r="AB158" s="319"/>
    </row>
    <row r="159" spans="7:28" ht="13"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319"/>
      <c r="AB159" s="319"/>
    </row>
    <row r="160" spans="7:28" ht="13"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319"/>
      <c r="AB160" s="319"/>
    </row>
    <row r="161" spans="7:28" ht="13"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  <c r="AA161" s="319"/>
      <c r="AB161" s="319"/>
    </row>
    <row r="162" spans="7:28" ht="13"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  <c r="AA162" s="319"/>
      <c r="AB162" s="319"/>
    </row>
    <row r="163" spans="7:28" ht="13"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319"/>
      <c r="AB163" s="319"/>
    </row>
    <row r="164" spans="7:28" ht="13"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319"/>
      <c r="AB164" s="319"/>
    </row>
    <row r="165" spans="7:28" ht="13"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319"/>
      <c r="AB165" s="319"/>
    </row>
    <row r="166" spans="7:28" ht="13"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  <c r="AA166" s="319"/>
      <c r="AB166" s="319"/>
    </row>
    <row r="167" spans="7:28" ht="13"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  <c r="R167" s="319"/>
      <c r="S167" s="319"/>
      <c r="T167" s="319"/>
      <c r="U167" s="319"/>
      <c r="V167" s="319"/>
      <c r="W167" s="319"/>
      <c r="X167" s="319"/>
      <c r="Y167" s="319"/>
      <c r="Z167" s="319"/>
      <c r="AA167" s="319"/>
      <c r="AB167" s="319"/>
    </row>
    <row r="168" spans="7:28" ht="13"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</row>
    <row r="169" spans="7:28" ht="13"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319"/>
      <c r="AB169" s="319"/>
    </row>
    <row r="170" spans="7:28" ht="13"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319"/>
      <c r="AB170" s="319"/>
    </row>
    <row r="171" spans="7:28" ht="13"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  <c r="R171" s="319"/>
      <c r="S171" s="319"/>
      <c r="T171" s="319"/>
      <c r="U171" s="319"/>
      <c r="V171" s="319"/>
      <c r="W171" s="319"/>
      <c r="X171" s="319"/>
      <c r="Y171" s="319"/>
      <c r="Z171" s="319"/>
      <c r="AA171" s="319"/>
      <c r="AB171" s="319"/>
    </row>
    <row r="172" spans="7:28" ht="13"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  <c r="AA172" s="319"/>
      <c r="AB172" s="319"/>
    </row>
    <row r="173" spans="7:28" ht="13"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  <c r="AA173" s="319"/>
      <c r="AB173" s="319"/>
    </row>
    <row r="174" spans="7:28" ht="13"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  <c r="AA174" s="319"/>
      <c r="AB174" s="319"/>
    </row>
    <row r="175" spans="7:28" ht="13"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319"/>
      <c r="AB175" s="319"/>
    </row>
    <row r="176" spans="7:28" ht="13"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319"/>
      <c r="AB176" s="319"/>
    </row>
    <row r="177" spans="7:28" ht="13"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  <c r="Z177" s="319"/>
      <c r="AA177" s="319"/>
      <c r="AB177" s="319"/>
    </row>
    <row r="178" spans="7:28" ht="13"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  <c r="AA178" s="319"/>
      <c r="AB178" s="319"/>
    </row>
    <row r="179" spans="7:28" ht="13"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  <c r="AA179" s="319"/>
      <c r="AB179" s="319"/>
    </row>
    <row r="180" spans="7:28" ht="13"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  <c r="AA180" s="319"/>
      <c r="AB180" s="319"/>
    </row>
    <row r="181" spans="7:28" ht="13"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319"/>
      <c r="AB181" s="319"/>
    </row>
    <row r="182" spans="7:28" ht="13"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319"/>
      <c r="AB182" s="319"/>
    </row>
    <row r="183" spans="7:28" ht="13"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  <c r="Z183" s="319"/>
      <c r="AA183" s="319"/>
      <c r="AB183" s="319"/>
    </row>
    <row r="184" spans="7:28" ht="13"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  <c r="AA184" s="319"/>
      <c r="AB184" s="319"/>
    </row>
    <row r="185" spans="7:28" ht="13"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  <c r="AA185" s="319"/>
      <c r="AB185" s="319"/>
    </row>
    <row r="186" spans="7:28" ht="13"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  <c r="AA186" s="319"/>
      <c r="AB186" s="319"/>
    </row>
    <row r="187" spans="7:28" ht="13"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319"/>
      <c r="AB187" s="319"/>
    </row>
    <row r="188" spans="7:28" ht="13"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319"/>
      <c r="AB188" s="319"/>
    </row>
    <row r="189" spans="7:28" ht="13"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  <c r="AA189" s="319"/>
      <c r="AB189" s="319"/>
    </row>
    <row r="190" spans="7:28" ht="13"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  <c r="AA190" s="319"/>
      <c r="AB190" s="319"/>
    </row>
    <row r="191" spans="7:28" ht="13"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  <c r="AA191" s="319"/>
      <c r="AB191" s="319"/>
    </row>
    <row r="192" spans="7:28" ht="13"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  <c r="AA192" s="319"/>
      <c r="AB192" s="319"/>
    </row>
    <row r="193" spans="7:28" ht="13"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  <c r="AA193" s="319"/>
      <c r="AB193" s="319"/>
    </row>
    <row r="194" spans="7:28" ht="13"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</row>
    <row r="195" spans="7:28" ht="13"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  <c r="AA195" s="319"/>
      <c r="AB195" s="319"/>
    </row>
    <row r="196" spans="7:28" ht="13"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319"/>
      <c r="AB196" s="319"/>
    </row>
    <row r="197" spans="7:28" ht="13"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319"/>
      <c r="AB197" s="319"/>
    </row>
    <row r="198" spans="7:28" ht="13"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  <c r="AA198" s="319"/>
      <c r="AB198" s="319"/>
    </row>
    <row r="199" spans="7:28" ht="13"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  <c r="Z199" s="319"/>
      <c r="AA199" s="319"/>
      <c r="AB199" s="319"/>
    </row>
    <row r="200" spans="7:28" ht="13"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  <c r="AA200" s="319"/>
      <c r="AB200" s="319"/>
    </row>
    <row r="201" spans="7:28" ht="13"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  <c r="AA201" s="319"/>
      <c r="AB201" s="319"/>
    </row>
    <row r="202" spans="7:28" ht="13"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  <c r="AA202" s="319"/>
      <c r="AB202" s="319"/>
    </row>
    <row r="203" spans="7:28" ht="13"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  <c r="Z203" s="319"/>
      <c r="AA203" s="319"/>
      <c r="AB203" s="319"/>
    </row>
    <row r="204" spans="7:28" ht="13"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319"/>
      <c r="AB204" s="319"/>
    </row>
    <row r="205" spans="7:28" ht="13"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  <c r="AA205" s="319"/>
      <c r="AB205" s="319"/>
    </row>
    <row r="206" spans="7:28" ht="13"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  <c r="AA206" s="319"/>
      <c r="AB206" s="319"/>
    </row>
    <row r="207" spans="7:28" ht="13"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319"/>
      <c r="AB207" s="319"/>
    </row>
    <row r="208" spans="7:28" ht="13"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319"/>
      <c r="AB208" s="319"/>
    </row>
    <row r="209" spans="7:28" ht="13"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319"/>
      <c r="W209" s="319"/>
      <c r="X209" s="319"/>
      <c r="Y209" s="319"/>
      <c r="Z209" s="319"/>
      <c r="AA209" s="319"/>
      <c r="AB209" s="319"/>
    </row>
    <row r="210" spans="7:28" ht="13"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  <c r="AA210" s="319"/>
      <c r="AB210" s="319"/>
    </row>
    <row r="211" spans="7:28" ht="13"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  <c r="AA211" s="319"/>
      <c r="AB211" s="319"/>
    </row>
    <row r="212" spans="7:28" ht="13"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  <c r="AA212" s="319"/>
      <c r="AB212" s="319"/>
    </row>
    <row r="213" spans="7:28" ht="13"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319"/>
      <c r="AB213" s="319"/>
    </row>
    <row r="214" spans="7:28" ht="13"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319"/>
      <c r="AB214" s="319"/>
    </row>
    <row r="215" spans="7:28" ht="13"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  <c r="AA215" s="319"/>
      <c r="AB215" s="319"/>
    </row>
    <row r="216" spans="7:28" ht="13"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  <c r="AA216" s="319"/>
      <c r="AB216" s="319"/>
    </row>
    <row r="217" spans="7:28" ht="13"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  <c r="AA217" s="319"/>
      <c r="AB217" s="319"/>
    </row>
    <row r="218" spans="7:28" ht="13"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319"/>
      <c r="AB218" s="319"/>
    </row>
    <row r="219" spans="7:28" ht="13"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319"/>
      <c r="AB219" s="319"/>
    </row>
    <row r="220" spans="7:28" ht="13"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  <c r="AA220" s="319"/>
      <c r="AB220" s="319"/>
    </row>
    <row r="221" spans="7:28" ht="13"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  <c r="AA221" s="319"/>
      <c r="AB221" s="319"/>
    </row>
    <row r="222" spans="7:28" ht="13"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  <c r="AA222" s="319"/>
      <c r="AB222" s="319"/>
    </row>
    <row r="223" spans="7:28" ht="13"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</row>
    <row r="224" spans="7:28" ht="13"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</row>
    <row r="225" spans="7:28" ht="13"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319"/>
      <c r="AB225" s="319"/>
    </row>
    <row r="226" spans="7:28" ht="13"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  <c r="AA226" s="319"/>
      <c r="AB226" s="319"/>
    </row>
    <row r="227" spans="7:28" ht="13"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  <c r="R227" s="319"/>
      <c r="S227" s="319"/>
      <c r="T227" s="319"/>
      <c r="U227" s="319"/>
      <c r="V227" s="319"/>
      <c r="W227" s="319"/>
      <c r="X227" s="319"/>
      <c r="Y227" s="319"/>
      <c r="Z227" s="319"/>
      <c r="AA227" s="319"/>
      <c r="AB227" s="319"/>
    </row>
    <row r="228" spans="7:28" ht="13"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  <c r="AA228" s="319"/>
      <c r="AB228" s="319"/>
    </row>
    <row r="229" spans="7:28" ht="13"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  <c r="AA229" s="319"/>
      <c r="AB229" s="319"/>
    </row>
    <row r="230" spans="7:28" ht="13"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319"/>
      <c r="AB230" s="319"/>
    </row>
    <row r="231" spans="7:28" ht="13"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319"/>
      <c r="AB231" s="319"/>
    </row>
    <row r="232" spans="7:28" ht="13"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  <c r="AA232" s="319"/>
      <c r="AB232" s="319"/>
    </row>
    <row r="233" spans="7:28" ht="13"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  <c r="AA233" s="319"/>
      <c r="AB233" s="319"/>
    </row>
    <row r="234" spans="7:28" ht="13"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  <c r="AA234" s="319"/>
      <c r="AB234" s="319"/>
    </row>
    <row r="235" spans="7:28" ht="13"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  <c r="Y235" s="319"/>
      <c r="Z235" s="319"/>
      <c r="AA235" s="319"/>
      <c r="AB235" s="319"/>
    </row>
    <row r="236" spans="7:28" ht="13"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  <c r="AA236" s="319"/>
      <c r="AB236" s="319"/>
    </row>
    <row r="237" spans="7:28" ht="13"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  <c r="AA237" s="319"/>
      <c r="AB237" s="319"/>
    </row>
    <row r="238" spans="7:28" ht="13"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  <c r="AA238" s="319"/>
      <c r="AB238" s="319"/>
    </row>
    <row r="239" spans="7:28" ht="13"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  <c r="AA239" s="319"/>
      <c r="AB239" s="319"/>
    </row>
    <row r="240" spans="7:28" ht="13"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319"/>
      <c r="AB240" s="319"/>
    </row>
    <row r="241" spans="7:28" ht="13"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319"/>
      <c r="AB241" s="319"/>
    </row>
    <row r="242" spans="7:28" ht="13"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  <c r="AA242" s="319"/>
      <c r="AB242" s="319"/>
    </row>
    <row r="243" spans="7:28" ht="13"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319"/>
      <c r="V243" s="319"/>
      <c r="W243" s="319"/>
      <c r="X243" s="319"/>
      <c r="Y243" s="319"/>
      <c r="Z243" s="319"/>
      <c r="AA243" s="319"/>
      <c r="AB243" s="319"/>
    </row>
    <row r="244" spans="7:28" ht="13"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  <c r="AA244" s="319"/>
      <c r="AB244" s="319"/>
    </row>
    <row r="245" spans="7:28" ht="13"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  <c r="R245" s="319"/>
      <c r="S245" s="319"/>
      <c r="T245" s="319"/>
      <c r="U245" s="319"/>
      <c r="V245" s="319"/>
      <c r="W245" s="319"/>
      <c r="X245" s="319"/>
      <c r="Y245" s="319"/>
      <c r="Z245" s="319"/>
      <c r="AA245" s="319"/>
      <c r="AB245" s="319"/>
    </row>
    <row r="246" spans="7:28" ht="13"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  <c r="AA246" s="319"/>
      <c r="AB246" s="319"/>
    </row>
    <row r="247" spans="7:28" ht="13"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  <c r="AA247" s="319"/>
      <c r="AB247" s="319"/>
    </row>
    <row r="248" spans="7:28" ht="13"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  <c r="AA248" s="319"/>
      <c r="AB248" s="319"/>
    </row>
    <row r="249" spans="7:28" ht="13"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  <c r="R249" s="319"/>
      <c r="S249" s="319"/>
      <c r="T249" s="319"/>
      <c r="U249" s="319"/>
      <c r="V249" s="319"/>
      <c r="W249" s="319"/>
      <c r="X249" s="319"/>
      <c r="Y249" s="319"/>
      <c r="Z249" s="319"/>
      <c r="AA249" s="319"/>
      <c r="AB249" s="319"/>
    </row>
    <row r="250" spans="7:28" ht="13"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319"/>
      <c r="AB250" s="319"/>
    </row>
    <row r="251" spans="7:28" ht="13"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319"/>
      <c r="AB251" s="319"/>
    </row>
    <row r="252" spans="7:28" ht="13">
      <c r="G252" s="319"/>
      <c r="H252" s="319"/>
      <c r="I252" s="319"/>
      <c r="J252" s="319"/>
      <c r="K252" s="319"/>
      <c r="L252" s="319"/>
      <c r="M252" s="319"/>
      <c r="N252" s="319"/>
      <c r="O252" s="319"/>
      <c r="P252" s="319"/>
      <c r="Q252" s="319"/>
      <c r="R252" s="319"/>
      <c r="S252" s="319"/>
      <c r="T252" s="319"/>
      <c r="U252" s="319"/>
      <c r="V252" s="319"/>
      <c r="W252" s="319"/>
      <c r="X252" s="319"/>
      <c r="Y252" s="319"/>
      <c r="Z252" s="319"/>
      <c r="AA252" s="319"/>
      <c r="AB252" s="319"/>
    </row>
    <row r="253" spans="7:28" ht="13"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  <c r="AA253" s="319"/>
      <c r="AB253" s="319"/>
    </row>
    <row r="254" spans="7:28" ht="13"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319"/>
      <c r="AB254" s="319"/>
    </row>
    <row r="255" spans="7:28" ht="13">
      <c r="G255" s="319"/>
      <c r="H255" s="319"/>
      <c r="I255" s="319"/>
      <c r="J255" s="319"/>
      <c r="K255" s="319"/>
      <c r="L255" s="319"/>
      <c r="M255" s="319"/>
      <c r="N255" s="319"/>
      <c r="O255" s="319"/>
      <c r="P255" s="319"/>
      <c r="Q255" s="319"/>
      <c r="R255" s="319"/>
      <c r="S255" s="319"/>
      <c r="T255" s="319"/>
      <c r="U255" s="319"/>
      <c r="V255" s="319"/>
      <c r="W255" s="319"/>
      <c r="X255" s="319"/>
      <c r="Y255" s="319"/>
      <c r="Z255" s="319"/>
      <c r="AA255" s="319"/>
      <c r="AB255" s="319"/>
    </row>
    <row r="256" spans="7:28" ht="13"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  <c r="AA256" s="319"/>
      <c r="AB256" s="319"/>
    </row>
    <row r="257" spans="7:28" ht="13"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19"/>
      <c r="S257" s="319"/>
      <c r="T257" s="319"/>
      <c r="U257" s="319"/>
      <c r="V257" s="319"/>
      <c r="W257" s="319"/>
      <c r="X257" s="319"/>
      <c r="Y257" s="319"/>
      <c r="Z257" s="319"/>
      <c r="AA257" s="319"/>
      <c r="AB257" s="319"/>
    </row>
    <row r="258" spans="7:28" ht="13"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  <c r="AA258" s="319"/>
      <c r="AB258" s="319"/>
    </row>
    <row r="259" spans="7:28" ht="13"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  <c r="R259" s="319"/>
      <c r="S259" s="319"/>
      <c r="T259" s="319"/>
      <c r="U259" s="319"/>
      <c r="V259" s="319"/>
      <c r="W259" s="319"/>
      <c r="X259" s="319"/>
      <c r="Y259" s="319"/>
      <c r="Z259" s="319"/>
      <c r="AA259" s="319"/>
      <c r="AB259" s="319"/>
    </row>
    <row r="260" spans="7:28" ht="13">
      <c r="G260" s="319"/>
      <c r="H260" s="319"/>
      <c r="I260" s="319"/>
      <c r="J260" s="319"/>
      <c r="K260" s="319"/>
      <c r="L260" s="319"/>
      <c r="M260" s="319"/>
      <c r="N260" s="319"/>
      <c r="O260" s="319"/>
      <c r="P260" s="319"/>
      <c r="Q260" s="319"/>
      <c r="R260" s="319"/>
      <c r="S260" s="319"/>
      <c r="T260" s="319"/>
      <c r="U260" s="319"/>
      <c r="V260" s="319"/>
      <c r="W260" s="319"/>
      <c r="X260" s="319"/>
      <c r="Y260" s="319"/>
      <c r="Z260" s="319"/>
      <c r="AA260" s="319"/>
      <c r="AB260" s="319"/>
    </row>
    <row r="261" spans="7:28" ht="13">
      <c r="G261" s="319"/>
      <c r="H261" s="319"/>
      <c r="I261" s="319"/>
      <c r="J261" s="319"/>
      <c r="K261" s="319"/>
      <c r="L261" s="319"/>
      <c r="M261" s="319"/>
      <c r="N261" s="319"/>
      <c r="O261" s="319"/>
      <c r="P261" s="319"/>
      <c r="Q261" s="319"/>
      <c r="R261" s="319"/>
      <c r="S261" s="319"/>
      <c r="T261" s="319"/>
      <c r="U261" s="319"/>
      <c r="V261" s="319"/>
      <c r="W261" s="319"/>
      <c r="X261" s="319"/>
      <c r="Y261" s="319"/>
      <c r="Z261" s="319"/>
      <c r="AA261" s="319"/>
      <c r="AB261" s="319"/>
    </row>
    <row r="262" spans="7:28" ht="13">
      <c r="G262" s="319"/>
      <c r="H262" s="319"/>
      <c r="I262" s="319"/>
      <c r="J262" s="319"/>
      <c r="K262" s="319"/>
      <c r="L262" s="319"/>
      <c r="M262" s="319"/>
      <c r="N262" s="319"/>
      <c r="O262" s="319"/>
      <c r="P262" s="319"/>
      <c r="Q262" s="319"/>
      <c r="R262" s="319"/>
      <c r="S262" s="319"/>
      <c r="T262" s="319"/>
      <c r="U262" s="319"/>
      <c r="V262" s="319"/>
      <c r="W262" s="319"/>
      <c r="X262" s="319"/>
      <c r="Y262" s="319"/>
      <c r="Z262" s="319"/>
      <c r="AA262" s="319"/>
      <c r="AB262" s="319"/>
    </row>
    <row r="263" spans="7:28" ht="13">
      <c r="G263" s="319"/>
      <c r="H263" s="319"/>
      <c r="I263" s="319"/>
      <c r="J263" s="319"/>
      <c r="K263" s="319"/>
      <c r="L263" s="319"/>
      <c r="M263" s="319"/>
      <c r="N263" s="319"/>
      <c r="O263" s="319"/>
      <c r="P263" s="319"/>
      <c r="Q263" s="319"/>
      <c r="R263" s="319"/>
      <c r="S263" s="319"/>
      <c r="T263" s="319"/>
      <c r="U263" s="319"/>
      <c r="V263" s="319"/>
      <c r="W263" s="319"/>
      <c r="X263" s="319"/>
      <c r="Y263" s="319"/>
      <c r="Z263" s="319"/>
      <c r="AA263" s="319"/>
      <c r="AB263" s="319"/>
    </row>
    <row r="264" spans="7:28" ht="13">
      <c r="G264" s="319"/>
      <c r="H264" s="319"/>
      <c r="I264" s="319"/>
      <c r="J264" s="319"/>
      <c r="K264" s="319"/>
      <c r="L264" s="319"/>
      <c r="M264" s="319"/>
      <c r="N264" s="319"/>
      <c r="O264" s="319"/>
      <c r="P264" s="319"/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  <c r="AA264" s="319"/>
      <c r="AB264" s="319"/>
    </row>
    <row r="265" spans="7:28" ht="13">
      <c r="G265" s="319"/>
      <c r="H265" s="319"/>
      <c r="I265" s="319"/>
      <c r="J265" s="319"/>
      <c r="K265" s="319"/>
      <c r="L265" s="319"/>
      <c r="M265" s="319"/>
      <c r="N265" s="319"/>
      <c r="O265" s="319"/>
      <c r="P265" s="319"/>
      <c r="Q265" s="319"/>
      <c r="R265" s="319"/>
      <c r="S265" s="319"/>
      <c r="T265" s="319"/>
      <c r="U265" s="319"/>
      <c r="V265" s="319"/>
      <c r="W265" s="319"/>
      <c r="X265" s="319"/>
      <c r="Y265" s="319"/>
      <c r="Z265" s="319"/>
      <c r="AA265" s="319"/>
      <c r="AB265" s="319"/>
    </row>
    <row r="266" spans="7:28" ht="13">
      <c r="G266" s="319"/>
      <c r="H266" s="319"/>
      <c r="I266" s="319"/>
      <c r="J266" s="319"/>
      <c r="K266" s="319"/>
      <c r="L266" s="319"/>
      <c r="M266" s="319"/>
      <c r="N266" s="319"/>
      <c r="O266" s="319"/>
      <c r="P266" s="319"/>
      <c r="Q266" s="319"/>
      <c r="R266" s="319"/>
      <c r="S266" s="319"/>
      <c r="T266" s="319"/>
      <c r="U266" s="319"/>
      <c r="V266" s="319"/>
      <c r="W266" s="319"/>
      <c r="X266" s="319"/>
      <c r="Y266" s="319"/>
      <c r="Z266" s="319"/>
      <c r="AA266" s="319"/>
      <c r="AB266" s="319"/>
    </row>
    <row r="267" spans="7:28" ht="13">
      <c r="G267" s="319"/>
      <c r="H267" s="319"/>
      <c r="I267" s="319"/>
      <c r="J267" s="319"/>
      <c r="K267" s="319"/>
      <c r="L267" s="319"/>
      <c r="M267" s="319"/>
      <c r="N267" s="319"/>
      <c r="O267" s="319"/>
      <c r="P267" s="319"/>
      <c r="Q267" s="319"/>
      <c r="R267" s="319"/>
      <c r="S267" s="319"/>
      <c r="T267" s="319"/>
      <c r="U267" s="319"/>
      <c r="V267" s="319"/>
      <c r="W267" s="319"/>
      <c r="X267" s="319"/>
      <c r="Y267" s="319"/>
      <c r="Z267" s="319"/>
      <c r="AA267" s="319"/>
      <c r="AB267" s="319"/>
    </row>
    <row r="268" spans="7:28" ht="13">
      <c r="G268" s="319"/>
      <c r="H268" s="319"/>
      <c r="I268" s="319"/>
      <c r="J268" s="319"/>
      <c r="K268" s="319"/>
      <c r="L268" s="319"/>
      <c r="M268" s="319"/>
      <c r="N268" s="319"/>
      <c r="O268" s="319"/>
      <c r="P268" s="319"/>
      <c r="Q268" s="319"/>
      <c r="R268" s="319"/>
      <c r="S268" s="319"/>
      <c r="T268" s="319"/>
      <c r="U268" s="319"/>
      <c r="V268" s="319"/>
      <c r="W268" s="319"/>
      <c r="X268" s="319"/>
      <c r="Y268" s="319"/>
      <c r="Z268" s="319"/>
      <c r="AA268" s="319"/>
      <c r="AB268" s="319"/>
    </row>
    <row r="269" spans="7:28" ht="13">
      <c r="G269" s="319"/>
      <c r="H269" s="319"/>
      <c r="I269" s="319"/>
      <c r="J269" s="319"/>
      <c r="K269" s="319"/>
      <c r="L269" s="319"/>
      <c r="M269" s="319"/>
      <c r="N269" s="319"/>
      <c r="O269" s="319"/>
      <c r="P269" s="319"/>
      <c r="Q269" s="319"/>
      <c r="R269" s="319"/>
      <c r="S269" s="319"/>
      <c r="T269" s="319"/>
      <c r="U269" s="319"/>
      <c r="V269" s="319"/>
      <c r="W269" s="319"/>
      <c r="X269" s="319"/>
      <c r="Y269" s="319"/>
      <c r="Z269" s="319"/>
      <c r="AA269" s="319"/>
      <c r="AB269" s="319"/>
    </row>
    <row r="270" spans="7:28" ht="13"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  <c r="AA270" s="319"/>
      <c r="AB270" s="319"/>
    </row>
    <row r="271" spans="7:28" ht="13">
      <c r="G271" s="319"/>
      <c r="H271" s="319"/>
      <c r="I271" s="319"/>
      <c r="J271" s="319"/>
      <c r="K271" s="319"/>
      <c r="L271" s="319"/>
      <c r="M271" s="319"/>
      <c r="N271" s="319"/>
      <c r="O271" s="319"/>
      <c r="P271" s="319"/>
      <c r="Q271" s="319"/>
      <c r="R271" s="319"/>
      <c r="S271" s="319"/>
      <c r="T271" s="319"/>
      <c r="U271" s="319"/>
      <c r="V271" s="319"/>
      <c r="W271" s="319"/>
      <c r="X271" s="319"/>
      <c r="Y271" s="319"/>
      <c r="Z271" s="319"/>
      <c r="AA271" s="319"/>
      <c r="AB271" s="319"/>
    </row>
    <row r="272" spans="7:28" ht="13">
      <c r="G272" s="319"/>
      <c r="H272" s="319"/>
      <c r="I272" s="319"/>
      <c r="J272" s="319"/>
      <c r="K272" s="319"/>
      <c r="L272" s="319"/>
      <c r="M272" s="319"/>
      <c r="N272" s="319"/>
      <c r="O272" s="319"/>
      <c r="P272" s="319"/>
      <c r="Q272" s="319"/>
      <c r="R272" s="319"/>
      <c r="S272" s="319"/>
      <c r="T272" s="319"/>
      <c r="U272" s="319"/>
      <c r="V272" s="319"/>
      <c r="W272" s="319"/>
      <c r="X272" s="319"/>
      <c r="Y272" s="319"/>
      <c r="Z272" s="319"/>
      <c r="AA272" s="319"/>
      <c r="AB272" s="319"/>
    </row>
    <row r="273" spans="7:28" ht="13">
      <c r="G273" s="319"/>
      <c r="H273" s="319"/>
      <c r="I273" s="319"/>
      <c r="J273" s="319"/>
      <c r="K273" s="319"/>
      <c r="L273" s="319"/>
      <c r="M273" s="319"/>
      <c r="N273" s="319"/>
      <c r="O273" s="319"/>
      <c r="P273" s="319"/>
      <c r="Q273" s="319"/>
      <c r="R273" s="319"/>
      <c r="S273" s="319"/>
      <c r="T273" s="319"/>
      <c r="U273" s="319"/>
      <c r="V273" s="319"/>
      <c r="W273" s="319"/>
      <c r="X273" s="319"/>
      <c r="Y273" s="319"/>
      <c r="Z273" s="319"/>
      <c r="AA273" s="319"/>
      <c r="AB273" s="319"/>
    </row>
    <row r="274" spans="7:28" ht="13"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19"/>
      <c r="S274" s="319"/>
      <c r="T274" s="319"/>
      <c r="U274" s="319"/>
      <c r="V274" s="319"/>
      <c r="W274" s="319"/>
      <c r="X274" s="319"/>
      <c r="Y274" s="319"/>
      <c r="Z274" s="319"/>
      <c r="AA274" s="319"/>
      <c r="AB274" s="319"/>
    </row>
    <row r="275" spans="7:28" ht="13"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  <c r="R275" s="319"/>
      <c r="S275" s="319"/>
      <c r="T275" s="319"/>
      <c r="U275" s="319"/>
      <c r="V275" s="319"/>
      <c r="W275" s="319"/>
      <c r="X275" s="319"/>
      <c r="Y275" s="319"/>
      <c r="Z275" s="319"/>
      <c r="AA275" s="319"/>
      <c r="AB275" s="319"/>
    </row>
    <row r="276" spans="7:28" ht="13">
      <c r="G276" s="319"/>
      <c r="H276" s="319"/>
      <c r="I276" s="319"/>
      <c r="J276" s="319"/>
      <c r="K276" s="319"/>
      <c r="L276" s="319"/>
      <c r="M276" s="319"/>
      <c r="N276" s="319"/>
      <c r="O276" s="319"/>
      <c r="P276" s="319"/>
      <c r="Q276" s="319"/>
      <c r="R276" s="319"/>
      <c r="S276" s="319"/>
      <c r="T276" s="319"/>
      <c r="U276" s="319"/>
      <c r="V276" s="319"/>
      <c r="W276" s="319"/>
      <c r="X276" s="319"/>
      <c r="Y276" s="319"/>
      <c r="Z276" s="319"/>
      <c r="AA276" s="319"/>
      <c r="AB276" s="319"/>
    </row>
    <row r="277" spans="7:28" ht="13"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  <c r="R277" s="319"/>
      <c r="S277" s="319"/>
      <c r="T277" s="319"/>
      <c r="U277" s="319"/>
      <c r="V277" s="319"/>
      <c r="W277" s="319"/>
      <c r="X277" s="319"/>
      <c r="Y277" s="319"/>
      <c r="Z277" s="319"/>
      <c r="AA277" s="319"/>
      <c r="AB277" s="319"/>
    </row>
    <row r="278" spans="7:28" ht="13">
      <c r="G278" s="319"/>
      <c r="H278" s="319"/>
      <c r="I278" s="319"/>
      <c r="J278" s="319"/>
      <c r="K278" s="319"/>
      <c r="L278" s="319"/>
      <c r="M278" s="319"/>
      <c r="N278" s="319"/>
      <c r="O278" s="319"/>
      <c r="P278" s="319"/>
      <c r="Q278" s="319"/>
      <c r="R278" s="319"/>
      <c r="S278" s="319"/>
      <c r="T278" s="319"/>
      <c r="U278" s="319"/>
      <c r="V278" s="319"/>
      <c r="W278" s="319"/>
      <c r="X278" s="319"/>
      <c r="Y278" s="319"/>
      <c r="Z278" s="319"/>
      <c r="AA278" s="319"/>
      <c r="AB278" s="319"/>
    </row>
    <row r="279" spans="7:28" ht="13">
      <c r="G279" s="319"/>
      <c r="H279" s="319"/>
      <c r="I279" s="319"/>
      <c r="J279" s="319"/>
      <c r="K279" s="319"/>
      <c r="L279" s="319"/>
      <c r="M279" s="319"/>
      <c r="N279" s="319"/>
      <c r="O279" s="319"/>
      <c r="P279" s="319"/>
      <c r="Q279" s="319"/>
      <c r="R279" s="319"/>
      <c r="S279" s="319"/>
      <c r="T279" s="319"/>
      <c r="U279" s="319"/>
      <c r="V279" s="319"/>
      <c r="W279" s="319"/>
      <c r="X279" s="319"/>
      <c r="Y279" s="319"/>
      <c r="Z279" s="319"/>
      <c r="AA279" s="319"/>
      <c r="AB279" s="319"/>
    </row>
    <row r="280" spans="7:28" ht="13"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  <c r="R280" s="319"/>
      <c r="S280" s="319"/>
      <c r="T280" s="319"/>
      <c r="U280" s="319"/>
      <c r="V280" s="319"/>
      <c r="W280" s="319"/>
      <c r="X280" s="319"/>
      <c r="Y280" s="319"/>
      <c r="Z280" s="319"/>
      <c r="AA280" s="319"/>
      <c r="AB280" s="319"/>
    </row>
    <row r="281" spans="7:28" ht="13">
      <c r="G281" s="319"/>
      <c r="H281" s="319"/>
      <c r="I281" s="319"/>
      <c r="J281" s="319"/>
      <c r="K281" s="319"/>
      <c r="L281" s="319"/>
      <c r="M281" s="319"/>
      <c r="N281" s="319"/>
      <c r="O281" s="319"/>
      <c r="P281" s="319"/>
      <c r="Q281" s="319"/>
      <c r="R281" s="319"/>
      <c r="S281" s="319"/>
      <c r="T281" s="319"/>
      <c r="U281" s="319"/>
      <c r="V281" s="319"/>
      <c r="W281" s="319"/>
      <c r="X281" s="319"/>
      <c r="Y281" s="319"/>
      <c r="Z281" s="319"/>
      <c r="AA281" s="319"/>
      <c r="AB281" s="319"/>
    </row>
    <row r="282" spans="7:28" ht="13">
      <c r="G282" s="319"/>
      <c r="H282" s="319"/>
      <c r="I282" s="319"/>
      <c r="J282" s="319"/>
      <c r="K282" s="319"/>
      <c r="L282" s="319"/>
      <c r="M282" s="319"/>
      <c r="N282" s="319"/>
      <c r="O282" s="319"/>
      <c r="P282" s="319"/>
      <c r="Q282" s="319"/>
      <c r="R282" s="319"/>
      <c r="S282" s="319"/>
      <c r="T282" s="319"/>
      <c r="U282" s="319"/>
      <c r="V282" s="319"/>
      <c r="W282" s="319"/>
      <c r="X282" s="319"/>
      <c r="Y282" s="319"/>
      <c r="Z282" s="319"/>
      <c r="AA282" s="319"/>
      <c r="AB282" s="319"/>
    </row>
    <row r="283" spans="7:28" ht="13">
      <c r="G283" s="319"/>
      <c r="H283" s="319"/>
      <c r="I283" s="319"/>
      <c r="J283" s="319"/>
      <c r="K283" s="319"/>
      <c r="L283" s="319"/>
      <c r="M283" s="319"/>
      <c r="N283" s="319"/>
      <c r="O283" s="319"/>
      <c r="P283" s="319"/>
      <c r="Q283" s="319"/>
      <c r="R283" s="319"/>
      <c r="S283" s="319"/>
      <c r="T283" s="319"/>
      <c r="U283" s="319"/>
      <c r="V283" s="319"/>
      <c r="W283" s="319"/>
      <c r="X283" s="319"/>
      <c r="Y283" s="319"/>
      <c r="Z283" s="319"/>
      <c r="AA283" s="319"/>
      <c r="AB283" s="319"/>
    </row>
    <row r="284" spans="7:28" ht="13">
      <c r="G284" s="319"/>
      <c r="H284" s="319"/>
      <c r="I284" s="319"/>
      <c r="J284" s="319"/>
      <c r="K284" s="319"/>
      <c r="L284" s="319"/>
      <c r="M284" s="319"/>
      <c r="N284" s="319"/>
      <c r="O284" s="319"/>
      <c r="P284" s="319"/>
      <c r="Q284" s="319"/>
      <c r="R284" s="319"/>
      <c r="S284" s="319"/>
      <c r="T284" s="319"/>
      <c r="U284" s="319"/>
      <c r="V284" s="319"/>
      <c r="W284" s="319"/>
      <c r="X284" s="319"/>
      <c r="Y284" s="319"/>
      <c r="Z284" s="319"/>
      <c r="AA284" s="319"/>
      <c r="AB284" s="319"/>
    </row>
    <row r="285" spans="7:28" ht="13">
      <c r="G285" s="319"/>
      <c r="H285" s="319"/>
      <c r="I285" s="319"/>
      <c r="J285" s="319"/>
      <c r="K285" s="319"/>
      <c r="L285" s="319"/>
      <c r="M285" s="319"/>
      <c r="N285" s="319"/>
      <c r="O285" s="319"/>
      <c r="P285" s="319"/>
      <c r="Q285" s="319"/>
      <c r="R285" s="319"/>
      <c r="S285" s="319"/>
      <c r="T285" s="319"/>
      <c r="U285" s="319"/>
      <c r="V285" s="319"/>
      <c r="W285" s="319"/>
      <c r="X285" s="319"/>
      <c r="Y285" s="319"/>
      <c r="Z285" s="319"/>
      <c r="AA285" s="319"/>
      <c r="AB285" s="319"/>
    </row>
    <row r="286" spans="7:28" ht="13">
      <c r="G286" s="319"/>
      <c r="H286" s="319"/>
      <c r="I286" s="319"/>
      <c r="J286" s="319"/>
      <c r="K286" s="319"/>
      <c r="L286" s="319"/>
      <c r="M286" s="319"/>
      <c r="N286" s="319"/>
      <c r="O286" s="319"/>
      <c r="P286" s="319"/>
      <c r="Q286" s="319"/>
      <c r="R286" s="319"/>
      <c r="S286" s="319"/>
      <c r="T286" s="319"/>
      <c r="U286" s="319"/>
      <c r="V286" s="319"/>
      <c r="W286" s="319"/>
      <c r="X286" s="319"/>
      <c r="Y286" s="319"/>
      <c r="Z286" s="319"/>
      <c r="AA286" s="319"/>
      <c r="AB286" s="319"/>
    </row>
    <row r="287" spans="7:28" ht="13"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  <c r="R287" s="319"/>
      <c r="S287" s="319"/>
      <c r="T287" s="319"/>
      <c r="U287" s="319"/>
      <c r="V287" s="319"/>
      <c r="W287" s="319"/>
      <c r="X287" s="319"/>
      <c r="Y287" s="319"/>
      <c r="Z287" s="319"/>
      <c r="AA287" s="319"/>
      <c r="AB287" s="319"/>
    </row>
    <row r="288" spans="7:28" ht="13">
      <c r="G288" s="319"/>
      <c r="H288" s="319"/>
      <c r="I288" s="319"/>
      <c r="J288" s="319"/>
      <c r="K288" s="319"/>
      <c r="L288" s="319"/>
      <c r="M288" s="319"/>
      <c r="N288" s="319"/>
      <c r="O288" s="319"/>
      <c r="P288" s="319"/>
      <c r="Q288" s="319"/>
      <c r="R288" s="319"/>
      <c r="S288" s="319"/>
      <c r="T288" s="319"/>
      <c r="U288" s="319"/>
      <c r="V288" s="319"/>
      <c r="W288" s="319"/>
      <c r="X288" s="319"/>
      <c r="Y288" s="319"/>
      <c r="Z288" s="319"/>
      <c r="AA288" s="319"/>
      <c r="AB288" s="319"/>
    </row>
    <row r="289" spans="7:28" ht="13"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  <c r="R289" s="319"/>
      <c r="S289" s="319"/>
      <c r="T289" s="319"/>
      <c r="U289" s="319"/>
      <c r="V289" s="319"/>
      <c r="W289" s="319"/>
      <c r="X289" s="319"/>
      <c r="Y289" s="319"/>
      <c r="Z289" s="319"/>
      <c r="AA289" s="319"/>
      <c r="AB289" s="319"/>
    </row>
    <row r="290" spans="7:28" ht="13"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  <c r="AA290" s="319"/>
      <c r="AB290" s="319"/>
    </row>
    <row r="291" spans="7:28" ht="13"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  <c r="R291" s="319"/>
      <c r="S291" s="319"/>
      <c r="T291" s="319"/>
      <c r="U291" s="319"/>
      <c r="V291" s="319"/>
      <c r="W291" s="319"/>
      <c r="X291" s="319"/>
      <c r="Y291" s="319"/>
      <c r="Z291" s="319"/>
      <c r="AA291" s="319"/>
      <c r="AB291" s="319"/>
    </row>
    <row r="292" spans="7:28" ht="13">
      <c r="G292" s="319"/>
      <c r="H292" s="319"/>
      <c r="I292" s="319"/>
      <c r="J292" s="319"/>
      <c r="K292" s="319"/>
      <c r="L292" s="319"/>
      <c r="M292" s="319"/>
      <c r="N292" s="319"/>
      <c r="O292" s="319"/>
      <c r="P292" s="319"/>
      <c r="Q292" s="319"/>
      <c r="R292" s="319"/>
      <c r="S292" s="319"/>
      <c r="T292" s="319"/>
      <c r="U292" s="319"/>
      <c r="V292" s="319"/>
      <c r="W292" s="319"/>
      <c r="X292" s="319"/>
      <c r="Y292" s="319"/>
      <c r="Z292" s="319"/>
      <c r="AA292" s="319"/>
      <c r="AB292" s="319"/>
    </row>
    <row r="293" spans="7:28" ht="13">
      <c r="G293" s="319"/>
      <c r="H293" s="319"/>
      <c r="I293" s="319"/>
      <c r="J293" s="319"/>
      <c r="K293" s="319"/>
      <c r="L293" s="319"/>
      <c r="M293" s="319"/>
      <c r="N293" s="319"/>
      <c r="O293" s="319"/>
      <c r="P293" s="319"/>
      <c r="Q293" s="319"/>
      <c r="R293" s="319"/>
      <c r="S293" s="319"/>
      <c r="T293" s="319"/>
      <c r="U293" s="319"/>
      <c r="V293" s="319"/>
      <c r="W293" s="319"/>
      <c r="X293" s="319"/>
      <c r="Y293" s="319"/>
      <c r="Z293" s="319"/>
      <c r="AA293" s="319"/>
      <c r="AB293" s="319"/>
    </row>
    <row r="294" spans="7:28" ht="13">
      <c r="G294" s="319"/>
      <c r="H294" s="319"/>
      <c r="I294" s="319"/>
      <c r="J294" s="319"/>
      <c r="K294" s="319"/>
      <c r="L294" s="319"/>
      <c r="M294" s="319"/>
      <c r="N294" s="319"/>
      <c r="O294" s="319"/>
      <c r="P294" s="319"/>
      <c r="Q294" s="319"/>
      <c r="R294" s="319"/>
      <c r="S294" s="319"/>
      <c r="T294" s="319"/>
      <c r="U294" s="319"/>
      <c r="V294" s="319"/>
      <c r="W294" s="319"/>
      <c r="X294" s="319"/>
      <c r="Y294" s="319"/>
      <c r="Z294" s="319"/>
      <c r="AA294" s="319"/>
      <c r="AB294" s="319"/>
    </row>
    <row r="295" spans="7:28" ht="13">
      <c r="G295" s="319"/>
      <c r="H295" s="319"/>
      <c r="I295" s="319"/>
      <c r="J295" s="319"/>
      <c r="K295" s="319"/>
      <c r="L295" s="319"/>
      <c r="M295" s="319"/>
      <c r="N295" s="319"/>
      <c r="O295" s="319"/>
      <c r="P295" s="319"/>
      <c r="Q295" s="319"/>
      <c r="R295" s="319"/>
      <c r="S295" s="319"/>
      <c r="T295" s="319"/>
      <c r="U295" s="319"/>
      <c r="V295" s="319"/>
      <c r="W295" s="319"/>
      <c r="X295" s="319"/>
      <c r="Y295" s="319"/>
      <c r="Z295" s="319"/>
      <c r="AA295" s="319"/>
      <c r="AB295" s="319"/>
    </row>
    <row r="296" spans="7:28" ht="13">
      <c r="G296" s="319"/>
      <c r="H296" s="319"/>
      <c r="I296" s="319"/>
      <c r="J296" s="319"/>
      <c r="K296" s="319"/>
      <c r="L296" s="319"/>
      <c r="M296" s="319"/>
      <c r="N296" s="319"/>
      <c r="O296" s="319"/>
      <c r="P296" s="319"/>
      <c r="Q296" s="319"/>
      <c r="R296" s="319"/>
      <c r="S296" s="319"/>
      <c r="T296" s="319"/>
      <c r="U296" s="319"/>
      <c r="V296" s="319"/>
      <c r="W296" s="319"/>
      <c r="X296" s="319"/>
      <c r="Y296" s="319"/>
      <c r="Z296" s="319"/>
      <c r="AA296" s="319"/>
      <c r="AB296" s="319"/>
    </row>
    <row r="297" spans="7:28" ht="13">
      <c r="G297" s="319"/>
      <c r="H297" s="319"/>
      <c r="I297" s="319"/>
      <c r="J297" s="319"/>
      <c r="K297" s="319"/>
      <c r="L297" s="319"/>
      <c r="M297" s="319"/>
      <c r="N297" s="319"/>
      <c r="O297" s="319"/>
      <c r="P297" s="319"/>
      <c r="Q297" s="319"/>
      <c r="R297" s="319"/>
      <c r="S297" s="319"/>
      <c r="T297" s="319"/>
      <c r="U297" s="319"/>
      <c r="V297" s="319"/>
      <c r="W297" s="319"/>
      <c r="X297" s="319"/>
      <c r="Y297" s="319"/>
      <c r="Z297" s="319"/>
      <c r="AA297" s="319"/>
      <c r="AB297" s="319"/>
    </row>
    <row r="298" spans="7:28" ht="13">
      <c r="G298" s="319"/>
      <c r="H298" s="319"/>
      <c r="I298" s="319"/>
      <c r="J298" s="319"/>
      <c r="K298" s="319"/>
      <c r="L298" s="319"/>
      <c r="M298" s="319"/>
      <c r="N298" s="319"/>
      <c r="O298" s="319"/>
      <c r="P298" s="319"/>
      <c r="Q298" s="319"/>
      <c r="R298" s="319"/>
      <c r="S298" s="319"/>
      <c r="T298" s="319"/>
      <c r="U298" s="319"/>
      <c r="V298" s="319"/>
      <c r="W298" s="319"/>
      <c r="X298" s="319"/>
      <c r="Y298" s="319"/>
      <c r="Z298" s="319"/>
      <c r="AA298" s="319"/>
      <c r="AB298" s="319"/>
    </row>
    <row r="299" spans="7:28" ht="13">
      <c r="G299" s="319"/>
      <c r="H299" s="319"/>
      <c r="I299" s="319"/>
      <c r="J299" s="319"/>
      <c r="K299" s="319"/>
      <c r="L299" s="319"/>
      <c r="M299" s="319"/>
      <c r="N299" s="319"/>
      <c r="O299" s="319"/>
      <c r="P299" s="319"/>
      <c r="Q299" s="319"/>
      <c r="R299" s="319"/>
      <c r="S299" s="319"/>
      <c r="T299" s="319"/>
      <c r="U299" s="319"/>
      <c r="V299" s="319"/>
      <c r="W299" s="319"/>
      <c r="X299" s="319"/>
      <c r="Y299" s="319"/>
      <c r="Z299" s="319"/>
      <c r="AA299" s="319"/>
      <c r="AB299" s="319"/>
    </row>
    <row r="300" spans="7:28" ht="13"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  <c r="R300" s="319"/>
      <c r="S300" s="319"/>
      <c r="T300" s="319"/>
      <c r="U300" s="319"/>
      <c r="V300" s="319"/>
      <c r="W300" s="319"/>
      <c r="X300" s="319"/>
      <c r="Y300" s="319"/>
      <c r="Z300" s="319"/>
      <c r="AA300" s="319"/>
      <c r="AB300" s="319"/>
    </row>
    <row r="301" spans="7:28" ht="13">
      <c r="G301" s="319"/>
      <c r="H301" s="319"/>
      <c r="I301" s="319"/>
      <c r="J301" s="319"/>
      <c r="K301" s="319"/>
      <c r="L301" s="319"/>
      <c r="M301" s="319"/>
      <c r="N301" s="319"/>
      <c r="O301" s="319"/>
      <c r="P301" s="319"/>
      <c r="Q301" s="319"/>
      <c r="R301" s="319"/>
      <c r="S301" s="319"/>
      <c r="T301" s="319"/>
      <c r="U301" s="319"/>
      <c r="V301" s="319"/>
      <c r="W301" s="319"/>
      <c r="X301" s="319"/>
      <c r="Y301" s="319"/>
      <c r="Z301" s="319"/>
      <c r="AA301" s="319"/>
      <c r="AB301" s="319"/>
    </row>
    <row r="302" spans="7:28" ht="13">
      <c r="G302" s="319"/>
      <c r="H302" s="319"/>
      <c r="I302" s="319"/>
      <c r="J302" s="319"/>
      <c r="K302" s="319"/>
      <c r="L302" s="319"/>
      <c r="M302" s="319"/>
      <c r="N302" s="319"/>
      <c r="O302" s="319"/>
      <c r="P302" s="319"/>
      <c r="Q302" s="319"/>
      <c r="R302" s="319"/>
      <c r="S302" s="319"/>
      <c r="T302" s="319"/>
      <c r="U302" s="319"/>
      <c r="V302" s="319"/>
      <c r="W302" s="319"/>
      <c r="X302" s="319"/>
      <c r="Y302" s="319"/>
      <c r="Z302" s="319"/>
      <c r="AA302" s="319"/>
      <c r="AB302" s="319"/>
    </row>
    <row r="303" spans="7:28" ht="13">
      <c r="G303" s="319"/>
      <c r="H303" s="319"/>
      <c r="I303" s="319"/>
      <c r="J303" s="319"/>
      <c r="K303" s="319"/>
      <c r="L303" s="319"/>
      <c r="M303" s="319"/>
      <c r="N303" s="319"/>
      <c r="O303" s="319"/>
      <c r="P303" s="319"/>
      <c r="Q303" s="319"/>
      <c r="R303" s="319"/>
      <c r="S303" s="319"/>
      <c r="T303" s="319"/>
      <c r="U303" s="319"/>
      <c r="V303" s="319"/>
      <c r="W303" s="319"/>
      <c r="X303" s="319"/>
      <c r="Y303" s="319"/>
      <c r="Z303" s="319"/>
      <c r="AA303" s="319"/>
      <c r="AB303" s="319"/>
    </row>
    <row r="304" spans="7:28" ht="13">
      <c r="G304" s="319"/>
      <c r="H304" s="319"/>
      <c r="I304" s="319"/>
      <c r="J304" s="319"/>
      <c r="K304" s="319"/>
      <c r="L304" s="319"/>
      <c r="M304" s="319"/>
      <c r="N304" s="319"/>
      <c r="O304" s="319"/>
      <c r="P304" s="319"/>
      <c r="Q304" s="319"/>
      <c r="R304" s="319"/>
      <c r="S304" s="319"/>
      <c r="T304" s="319"/>
      <c r="U304" s="319"/>
      <c r="V304" s="319"/>
      <c r="W304" s="319"/>
      <c r="X304" s="319"/>
      <c r="Y304" s="319"/>
      <c r="Z304" s="319"/>
      <c r="AA304" s="319"/>
      <c r="AB304" s="319"/>
    </row>
    <row r="305" spans="7:28" ht="13">
      <c r="G305" s="319"/>
      <c r="H305" s="319"/>
      <c r="I305" s="319"/>
      <c r="J305" s="319"/>
      <c r="K305" s="319"/>
      <c r="L305" s="319"/>
      <c r="M305" s="319"/>
      <c r="N305" s="319"/>
      <c r="O305" s="319"/>
      <c r="P305" s="319"/>
      <c r="Q305" s="319"/>
      <c r="R305" s="319"/>
      <c r="S305" s="319"/>
      <c r="T305" s="319"/>
      <c r="U305" s="319"/>
      <c r="V305" s="319"/>
      <c r="W305" s="319"/>
      <c r="X305" s="319"/>
      <c r="Y305" s="319"/>
      <c r="Z305" s="319"/>
      <c r="AA305" s="319"/>
      <c r="AB305" s="319"/>
    </row>
    <row r="306" spans="7:28" ht="13"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  <c r="R306" s="319"/>
      <c r="S306" s="319"/>
      <c r="T306" s="319"/>
      <c r="U306" s="319"/>
      <c r="V306" s="319"/>
      <c r="W306" s="319"/>
      <c r="X306" s="319"/>
      <c r="Y306" s="319"/>
      <c r="Z306" s="319"/>
      <c r="AA306" s="319"/>
      <c r="AB306" s="319"/>
    </row>
    <row r="307" spans="7:28" ht="13">
      <c r="G307" s="319"/>
      <c r="H307" s="319"/>
      <c r="I307" s="319"/>
      <c r="J307" s="319"/>
      <c r="K307" s="319"/>
      <c r="L307" s="319"/>
      <c r="M307" s="319"/>
      <c r="N307" s="319"/>
      <c r="O307" s="319"/>
      <c r="P307" s="319"/>
      <c r="Q307" s="319"/>
      <c r="R307" s="319"/>
      <c r="S307" s="319"/>
      <c r="T307" s="319"/>
      <c r="U307" s="319"/>
      <c r="V307" s="319"/>
      <c r="W307" s="319"/>
      <c r="X307" s="319"/>
      <c r="Y307" s="319"/>
      <c r="Z307" s="319"/>
      <c r="AA307" s="319"/>
      <c r="AB307" s="319"/>
    </row>
    <row r="308" spans="7:28" ht="13"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  <c r="AA308" s="319"/>
      <c r="AB308" s="319"/>
    </row>
    <row r="309" spans="7:28" ht="13">
      <c r="G309" s="319"/>
      <c r="H309" s="319"/>
      <c r="I309" s="319"/>
      <c r="J309" s="319"/>
      <c r="K309" s="319"/>
      <c r="L309" s="319"/>
      <c r="M309" s="319"/>
      <c r="N309" s="319"/>
      <c r="O309" s="319"/>
      <c r="P309" s="319"/>
      <c r="Q309" s="319"/>
      <c r="R309" s="319"/>
      <c r="S309" s="319"/>
      <c r="T309" s="319"/>
      <c r="U309" s="319"/>
      <c r="V309" s="319"/>
      <c r="W309" s="319"/>
      <c r="X309" s="319"/>
      <c r="Y309" s="319"/>
      <c r="Z309" s="319"/>
      <c r="AA309" s="319"/>
      <c r="AB309" s="319"/>
    </row>
    <row r="310" spans="7:28" ht="13">
      <c r="G310" s="319"/>
      <c r="H310" s="319"/>
      <c r="I310" s="319"/>
      <c r="J310" s="319"/>
      <c r="K310" s="319"/>
      <c r="L310" s="319"/>
      <c r="M310" s="319"/>
      <c r="N310" s="319"/>
      <c r="O310" s="319"/>
      <c r="P310" s="319"/>
      <c r="Q310" s="319"/>
      <c r="R310" s="319"/>
      <c r="S310" s="319"/>
      <c r="T310" s="319"/>
      <c r="U310" s="319"/>
      <c r="V310" s="319"/>
      <c r="W310" s="319"/>
      <c r="X310" s="319"/>
      <c r="Y310" s="319"/>
      <c r="Z310" s="319"/>
      <c r="AA310" s="319"/>
      <c r="AB310" s="319"/>
    </row>
    <row r="311" spans="7:28" ht="13">
      <c r="G311" s="319"/>
      <c r="H311" s="319"/>
      <c r="I311" s="319"/>
      <c r="J311" s="319"/>
      <c r="K311" s="319"/>
      <c r="L311" s="319"/>
      <c r="M311" s="319"/>
      <c r="N311" s="319"/>
      <c r="O311" s="319"/>
      <c r="P311" s="319"/>
      <c r="Q311" s="319"/>
      <c r="R311" s="319"/>
      <c r="S311" s="319"/>
      <c r="T311" s="319"/>
      <c r="U311" s="319"/>
      <c r="V311" s="319"/>
      <c r="W311" s="319"/>
      <c r="X311" s="319"/>
      <c r="Y311" s="319"/>
      <c r="Z311" s="319"/>
      <c r="AA311" s="319"/>
      <c r="AB311" s="319"/>
    </row>
    <row r="312" spans="7:28" ht="13">
      <c r="G312" s="319"/>
      <c r="H312" s="319"/>
      <c r="I312" s="319"/>
      <c r="J312" s="319"/>
      <c r="K312" s="319"/>
      <c r="L312" s="319"/>
      <c r="M312" s="319"/>
      <c r="N312" s="319"/>
      <c r="O312" s="319"/>
      <c r="P312" s="319"/>
      <c r="Q312" s="319"/>
      <c r="R312" s="319"/>
      <c r="S312" s="319"/>
      <c r="T312" s="319"/>
      <c r="U312" s="319"/>
      <c r="V312" s="319"/>
      <c r="W312" s="319"/>
      <c r="X312" s="319"/>
      <c r="Y312" s="319"/>
      <c r="Z312" s="319"/>
      <c r="AA312" s="319"/>
      <c r="AB312" s="319"/>
    </row>
    <row r="313" spans="7:28" ht="13"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  <c r="R313" s="319"/>
      <c r="S313" s="319"/>
      <c r="T313" s="319"/>
      <c r="U313" s="319"/>
      <c r="V313" s="319"/>
      <c r="W313" s="319"/>
      <c r="X313" s="319"/>
      <c r="Y313" s="319"/>
      <c r="Z313" s="319"/>
      <c r="AA313" s="319"/>
      <c r="AB313" s="319"/>
    </row>
    <row r="314" spans="7:28" ht="13"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  <c r="R314" s="319"/>
      <c r="S314" s="319"/>
      <c r="T314" s="319"/>
      <c r="U314" s="319"/>
      <c r="V314" s="319"/>
      <c r="W314" s="319"/>
      <c r="X314" s="319"/>
      <c r="Y314" s="319"/>
      <c r="Z314" s="319"/>
      <c r="AA314" s="319"/>
      <c r="AB314" s="319"/>
    </row>
    <row r="315" spans="7:28" ht="13"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  <c r="R315" s="319"/>
      <c r="S315" s="319"/>
      <c r="T315" s="319"/>
      <c r="U315" s="319"/>
      <c r="V315" s="319"/>
      <c r="W315" s="319"/>
      <c r="X315" s="319"/>
      <c r="Y315" s="319"/>
      <c r="Z315" s="319"/>
      <c r="AA315" s="319"/>
      <c r="AB315" s="319"/>
    </row>
    <row r="316" spans="7:28" ht="13">
      <c r="G316" s="319"/>
      <c r="H316" s="319"/>
      <c r="I316" s="319"/>
      <c r="J316" s="319"/>
      <c r="K316" s="319"/>
      <c r="L316" s="319"/>
      <c r="M316" s="319"/>
      <c r="N316" s="319"/>
      <c r="O316" s="319"/>
      <c r="P316" s="319"/>
      <c r="Q316" s="319"/>
      <c r="R316" s="319"/>
      <c r="S316" s="319"/>
      <c r="T316" s="319"/>
      <c r="U316" s="319"/>
      <c r="V316" s="319"/>
      <c r="W316" s="319"/>
      <c r="X316" s="319"/>
      <c r="Y316" s="319"/>
      <c r="Z316" s="319"/>
      <c r="AA316" s="319"/>
      <c r="AB316" s="319"/>
    </row>
    <row r="317" spans="7:28" ht="13">
      <c r="G317" s="319"/>
      <c r="H317" s="319"/>
      <c r="I317" s="319"/>
      <c r="J317" s="319"/>
      <c r="K317" s="319"/>
      <c r="L317" s="319"/>
      <c r="M317" s="319"/>
      <c r="N317" s="319"/>
      <c r="O317" s="319"/>
      <c r="P317" s="319"/>
      <c r="Q317" s="319"/>
      <c r="R317" s="319"/>
      <c r="S317" s="319"/>
      <c r="T317" s="319"/>
      <c r="U317" s="319"/>
      <c r="V317" s="319"/>
      <c r="W317" s="319"/>
      <c r="X317" s="319"/>
      <c r="Y317" s="319"/>
      <c r="Z317" s="319"/>
      <c r="AA317" s="319"/>
      <c r="AB317" s="319"/>
    </row>
    <row r="318" spans="7:28" ht="13">
      <c r="G318" s="319"/>
      <c r="H318" s="319"/>
      <c r="I318" s="319"/>
      <c r="J318" s="319"/>
      <c r="K318" s="319"/>
      <c r="L318" s="319"/>
      <c r="M318" s="319"/>
      <c r="N318" s="319"/>
      <c r="O318" s="319"/>
      <c r="P318" s="319"/>
      <c r="Q318" s="319"/>
      <c r="R318" s="319"/>
      <c r="S318" s="319"/>
      <c r="T318" s="319"/>
      <c r="U318" s="319"/>
      <c r="V318" s="319"/>
      <c r="W318" s="319"/>
      <c r="X318" s="319"/>
      <c r="Y318" s="319"/>
      <c r="Z318" s="319"/>
      <c r="AA318" s="319"/>
      <c r="AB318" s="319"/>
    </row>
    <row r="319" spans="7:28" ht="13">
      <c r="G319" s="319"/>
      <c r="H319" s="319"/>
      <c r="I319" s="319"/>
      <c r="J319" s="319"/>
      <c r="K319" s="319"/>
      <c r="L319" s="319"/>
      <c r="M319" s="319"/>
      <c r="N319" s="319"/>
      <c r="O319" s="319"/>
      <c r="P319" s="319"/>
      <c r="Q319" s="319"/>
      <c r="R319" s="319"/>
      <c r="S319" s="319"/>
      <c r="T319" s="319"/>
      <c r="U319" s="319"/>
      <c r="V319" s="319"/>
      <c r="W319" s="319"/>
      <c r="X319" s="319"/>
      <c r="Y319" s="319"/>
      <c r="Z319" s="319"/>
      <c r="AA319" s="319"/>
      <c r="AB319" s="319"/>
    </row>
    <row r="320" spans="7:28" ht="13">
      <c r="G320" s="319"/>
      <c r="H320" s="319"/>
      <c r="I320" s="319"/>
      <c r="J320" s="319"/>
      <c r="K320" s="319"/>
      <c r="L320" s="319"/>
      <c r="M320" s="319"/>
      <c r="N320" s="319"/>
      <c r="O320" s="319"/>
      <c r="P320" s="319"/>
      <c r="Q320" s="319"/>
      <c r="R320" s="319"/>
      <c r="S320" s="319"/>
      <c r="T320" s="319"/>
      <c r="U320" s="319"/>
      <c r="V320" s="319"/>
      <c r="W320" s="319"/>
      <c r="X320" s="319"/>
      <c r="Y320" s="319"/>
      <c r="Z320" s="319"/>
      <c r="AA320" s="319"/>
      <c r="AB320" s="319"/>
    </row>
    <row r="321" spans="7:28" ht="13"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  <c r="R321" s="319"/>
      <c r="S321" s="319"/>
      <c r="T321" s="319"/>
      <c r="U321" s="319"/>
      <c r="V321" s="319"/>
      <c r="W321" s="319"/>
      <c r="X321" s="319"/>
      <c r="Y321" s="319"/>
      <c r="Z321" s="319"/>
      <c r="AA321" s="319"/>
      <c r="AB321" s="319"/>
    </row>
    <row r="322" spans="7:28" ht="13">
      <c r="G322" s="319"/>
      <c r="H322" s="319"/>
      <c r="I322" s="319"/>
      <c r="J322" s="319"/>
      <c r="K322" s="319"/>
      <c r="L322" s="319"/>
      <c r="M322" s="319"/>
      <c r="N322" s="319"/>
      <c r="O322" s="319"/>
      <c r="P322" s="319"/>
      <c r="Q322" s="319"/>
      <c r="R322" s="319"/>
      <c r="S322" s="319"/>
      <c r="T322" s="319"/>
      <c r="U322" s="319"/>
      <c r="V322" s="319"/>
      <c r="W322" s="319"/>
      <c r="X322" s="319"/>
      <c r="Y322" s="319"/>
      <c r="Z322" s="319"/>
      <c r="AA322" s="319"/>
      <c r="AB322" s="319"/>
    </row>
    <row r="323" spans="7:28" ht="13">
      <c r="G323" s="319"/>
      <c r="H323" s="319"/>
      <c r="I323" s="319"/>
      <c r="J323" s="319"/>
      <c r="K323" s="319"/>
      <c r="L323" s="319"/>
      <c r="M323" s="319"/>
      <c r="N323" s="319"/>
      <c r="O323" s="319"/>
      <c r="P323" s="319"/>
      <c r="Q323" s="319"/>
      <c r="R323" s="319"/>
      <c r="S323" s="319"/>
      <c r="T323" s="319"/>
      <c r="U323" s="319"/>
      <c r="V323" s="319"/>
      <c r="W323" s="319"/>
      <c r="X323" s="319"/>
      <c r="Y323" s="319"/>
      <c r="Z323" s="319"/>
      <c r="AA323" s="319"/>
      <c r="AB323" s="319"/>
    </row>
    <row r="324" spans="7:28" ht="13">
      <c r="G324" s="319"/>
      <c r="H324" s="319"/>
      <c r="I324" s="319"/>
      <c r="J324" s="319"/>
      <c r="K324" s="319"/>
      <c r="L324" s="319"/>
      <c r="M324" s="319"/>
      <c r="N324" s="319"/>
      <c r="O324" s="319"/>
      <c r="P324" s="319"/>
      <c r="Q324" s="319"/>
      <c r="R324" s="319"/>
      <c r="S324" s="319"/>
      <c r="T324" s="319"/>
      <c r="U324" s="319"/>
      <c r="V324" s="319"/>
      <c r="W324" s="319"/>
      <c r="X324" s="319"/>
      <c r="Y324" s="319"/>
      <c r="Z324" s="319"/>
      <c r="AA324" s="319"/>
      <c r="AB324" s="319"/>
    </row>
    <row r="325" spans="7:28" ht="13">
      <c r="G325" s="319"/>
      <c r="H325" s="319"/>
      <c r="I325" s="319"/>
      <c r="J325" s="319"/>
      <c r="K325" s="319"/>
      <c r="L325" s="319"/>
      <c r="M325" s="319"/>
      <c r="N325" s="319"/>
      <c r="O325" s="319"/>
      <c r="P325" s="319"/>
      <c r="Q325" s="319"/>
      <c r="R325" s="319"/>
      <c r="S325" s="319"/>
      <c r="T325" s="319"/>
      <c r="U325" s="319"/>
      <c r="V325" s="319"/>
      <c r="W325" s="319"/>
      <c r="X325" s="319"/>
      <c r="Y325" s="319"/>
      <c r="Z325" s="319"/>
      <c r="AA325" s="319"/>
      <c r="AB325" s="319"/>
    </row>
    <row r="326" spans="7:28" ht="13"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  <c r="AA326" s="319"/>
      <c r="AB326" s="319"/>
    </row>
    <row r="327" spans="7:28" ht="13"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19"/>
      <c r="S327" s="319"/>
      <c r="T327" s="319"/>
      <c r="U327" s="319"/>
      <c r="V327" s="319"/>
      <c r="W327" s="319"/>
      <c r="X327" s="319"/>
      <c r="Y327" s="319"/>
      <c r="Z327" s="319"/>
      <c r="AA327" s="319"/>
      <c r="AB327" s="319"/>
    </row>
    <row r="328" spans="7:28" ht="13">
      <c r="G328" s="319"/>
      <c r="H328" s="319"/>
      <c r="I328" s="319"/>
      <c r="J328" s="319"/>
      <c r="K328" s="319"/>
      <c r="L328" s="319"/>
      <c r="M328" s="319"/>
      <c r="N328" s="319"/>
      <c r="O328" s="319"/>
      <c r="P328" s="319"/>
      <c r="Q328" s="319"/>
      <c r="R328" s="319"/>
      <c r="S328" s="319"/>
      <c r="T328" s="319"/>
      <c r="U328" s="319"/>
      <c r="V328" s="319"/>
      <c r="W328" s="319"/>
      <c r="X328" s="319"/>
      <c r="Y328" s="319"/>
      <c r="Z328" s="319"/>
      <c r="AA328" s="319"/>
      <c r="AB328" s="319"/>
    </row>
    <row r="329" spans="7:28" ht="13">
      <c r="G329" s="319"/>
      <c r="H329" s="319"/>
      <c r="I329" s="319"/>
      <c r="J329" s="319"/>
      <c r="K329" s="319"/>
      <c r="L329" s="319"/>
      <c r="M329" s="319"/>
      <c r="N329" s="319"/>
      <c r="O329" s="319"/>
      <c r="P329" s="319"/>
      <c r="Q329" s="319"/>
      <c r="R329" s="319"/>
      <c r="S329" s="319"/>
      <c r="T329" s="319"/>
      <c r="U329" s="319"/>
      <c r="V329" s="319"/>
      <c r="W329" s="319"/>
      <c r="X329" s="319"/>
      <c r="Y329" s="319"/>
      <c r="Z329" s="319"/>
      <c r="AA329" s="319"/>
      <c r="AB329" s="319"/>
    </row>
    <row r="330" spans="7:28" ht="13">
      <c r="G330" s="319"/>
      <c r="H330" s="319"/>
      <c r="I330" s="319"/>
      <c r="J330" s="319"/>
      <c r="K330" s="319"/>
      <c r="L330" s="319"/>
      <c r="M330" s="319"/>
      <c r="N330" s="319"/>
      <c r="O330" s="319"/>
      <c r="P330" s="319"/>
      <c r="Q330" s="319"/>
      <c r="R330" s="319"/>
      <c r="S330" s="319"/>
      <c r="T330" s="319"/>
      <c r="U330" s="319"/>
      <c r="V330" s="319"/>
      <c r="W330" s="319"/>
      <c r="X330" s="319"/>
      <c r="Y330" s="319"/>
      <c r="Z330" s="319"/>
      <c r="AA330" s="319"/>
      <c r="AB330" s="319"/>
    </row>
    <row r="331" spans="7:28" ht="13">
      <c r="G331" s="319"/>
      <c r="H331" s="319"/>
      <c r="I331" s="319"/>
      <c r="J331" s="319"/>
      <c r="K331" s="319"/>
      <c r="L331" s="319"/>
      <c r="M331" s="319"/>
      <c r="N331" s="319"/>
      <c r="O331" s="319"/>
      <c r="P331" s="319"/>
      <c r="Q331" s="319"/>
      <c r="R331" s="319"/>
      <c r="S331" s="319"/>
      <c r="T331" s="319"/>
      <c r="U331" s="319"/>
      <c r="V331" s="319"/>
      <c r="W331" s="319"/>
      <c r="X331" s="319"/>
      <c r="Y331" s="319"/>
      <c r="Z331" s="319"/>
      <c r="AA331" s="319"/>
      <c r="AB331" s="319"/>
    </row>
    <row r="332" spans="7:28" ht="13">
      <c r="G332" s="319"/>
      <c r="H332" s="319"/>
      <c r="I332" s="319"/>
      <c r="J332" s="319"/>
      <c r="K332" s="319"/>
      <c r="L332" s="319"/>
      <c r="M332" s="319"/>
      <c r="N332" s="319"/>
      <c r="O332" s="319"/>
      <c r="P332" s="319"/>
      <c r="Q332" s="319"/>
      <c r="R332" s="319"/>
      <c r="S332" s="319"/>
      <c r="T332" s="319"/>
      <c r="U332" s="319"/>
      <c r="V332" s="319"/>
      <c r="W332" s="319"/>
      <c r="X332" s="319"/>
      <c r="Y332" s="319"/>
      <c r="Z332" s="319"/>
      <c r="AA332" s="319"/>
      <c r="AB332" s="319"/>
    </row>
    <row r="333" spans="7:28" ht="13"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  <c r="R333" s="319"/>
      <c r="S333" s="319"/>
      <c r="T333" s="319"/>
      <c r="U333" s="319"/>
      <c r="V333" s="319"/>
      <c r="W333" s="319"/>
      <c r="X333" s="319"/>
      <c r="Y333" s="319"/>
      <c r="Z333" s="319"/>
      <c r="AA333" s="319"/>
      <c r="AB333" s="319"/>
    </row>
    <row r="334" spans="7:28" ht="13">
      <c r="G334" s="319"/>
      <c r="H334" s="319"/>
      <c r="I334" s="319"/>
      <c r="J334" s="319"/>
      <c r="K334" s="319"/>
      <c r="L334" s="319"/>
      <c r="M334" s="319"/>
      <c r="N334" s="319"/>
      <c r="O334" s="319"/>
      <c r="P334" s="319"/>
      <c r="Q334" s="319"/>
      <c r="R334" s="319"/>
      <c r="S334" s="319"/>
      <c r="T334" s="319"/>
      <c r="U334" s="319"/>
      <c r="V334" s="319"/>
      <c r="W334" s="319"/>
      <c r="X334" s="319"/>
      <c r="Y334" s="319"/>
      <c r="Z334" s="319"/>
      <c r="AA334" s="319"/>
      <c r="AB334" s="319"/>
    </row>
    <row r="335" spans="7:28" ht="13">
      <c r="G335" s="319"/>
      <c r="H335" s="319"/>
      <c r="I335" s="319"/>
      <c r="J335" s="319"/>
      <c r="K335" s="319"/>
      <c r="L335" s="319"/>
      <c r="M335" s="319"/>
      <c r="N335" s="319"/>
      <c r="O335" s="319"/>
      <c r="P335" s="319"/>
      <c r="Q335" s="319"/>
      <c r="R335" s="319"/>
      <c r="S335" s="319"/>
      <c r="T335" s="319"/>
      <c r="U335" s="319"/>
      <c r="V335" s="319"/>
      <c r="W335" s="319"/>
      <c r="X335" s="319"/>
      <c r="Y335" s="319"/>
      <c r="Z335" s="319"/>
      <c r="AA335" s="319"/>
      <c r="AB335" s="319"/>
    </row>
    <row r="336" spans="7:28" ht="13">
      <c r="G336" s="319"/>
      <c r="H336" s="319"/>
      <c r="I336" s="319"/>
      <c r="J336" s="319"/>
      <c r="K336" s="319"/>
      <c r="L336" s="319"/>
      <c r="M336" s="319"/>
      <c r="N336" s="319"/>
      <c r="O336" s="319"/>
      <c r="P336" s="319"/>
      <c r="Q336" s="319"/>
      <c r="R336" s="319"/>
      <c r="S336" s="319"/>
      <c r="T336" s="319"/>
      <c r="U336" s="319"/>
      <c r="V336" s="319"/>
      <c r="W336" s="319"/>
      <c r="X336" s="319"/>
      <c r="Y336" s="319"/>
      <c r="Z336" s="319"/>
      <c r="AA336" s="319"/>
      <c r="AB336" s="319"/>
    </row>
    <row r="337" spans="7:28" ht="13">
      <c r="G337" s="319"/>
      <c r="H337" s="319"/>
      <c r="I337" s="319"/>
      <c r="J337" s="319"/>
      <c r="K337" s="319"/>
      <c r="L337" s="319"/>
      <c r="M337" s="319"/>
      <c r="N337" s="319"/>
      <c r="O337" s="319"/>
      <c r="P337" s="319"/>
      <c r="Q337" s="319"/>
      <c r="R337" s="319"/>
      <c r="S337" s="319"/>
      <c r="T337" s="319"/>
      <c r="U337" s="319"/>
      <c r="V337" s="319"/>
      <c r="W337" s="319"/>
      <c r="X337" s="319"/>
      <c r="Y337" s="319"/>
      <c r="Z337" s="319"/>
      <c r="AA337" s="319"/>
      <c r="AB337" s="319"/>
    </row>
    <row r="338" spans="7:28" ht="13">
      <c r="G338" s="319"/>
      <c r="H338" s="319"/>
      <c r="I338" s="319"/>
      <c r="J338" s="319"/>
      <c r="K338" s="319"/>
      <c r="L338" s="319"/>
      <c r="M338" s="319"/>
      <c r="N338" s="319"/>
      <c r="O338" s="319"/>
      <c r="P338" s="319"/>
      <c r="Q338" s="319"/>
      <c r="R338" s="319"/>
      <c r="S338" s="319"/>
      <c r="T338" s="319"/>
      <c r="U338" s="319"/>
      <c r="V338" s="319"/>
      <c r="W338" s="319"/>
      <c r="X338" s="319"/>
      <c r="Y338" s="319"/>
      <c r="Z338" s="319"/>
      <c r="AA338" s="319"/>
      <c r="AB338" s="319"/>
    </row>
    <row r="339" spans="7:28" ht="13">
      <c r="G339" s="319"/>
      <c r="H339" s="319"/>
      <c r="I339" s="319"/>
      <c r="J339" s="319"/>
      <c r="K339" s="319"/>
      <c r="L339" s="319"/>
      <c r="M339" s="319"/>
      <c r="N339" s="319"/>
      <c r="O339" s="319"/>
      <c r="P339" s="319"/>
      <c r="Q339" s="319"/>
      <c r="R339" s="319"/>
      <c r="S339" s="319"/>
      <c r="T339" s="319"/>
      <c r="U339" s="319"/>
      <c r="V339" s="319"/>
      <c r="W339" s="319"/>
      <c r="X339" s="319"/>
      <c r="Y339" s="319"/>
      <c r="Z339" s="319"/>
      <c r="AA339" s="319"/>
      <c r="AB339" s="319"/>
    </row>
    <row r="340" spans="7:28" ht="13">
      <c r="G340" s="319"/>
      <c r="H340" s="319"/>
      <c r="I340" s="319"/>
      <c r="J340" s="319"/>
      <c r="K340" s="319"/>
      <c r="L340" s="319"/>
      <c r="M340" s="319"/>
      <c r="N340" s="319"/>
      <c r="O340" s="319"/>
      <c r="P340" s="319"/>
      <c r="Q340" s="319"/>
      <c r="R340" s="319"/>
      <c r="S340" s="319"/>
      <c r="T340" s="319"/>
      <c r="U340" s="319"/>
      <c r="V340" s="319"/>
      <c r="W340" s="319"/>
      <c r="X340" s="319"/>
      <c r="Y340" s="319"/>
      <c r="Z340" s="319"/>
      <c r="AA340" s="319"/>
      <c r="AB340" s="319"/>
    </row>
    <row r="341" spans="7:28" ht="13"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19"/>
      <c r="S341" s="319"/>
      <c r="T341" s="319"/>
      <c r="U341" s="319"/>
      <c r="V341" s="319"/>
      <c r="W341" s="319"/>
      <c r="X341" s="319"/>
      <c r="Y341" s="319"/>
      <c r="Z341" s="319"/>
      <c r="AA341" s="319"/>
      <c r="AB341" s="319"/>
    </row>
    <row r="342" spans="7:28" ht="13"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  <c r="AA342" s="319"/>
      <c r="AB342" s="319"/>
    </row>
    <row r="343" spans="7:28" ht="13"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  <c r="AA343" s="319"/>
      <c r="AB343" s="319"/>
    </row>
    <row r="344" spans="7:28" ht="13">
      <c r="G344" s="319"/>
      <c r="H344" s="319"/>
      <c r="I344" s="319"/>
      <c r="J344" s="319"/>
      <c r="K344" s="319"/>
      <c r="L344" s="319"/>
      <c r="M344" s="319"/>
      <c r="N344" s="319"/>
      <c r="O344" s="319"/>
      <c r="P344" s="319"/>
      <c r="Q344" s="319"/>
      <c r="R344" s="319"/>
      <c r="S344" s="319"/>
      <c r="T344" s="319"/>
      <c r="U344" s="319"/>
      <c r="V344" s="319"/>
      <c r="W344" s="319"/>
      <c r="X344" s="319"/>
      <c r="Y344" s="319"/>
      <c r="Z344" s="319"/>
      <c r="AA344" s="319"/>
      <c r="AB344" s="319"/>
    </row>
    <row r="345" spans="7:28" ht="13"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  <c r="R345" s="319"/>
      <c r="S345" s="319"/>
      <c r="T345" s="319"/>
      <c r="U345" s="319"/>
      <c r="V345" s="319"/>
      <c r="W345" s="319"/>
      <c r="X345" s="319"/>
      <c r="Y345" s="319"/>
      <c r="Z345" s="319"/>
      <c r="AA345" s="319"/>
      <c r="AB345" s="319"/>
    </row>
    <row r="346" spans="7:28" ht="13">
      <c r="G346" s="319"/>
      <c r="H346" s="319"/>
      <c r="I346" s="319"/>
      <c r="J346" s="319"/>
      <c r="K346" s="319"/>
      <c r="L346" s="319"/>
      <c r="M346" s="319"/>
      <c r="N346" s="319"/>
      <c r="O346" s="319"/>
      <c r="P346" s="319"/>
      <c r="Q346" s="319"/>
      <c r="R346" s="319"/>
      <c r="S346" s="319"/>
      <c r="T346" s="319"/>
      <c r="U346" s="319"/>
      <c r="V346" s="319"/>
      <c r="W346" s="319"/>
      <c r="X346" s="319"/>
      <c r="Y346" s="319"/>
      <c r="Z346" s="319"/>
      <c r="AA346" s="319"/>
      <c r="AB346" s="319"/>
    </row>
    <row r="347" spans="7:28" ht="13"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  <c r="R347" s="319"/>
      <c r="S347" s="319"/>
      <c r="T347" s="319"/>
      <c r="U347" s="319"/>
      <c r="V347" s="319"/>
      <c r="W347" s="319"/>
      <c r="X347" s="319"/>
      <c r="Y347" s="319"/>
      <c r="Z347" s="319"/>
      <c r="AA347" s="319"/>
      <c r="AB347" s="319"/>
    </row>
    <row r="348" spans="7:28" ht="13">
      <c r="G348" s="319"/>
      <c r="H348" s="319"/>
      <c r="I348" s="319"/>
      <c r="J348" s="319"/>
      <c r="K348" s="319"/>
      <c r="L348" s="319"/>
      <c r="M348" s="319"/>
      <c r="N348" s="319"/>
      <c r="O348" s="319"/>
      <c r="P348" s="319"/>
      <c r="Q348" s="319"/>
      <c r="R348" s="319"/>
      <c r="S348" s="319"/>
      <c r="T348" s="319"/>
      <c r="U348" s="319"/>
      <c r="V348" s="319"/>
      <c r="W348" s="319"/>
      <c r="X348" s="319"/>
      <c r="Y348" s="319"/>
      <c r="Z348" s="319"/>
      <c r="AA348" s="319"/>
      <c r="AB348" s="319"/>
    </row>
    <row r="349" spans="7:28" ht="13">
      <c r="G349" s="319"/>
      <c r="H349" s="319"/>
      <c r="I349" s="319"/>
      <c r="J349" s="319"/>
      <c r="K349" s="319"/>
      <c r="L349" s="319"/>
      <c r="M349" s="319"/>
      <c r="N349" s="319"/>
      <c r="O349" s="319"/>
      <c r="P349" s="319"/>
      <c r="Q349" s="319"/>
      <c r="R349" s="319"/>
      <c r="S349" s="319"/>
      <c r="T349" s="319"/>
      <c r="U349" s="319"/>
      <c r="V349" s="319"/>
      <c r="W349" s="319"/>
      <c r="X349" s="319"/>
      <c r="Y349" s="319"/>
      <c r="Z349" s="319"/>
      <c r="AA349" s="319"/>
      <c r="AB349" s="319"/>
    </row>
    <row r="350" spans="7:28" ht="13">
      <c r="G350" s="319"/>
      <c r="H350" s="319"/>
      <c r="I350" s="319"/>
      <c r="J350" s="319"/>
      <c r="K350" s="319"/>
      <c r="L350" s="319"/>
      <c r="M350" s="319"/>
      <c r="N350" s="319"/>
      <c r="O350" s="319"/>
      <c r="P350" s="319"/>
      <c r="Q350" s="319"/>
      <c r="R350" s="319"/>
      <c r="S350" s="319"/>
      <c r="T350" s="319"/>
      <c r="U350" s="319"/>
      <c r="V350" s="319"/>
      <c r="W350" s="319"/>
      <c r="X350" s="319"/>
      <c r="Y350" s="319"/>
      <c r="Z350" s="319"/>
      <c r="AA350" s="319"/>
      <c r="AB350" s="319"/>
    </row>
    <row r="351" spans="7:28" ht="13">
      <c r="G351" s="319"/>
      <c r="H351" s="319"/>
      <c r="I351" s="319"/>
      <c r="J351" s="319"/>
      <c r="K351" s="319"/>
      <c r="L351" s="319"/>
      <c r="M351" s="319"/>
      <c r="N351" s="319"/>
      <c r="O351" s="319"/>
      <c r="P351" s="319"/>
      <c r="Q351" s="319"/>
      <c r="R351" s="319"/>
      <c r="S351" s="319"/>
      <c r="T351" s="319"/>
      <c r="U351" s="319"/>
      <c r="V351" s="319"/>
      <c r="W351" s="319"/>
      <c r="X351" s="319"/>
      <c r="Y351" s="319"/>
      <c r="Z351" s="319"/>
      <c r="AA351" s="319"/>
      <c r="AB351" s="319"/>
    </row>
    <row r="352" spans="7:28" ht="13"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  <c r="R352" s="319"/>
      <c r="S352" s="319"/>
      <c r="T352" s="319"/>
      <c r="U352" s="319"/>
      <c r="V352" s="319"/>
      <c r="W352" s="319"/>
      <c r="X352" s="319"/>
      <c r="Y352" s="319"/>
      <c r="Z352" s="319"/>
      <c r="AA352" s="319"/>
      <c r="AB352" s="319"/>
    </row>
    <row r="353" spans="7:28" ht="13">
      <c r="G353" s="319"/>
      <c r="H353" s="319"/>
      <c r="I353" s="319"/>
      <c r="J353" s="319"/>
      <c r="K353" s="319"/>
      <c r="L353" s="319"/>
      <c r="M353" s="319"/>
      <c r="N353" s="319"/>
      <c r="O353" s="319"/>
      <c r="P353" s="319"/>
      <c r="Q353" s="319"/>
      <c r="R353" s="319"/>
      <c r="S353" s="319"/>
      <c r="T353" s="319"/>
      <c r="U353" s="319"/>
      <c r="V353" s="319"/>
      <c r="W353" s="319"/>
      <c r="X353" s="319"/>
      <c r="Y353" s="319"/>
      <c r="Z353" s="319"/>
      <c r="AA353" s="319"/>
      <c r="AB353" s="319"/>
    </row>
    <row r="354" spans="7:28" ht="13">
      <c r="G354" s="319"/>
      <c r="H354" s="319"/>
      <c r="I354" s="319"/>
      <c r="J354" s="319"/>
      <c r="K354" s="319"/>
      <c r="L354" s="319"/>
      <c r="M354" s="319"/>
      <c r="N354" s="319"/>
      <c r="O354" s="319"/>
      <c r="P354" s="319"/>
      <c r="Q354" s="319"/>
      <c r="R354" s="319"/>
      <c r="S354" s="319"/>
      <c r="T354" s="319"/>
      <c r="U354" s="319"/>
      <c r="V354" s="319"/>
      <c r="W354" s="319"/>
      <c r="X354" s="319"/>
      <c r="Y354" s="319"/>
      <c r="Z354" s="319"/>
      <c r="AA354" s="319"/>
      <c r="AB354" s="319"/>
    </row>
    <row r="355" spans="7:28" ht="13">
      <c r="G355" s="319"/>
      <c r="H355" s="319"/>
      <c r="I355" s="319"/>
      <c r="J355" s="319"/>
      <c r="K355" s="319"/>
      <c r="L355" s="319"/>
      <c r="M355" s="319"/>
      <c r="N355" s="319"/>
      <c r="O355" s="319"/>
      <c r="P355" s="319"/>
      <c r="Q355" s="319"/>
      <c r="R355" s="319"/>
      <c r="S355" s="319"/>
      <c r="T355" s="319"/>
      <c r="U355" s="319"/>
      <c r="V355" s="319"/>
      <c r="W355" s="319"/>
      <c r="X355" s="319"/>
      <c r="Y355" s="319"/>
      <c r="Z355" s="319"/>
      <c r="AA355" s="319"/>
      <c r="AB355" s="319"/>
    </row>
    <row r="356" spans="7:28" ht="13">
      <c r="G356" s="319"/>
      <c r="H356" s="319"/>
      <c r="I356" s="319"/>
      <c r="J356" s="319"/>
      <c r="K356" s="319"/>
      <c r="L356" s="319"/>
      <c r="M356" s="319"/>
      <c r="N356" s="319"/>
      <c r="O356" s="319"/>
      <c r="P356" s="319"/>
      <c r="Q356" s="319"/>
      <c r="R356" s="319"/>
      <c r="S356" s="319"/>
      <c r="T356" s="319"/>
      <c r="U356" s="319"/>
      <c r="V356" s="319"/>
      <c r="W356" s="319"/>
      <c r="X356" s="319"/>
      <c r="Y356" s="319"/>
      <c r="Z356" s="319"/>
      <c r="AA356" s="319"/>
      <c r="AB356" s="319"/>
    </row>
    <row r="357" spans="7:28" ht="13">
      <c r="G357" s="319"/>
      <c r="H357" s="319"/>
      <c r="I357" s="319"/>
      <c r="J357" s="319"/>
      <c r="K357" s="319"/>
      <c r="L357" s="319"/>
      <c r="M357" s="319"/>
      <c r="N357" s="319"/>
      <c r="O357" s="319"/>
      <c r="P357" s="319"/>
      <c r="Q357" s="319"/>
      <c r="R357" s="319"/>
      <c r="S357" s="319"/>
      <c r="T357" s="319"/>
      <c r="U357" s="319"/>
      <c r="V357" s="319"/>
      <c r="W357" s="319"/>
      <c r="X357" s="319"/>
      <c r="Y357" s="319"/>
      <c r="Z357" s="319"/>
      <c r="AA357" s="319"/>
      <c r="AB357" s="319"/>
    </row>
    <row r="358" spans="7:28" ht="13"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  <c r="R358" s="319"/>
      <c r="S358" s="319"/>
      <c r="T358" s="319"/>
      <c r="U358" s="319"/>
      <c r="V358" s="319"/>
      <c r="W358" s="319"/>
      <c r="X358" s="319"/>
      <c r="Y358" s="319"/>
      <c r="Z358" s="319"/>
      <c r="AA358" s="319"/>
      <c r="AB358" s="319"/>
    </row>
    <row r="359" spans="7:28" ht="13">
      <c r="G359" s="319"/>
      <c r="H359" s="319"/>
      <c r="I359" s="319"/>
      <c r="J359" s="319"/>
      <c r="K359" s="319"/>
      <c r="L359" s="319"/>
      <c r="M359" s="319"/>
      <c r="N359" s="319"/>
      <c r="O359" s="319"/>
      <c r="P359" s="319"/>
      <c r="Q359" s="319"/>
      <c r="R359" s="319"/>
      <c r="S359" s="319"/>
      <c r="T359" s="319"/>
      <c r="U359" s="319"/>
      <c r="V359" s="319"/>
      <c r="W359" s="319"/>
      <c r="X359" s="319"/>
      <c r="Y359" s="319"/>
      <c r="Z359" s="319"/>
      <c r="AA359" s="319"/>
      <c r="AB359" s="319"/>
    </row>
    <row r="360" spans="7:28" ht="13">
      <c r="G360" s="319"/>
      <c r="H360" s="319"/>
      <c r="I360" s="319"/>
      <c r="J360" s="319"/>
      <c r="K360" s="319"/>
      <c r="L360" s="319"/>
      <c r="M360" s="319"/>
      <c r="N360" s="319"/>
      <c r="O360" s="319"/>
      <c r="P360" s="319"/>
      <c r="Q360" s="319"/>
      <c r="R360" s="319"/>
      <c r="S360" s="319"/>
      <c r="T360" s="319"/>
      <c r="U360" s="319"/>
      <c r="V360" s="319"/>
      <c r="W360" s="319"/>
      <c r="X360" s="319"/>
      <c r="Y360" s="319"/>
      <c r="Z360" s="319"/>
      <c r="AA360" s="319"/>
      <c r="AB360" s="319"/>
    </row>
    <row r="361" spans="7:28" ht="13">
      <c r="G361" s="319"/>
      <c r="H361" s="319"/>
      <c r="I361" s="319"/>
      <c r="J361" s="319"/>
      <c r="K361" s="319"/>
      <c r="L361" s="319"/>
      <c r="M361" s="319"/>
      <c r="N361" s="319"/>
      <c r="O361" s="319"/>
      <c r="P361" s="319"/>
      <c r="Q361" s="319"/>
      <c r="R361" s="319"/>
      <c r="S361" s="319"/>
      <c r="T361" s="319"/>
      <c r="U361" s="319"/>
      <c r="V361" s="319"/>
      <c r="W361" s="319"/>
      <c r="X361" s="319"/>
      <c r="Y361" s="319"/>
      <c r="Z361" s="319"/>
      <c r="AA361" s="319"/>
      <c r="AB361" s="319"/>
    </row>
    <row r="362" spans="7:28" ht="13"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  <c r="R362" s="319"/>
      <c r="S362" s="319"/>
      <c r="T362" s="319"/>
      <c r="U362" s="319"/>
      <c r="V362" s="319"/>
      <c r="W362" s="319"/>
      <c r="X362" s="319"/>
      <c r="Y362" s="319"/>
      <c r="Z362" s="319"/>
      <c r="AA362" s="319"/>
      <c r="AB362" s="319"/>
    </row>
    <row r="363" spans="7:28" ht="13">
      <c r="G363" s="319"/>
      <c r="H363" s="319"/>
      <c r="I363" s="319"/>
      <c r="J363" s="319"/>
      <c r="K363" s="319"/>
      <c r="L363" s="319"/>
      <c r="M363" s="319"/>
      <c r="N363" s="319"/>
      <c r="O363" s="319"/>
      <c r="P363" s="319"/>
      <c r="Q363" s="319"/>
      <c r="R363" s="319"/>
      <c r="S363" s="319"/>
      <c r="T363" s="319"/>
      <c r="U363" s="319"/>
      <c r="V363" s="319"/>
      <c r="W363" s="319"/>
      <c r="X363" s="319"/>
      <c r="Y363" s="319"/>
      <c r="Z363" s="319"/>
      <c r="AA363" s="319"/>
      <c r="AB363" s="319"/>
    </row>
    <row r="364" spans="7:28" ht="13">
      <c r="G364" s="319"/>
      <c r="H364" s="319"/>
      <c r="I364" s="319"/>
      <c r="J364" s="319"/>
      <c r="K364" s="319"/>
      <c r="L364" s="319"/>
      <c r="M364" s="319"/>
      <c r="N364" s="319"/>
      <c r="O364" s="319"/>
      <c r="P364" s="319"/>
      <c r="Q364" s="319"/>
      <c r="R364" s="319"/>
      <c r="S364" s="319"/>
      <c r="T364" s="319"/>
      <c r="U364" s="319"/>
      <c r="V364" s="319"/>
      <c r="W364" s="319"/>
      <c r="X364" s="319"/>
      <c r="Y364" s="319"/>
      <c r="Z364" s="319"/>
      <c r="AA364" s="319"/>
      <c r="AB364" s="319"/>
    </row>
    <row r="365" spans="7:28" ht="13">
      <c r="G365" s="319"/>
      <c r="H365" s="319"/>
      <c r="I365" s="319"/>
      <c r="J365" s="319"/>
      <c r="K365" s="319"/>
      <c r="L365" s="319"/>
      <c r="M365" s="319"/>
      <c r="N365" s="319"/>
      <c r="O365" s="319"/>
      <c r="P365" s="319"/>
      <c r="Q365" s="319"/>
      <c r="R365" s="319"/>
      <c r="S365" s="319"/>
      <c r="T365" s="319"/>
      <c r="U365" s="319"/>
      <c r="V365" s="319"/>
      <c r="W365" s="319"/>
      <c r="X365" s="319"/>
      <c r="Y365" s="319"/>
      <c r="Z365" s="319"/>
      <c r="AA365" s="319"/>
      <c r="AB365" s="319"/>
    </row>
    <row r="366" spans="7:28" ht="13">
      <c r="G366" s="319"/>
      <c r="H366" s="319"/>
      <c r="I366" s="319"/>
      <c r="J366" s="319"/>
      <c r="K366" s="319"/>
      <c r="L366" s="319"/>
      <c r="M366" s="319"/>
      <c r="N366" s="319"/>
      <c r="O366" s="319"/>
      <c r="P366" s="319"/>
      <c r="Q366" s="319"/>
      <c r="R366" s="319"/>
      <c r="S366" s="319"/>
      <c r="T366" s="319"/>
      <c r="U366" s="319"/>
      <c r="V366" s="319"/>
      <c r="W366" s="319"/>
      <c r="X366" s="319"/>
      <c r="Y366" s="319"/>
      <c r="Z366" s="319"/>
      <c r="AA366" s="319"/>
      <c r="AB366" s="319"/>
    </row>
    <row r="367" spans="7:28" ht="13">
      <c r="G367" s="319"/>
      <c r="H367" s="319"/>
      <c r="I367" s="319"/>
      <c r="J367" s="319"/>
      <c r="K367" s="319"/>
      <c r="L367" s="319"/>
      <c r="M367" s="319"/>
      <c r="N367" s="319"/>
      <c r="O367" s="319"/>
      <c r="P367" s="319"/>
      <c r="Q367" s="319"/>
      <c r="R367" s="319"/>
      <c r="S367" s="319"/>
      <c r="T367" s="319"/>
      <c r="U367" s="319"/>
      <c r="V367" s="319"/>
      <c r="W367" s="319"/>
      <c r="X367" s="319"/>
      <c r="Y367" s="319"/>
      <c r="Z367" s="319"/>
      <c r="AA367" s="319"/>
      <c r="AB367" s="319"/>
    </row>
    <row r="368" spans="7:28" ht="13">
      <c r="G368" s="319"/>
      <c r="H368" s="319"/>
      <c r="I368" s="319"/>
      <c r="J368" s="319"/>
      <c r="K368" s="319"/>
      <c r="L368" s="319"/>
      <c r="M368" s="319"/>
      <c r="N368" s="319"/>
      <c r="O368" s="319"/>
      <c r="P368" s="319"/>
      <c r="Q368" s="319"/>
      <c r="R368" s="319"/>
      <c r="S368" s="319"/>
      <c r="T368" s="319"/>
      <c r="U368" s="319"/>
      <c r="V368" s="319"/>
      <c r="W368" s="319"/>
      <c r="X368" s="319"/>
      <c r="Y368" s="319"/>
      <c r="Z368" s="319"/>
      <c r="AA368" s="319"/>
      <c r="AB368" s="319"/>
    </row>
    <row r="369" spans="7:28" ht="13"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  <c r="R369" s="319"/>
      <c r="S369" s="319"/>
      <c r="T369" s="319"/>
      <c r="U369" s="319"/>
      <c r="V369" s="319"/>
      <c r="W369" s="319"/>
      <c r="X369" s="319"/>
      <c r="Y369" s="319"/>
      <c r="Z369" s="319"/>
      <c r="AA369" s="319"/>
      <c r="AB369" s="319"/>
    </row>
    <row r="370" spans="7:28" ht="13">
      <c r="G370" s="319"/>
      <c r="H370" s="319"/>
      <c r="I370" s="319"/>
      <c r="J370" s="319"/>
      <c r="K370" s="319"/>
      <c r="L370" s="319"/>
      <c r="M370" s="319"/>
      <c r="N370" s="319"/>
      <c r="O370" s="319"/>
      <c r="P370" s="319"/>
      <c r="Q370" s="319"/>
      <c r="R370" s="319"/>
      <c r="S370" s="319"/>
      <c r="T370" s="319"/>
      <c r="U370" s="319"/>
      <c r="V370" s="319"/>
      <c r="W370" s="319"/>
      <c r="X370" s="319"/>
      <c r="Y370" s="319"/>
      <c r="Z370" s="319"/>
      <c r="AA370" s="319"/>
      <c r="AB370" s="319"/>
    </row>
    <row r="371" spans="7:28" ht="13">
      <c r="G371" s="319"/>
      <c r="H371" s="319"/>
      <c r="I371" s="319"/>
      <c r="J371" s="319"/>
      <c r="K371" s="319"/>
      <c r="L371" s="319"/>
      <c r="M371" s="319"/>
      <c r="N371" s="319"/>
      <c r="O371" s="319"/>
      <c r="P371" s="319"/>
      <c r="Q371" s="319"/>
      <c r="R371" s="319"/>
      <c r="S371" s="319"/>
      <c r="T371" s="319"/>
      <c r="U371" s="319"/>
      <c r="V371" s="319"/>
      <c r="W371" s="319"/>
      <c r="X371" s="319"/>
      <c r="Y371" s="319"/>
      <c r="Z371" s="319"/>
      <c r="AA371" s="319"/>
      <c r="AB371" s="319"/>
    </row>
    <row r="372" spans="7:28" ht="13">
      <c r="G372" s="319"/>
      <c r="H372" s="319"/>
      <c r="I372" s="319"/>
      <c r="J372" s="319"/>
      <c r="K372" s="319"/>
      <c r="L372" s="319"/>
      <c r="M372" s="319"/>
      <c r="N372" s="319"/>
      <c r="O372" s="319"/>
      <c r="P372" s="319"/>
      <c r="Q372" s="319"/>
      <c r="R372" s="319"/>
      <c r="S372" s="319"/>
      <c r="T372" s="319"/>
      <c r="U372" s="319"/>
      <c r="V372" s="319"/>
      <c r="W372" s="319"/>
      <c r="X372" s="319"/>
      <c r="Y372" s="319"/>
      <c r="Z372" s="319"/>
      <c r="AA372" s="319"/>
      <c r="AB372" s="319"/>
    </row>
    <row r="373" spans="7:28" ht="13">
      <c r="G373" s="319"/>
      <c r="H373" s="319"/>
      <c r="I373" s="319"/>
      <c r="J373" s="319"/>
      <c r="K373" s="319"/>
      <c r="L373" s="319"/>
      <c r="M373" s="319"/>
      <c r="N373" s="319"/>
      <c r="O373" s="319"/>
      <c r="P373" s="319"/>
      <c r="Q373" s="319"/>
      <c r="R373" s="319"/>
      <c r="S373" s="319"/>
      <c r="T373" s="319"/>
      <c r="U373" s="319"/>
      <c r="V373" s="319"/>
      <c r="W373" s="319"/>
      <c r="X373" s="319"/>
      <c r="Y373" s="319"/>
      <c r="Z373" s="319"/>
      <c r="AA373" s="319"/>
      <c r="AB373" s="319"/>
    </row>
    <row r="374" spans="7:28" ht="13">
      <c r="G374" s="319"/>
      <c r="H374" s="319"/>
      <c r="I374" s="319"/>
      <c r="J374" s="319"/>
      <c r="K374" s="319"/>
      <c r="L374" s="319"/>
      <c r="M374" s="319"/>
      <c r="N374" s="319"/>
      <c r="O374" s="319"/>
      <c r="P374" s="319"/>
      <c r="Q374" s="319"/>
      <c r="R374" s="319"/>
      <c r="S374" s="319"/>
      <c r="T374" s="319"/>
      <c r="U374" s="319"/>
      <c r="V374" s="319"/>
      <c r="W374" s="319"/>
      <c r="X374" s="319"/>
      <c r="Y374" s="319"/>
      <c r="Z374" s="319"/>
      <c r="AA374" s="319"/>
      <c r="AB374" s="319"/>
    </row>
    <row r="375" spans="7:28" ht="13"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  <c r="R375" s="319"/>
      <c r="S375" s="319"/>
      <c r="T375" s="319"/>
      <c r="U375" s="319"/>
      <c r="V375" s="319"/>
      <c r="W375" s="319"/>
      <c r="X375" s="319"/>
      <c r="Y375" s="319"/>
      <c r="Z375" s="319"/>
      <c r="AA375" s="319"/>
      <c r="AB375" s="319"/>
    </row>
    <row r="376" spans="7:28" ht="13"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  <c r="R376" s="319"/>
      <c r="S376" s="319"/>
      <c r="T376" s="319"/>
      <c r="U376" s="319"/>
      <c r="V376" s="319"/>
      <c r="W376" s="319"/>
      <c r="X376" s="319"/>
      <c r="Y376" s="319"/>
      <c r="Z376" s="319"/>
      <c r="AA376" s="319"/>
      <c r="AB376" s="319"/>
    </row>
    <row r="377" spans="7:28" ht="13">
      <c r="G377" s="319"/>
      <c r="H377" s="319"/>
      <c r="I377" s="319"/>
      <c r="J377" s="319"/>
      <c r="K377" s="319"/>
      <c r="L377" s="319"/>
      <c r="M377" s="319"/>
      <c r="N377" s="319"/>
      <c r="O377" s="319"/>
      <c r="P377" s="319"/>
      <c r="Q377" s="319"/>
      <c r="R377" s="319"/>
      <c r="S377" s="319"/>
      <c r="T377" s="319"/>
      <c r="U377" s="319"/>
      <c r="V377" s="319"/>
      <c r="W377" s="319"/>
      <c r="X377" s="319"/>
      <c r="Y377" s="319"/>
      <c r="Z377" s="319"/>
      <c r="AA377" s="319"/>
      <c r="AB377" s="319"/>
    </row>
    <row r="378" spans="7:28" ht="13">
      <c r="G378" s="319"/>
      <c r="H378" s="319"/>
      <c r="I378" s="319"/>
      <c r="J378" s="319"/>
      <c r="K378" s="319"/>
      <c r="L378" s="319"/>
      <c r="M378" s="319"/>
      <c r="N378" s="319"/>
      <c r="O378" s="319"/>
      <c r="P378" s="319"/>
      <c r="Q378" s="319"/>
      <c r="R378" s="319"/>
      <c r="S378" s="319"/>
      <c r="T378" s="319"/>
      <c r="U378" s="319"/>
      <c r="V378" s="319"/>
      <c r="W378" s="319"/>
      <c r="X378" s="319"/>
      <c r="Y378" s="319"/>
      <c r="Z378" s="319"/>
      <c r="AA378" s="319"/>
      <c r="AB378" s="319"/>
    </row>
    <row r="379" spans="7:28" ht="13">
      <c r="G379" s="319"/>
      <c r="H379" s="319"/>
      <c r="I379" s="319"/>
      <c r="J379" s="319"/>
      <c r="K379" s="319"/>
      <c r="L379" s="319"/>
      <c r="M379" s="319"/>
      <c r="N379" s="319"/>
      <c r="O379" s="319"/>
      <c r="P379" s="319"/>
      <c r="Q379" s="319"/>
      <c r="R379" s="319"/>
      <c r="S379" s="319"/>
      <c r="T379" s="319"/>
      <c r="U379" s="319"/>
      <c r="V379" s="319"/>
      <c r="W379" s="319"/>
      <c r="X379" s="319"/>
      <c r="Y379" s="319"/>
      <c r="Z379" s="319"/>
      <c r="AA379" s="319"/>
      <c r="AB379" s="319"/>
    </row>
    <row r="380" spans="7:28" ht="13">
      <c r="G380" s="319"/>
      <c r="H380" s="319"/>
      <c r="I380" s="319"/>
      <c r="J380" s="319"/>
      <c r="K380" s="319"/>
      <c r="L380" s="319"/>
      <c r="M380" s="319"/>
      <c r="N380" s="319"/>
      <c r="O380" s="319"/>
      <c r="P380" s="319"/>
      <c r="Q380" s="319"/>
      <c r="R380" s="319"/>
      <c r="S380" s="319"/>
      <c r="T380" s="319"/>
      <c r="U380" s="319"/>
      <c r="V380" s="319"/>
      <c r="W380" s="319"/>
      <c r="X380" s="319"/>
      <c r="Y380" s="319"/>
      <c r="Z380" s="319"/>
      <c r="AA380" s="319"/>
      <c r="AB380" s="319"/>
    </row>
    <row r="381" spans="7:28" ht="13">
      <c r="G381" s="319"/>
      <c r="H381" s="319"/>
      <c r="I381" s="319"/>
      <c r="J381" s="319"/>
      <c r="K381" s="319"/>
      <c r="L381" s="319"/>
      <c r="M381" s="319"/>
      <c r="N381" s="319"/>
      <c r="O381" s="319"/>
      <c r="P381" s="319"/>
      <c r="Q381" s="319"/>
      <c r="R381" s="319"/>
      <c r="S381" s="319"/>
      <c r="T381" s="319"/>
      <c r="U381" s="319"/>
      <c r="V381" s="319"/>
      <c r="W381" s="319"/>
      <c r="X381" s="319"/>
      <c r="Y381" s="319"/>
      <c r="Z381" s="319"/>
      <c r="AA381" s="319"/>
      <c r="AB381" s="319"/>
    </row>
    <row r="382" spans="7:28" ht="13">
      <c r="G382" s="319"/>
      <c r="H382" s="319"/>
      <c r="I382" s="319"/>
      <c r="J382" s="319"/>
      <c r="K382" s="319"/>
      <c r="L382" s="319"/>
      <c r="M382" s="319"/>
      <c r="N382" s="319"/>
      <c r="O382" s="319"/>
      <c r="P382" s="319"/>
      <c r="Q382" s="319"/>
      <c r="R382" s="319"/>
      <c r="S382" s="319"/>
      <c r="T382" s="319"/>
      <c r="U382" s="319"/>
      <c r="V382" s="319"/>
      <c r="W382" s="319"/>
      <c r="X382" s="319"/>
      <c r="Y382" s="319"/>
      <c r="Z382" s="319"/>
      <c r="AA382" s="319"/>
      <c r="AB382" s="319"/>
    </row>
    <row r="383" spans="7:28" ht="13"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  <c r="R383" s="319"/>
      <c r="S383" s="319"/>
      <c r="T383" s="319"/>
      <c r="U383" s="319"/>
      <c r="V383" s="319"/>
      <c r="W383" s="319"/>
      <c r="X383" s="319"/>
      <c r="Y383" s="319"/>
      <c r="Z383" s="319"/>
      <c r="AA383" s="319"/>
      <c r="AB383" s="319"/>
    </row>
    <row r="384" spans="7:28" ht="13">
      <c r="G384" s="319"/>
      <c r="H384" s="319"/>
      <c r="I384" s="319"/>
      <c r="J384" s="319"/>
      <c r="K384" s="319"/>
      <c r="L384" s="319"/>
      <c r="M384" s="319"/>
      <c r="N384" s="319"/>
      <c r="O384" s="319"/>
      <c r="P384" s="319"/>
      <c r="Q384" s="319"/>
      <c r="R384" s="319"/>
      <c r="S384" s="319"/>
      <c r="T384" s="319"/>
      <c r="U384" s="319"/>
      <c r="V384" s="319"/>
      <c r="W384" s="319"/>
      <c r="X384" s="319"/>
      <c r="Y384" s="319"/>
      <c r="Z384" s="319"/>
      <c r="AA384" s="319"/>
      <c r="AB384" s="319"/>
    </row>
    <row r="385" spans="7:28" ht="13"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19"/>
      <c r="R385" s="319"/>
      <c r="S385" s="319"/>
      <c r="T385" s="319"/>
      <c r="U385" s="319"/>
      <c r="V385" s="319"/>
      <c r="W385" s="319"/>
      <c r="X385" s="319"/>
      <c r="Y385" s="319"/>
      <c r="Z385" s="319"/>
      <c r="AA385" s="319"/>
      <c r="AB385" s="319"/>
    </row>
    <row r="386" spans="7:28" ht="13"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19"/>
      <c r="R386" s="319"/>
      <c r="S386" s="319"/>
      <c r="T386" s="319"/>
      <c r="U386" s="319"/>
      <c r="V386" s="319"/>
      <c r="W386" s="319"/>
      <c r="X386" s="319"/>
      <c r="Y386" s="319"/>
      <c r="Z386" s="319"/>
      <c r="AA386" s="319"/>
      <c r="AB386" s="319"/>
    </row>
    <row r="387" spans="7:28" ht="13">
      <c r="G387" s="319"/>
      <c r="H387" s="319"/>
      <c r="I387" s="319"/>
      <c r="J387" s="319"/>
      <c r="K387" s="319"/>
      <c r="L387" s="319"/>
      <c r="M387" s="319"/>
      <c r="N387" s="319"/>
      <c r="O387" s="319"/>
      <c r="P387" s="319"/>
      <c r="Q387" s="319"/>
      <c r="R387" s="319"/>
      <c r="S387" s="319"/>
      <c r="T387" s="319"/>
      <c r="U387" s="319"/>
      <c r="V387" s="319"/>
      <c r="W387" s="319"/>
      <c r="X387" s="319"/>
      <c r="Y387" s="319"/>
      <c r="Z387" s="319"/>
      <c r="AA387" s="319"/>
      <c r="AB387" s="319"/>
    </row>
    <row r="388" spans="7:28" ht="13">
      <c r="G388" s="319"/>
      <c r="H388" s="319"/>
      <c r="I388" s="319"/>
      <c r="J388" s="319"/>
      <c r="K388" s="319"/>
      <c r="L388" s="319"/>
      <c r="M388" s="319"/>
      <c r="N388" s="319"/>
      <c r="O388" s="319"/>
      <c r="P388" s="319"/>
      <c r="Q388" s="319"/>
      <c r="R388" s="319"/>
      <c r="S388" s="319"/>
      <c r="T388" s="319"/>
      <c r="U388" s="319"/>
      <c r="V388" s="319"/>
      <c r="W388" s="319"/>
      <c r="X388" s="319"/>
      <c r="Y388" s="319"/>
      <c r="Z388" s="319"/>
      <c r="AA388" s="319"/>
      <c r="AB388" s="319"/>
    </row>
    <row r="389" spans="7:28" ht="13">
      <c r="G389" s="319"/>
      <c r="H389" s="319"/>
      <c r="I389" s="319"/>
      <c r="J389" s="319"/>
      <c r="K389" s="319"/>
      <c r="L389" s="319"/>
      <c r="M389" s="319"/>
      <c r="N389" s="319"/>
      <c r="O389" s="319"/>
      <c r="P389" s="319"/>
      <c r="Q389" s="319"/>
      <c r="R389" s="319"/>
      <c r="S389" s="319"/>
      <c r="T389" s="319"/>
      <c r="U389" s="319"/>
      <c r="V389" s="319"/>
      <c r="W389" s="319"/>
      <c r="X389" s="319"/>
      <c r="Y389" s="319"/>
      <c r="Z389" s="319"/>
      <c r="AA389" s="319"/>
      <c r="AB389" s="319"/>
    </row>
    <row r="390" spans="7:28" ht="13">
      <c r="G390" s="319"/>
      <c r="H390" s="319"/>
      <c r="I390" s="319"/>
      <c r="J390" s="319"/>
      <c r="K390" s="319"/>
      <c r="L390" s="319"/>
      <c r="M390" s="319"/>
      <c r="N390" s="319"/>
      <c r="O390" s="319"/>
      <c r="P390" s="319"/>
      <c r="Q390" s="319"/>
      <c r="R390" s="319"/>
      <c r="S390" s="319"/>
      <c r="T390" s="319"/>
      <c r="U390" s="319"/>
      <c r="V390" s="319"/>
      <c r="W390" s="319"/>
      <c r="X390" s="319"/>
      <c r="Y390" s="319"/>
      <c r="Z390" s="319"/>
      <c r="AA390" s="319"/>
      <c r="AB390" s="319"/>
    </row>
    <row r="391" spans="7:28" ht="13"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19"/>
      <c r="S391" s="319"/>
      <c r="T391" s="319"/>
      <c r="U391" s="319"/>
      <c r="V391" s="319"/>
      <c r="W391" s="319"/>
      <c r="X391" s="319"/>
      <c r="Y391" s="319"/>
      <c r="Z391" s="319"/>
      <c r="AA391" s="319"/>
      <c r="AB391" s="319"/>
    </row>
    <row r="392" spans="7:28" ht="13"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19"/>
      <c r="R392" s="319"/>
      <c r="S392" s="319"/>
      <c r="T392" s="319"/>
      <c r="U392" s="319"/>
      <c r="V392" s="319"/>
      <c r="W392" s="319"/>
      <c r="X392" s="319"/>
      <c r="Y392" s="319"/>
      <c r="Z392" s="319"/>
      <c r="AA392" s="319"/>
      <c r="AB392" s="319"/>
    </row>
    <row r="393" spans="7:28" ht="13"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  <c r="R393" s="319"/>
      <c r="S393" s="319"/>
      <c r="T393" s="319"/>
      <c r="U393" s="319"/>
      <c r="V393" s="319"/>
      <c r="W393" s="319"/>
      <c r="X393" s="319"/>
      <c r="Y393" s="319"/>
      <c r="Z393" s="319"/>
      <c r="AA393" s="319"/>
      <c r="AB393" s="319"/>
    </row>
    <row r="394" spans="7:28" ht="13"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19"/>
      <c r="R394" s="319"/>
      <c r="S394" s="319"/>
      <c r="T394" s="319"/>
      <c r="U394" s="319"/>
      <c r="V394" s="319"/>
      <c r="W394" s="319"/>
      <c r="X394" s="319"/>
      <c r="Y394" s="319"/>
      <c r="Z394" s="319"/>
      <c r="AA394" s="319"/>
      <c r="AB394" s="319"/>
    </row>
    <row r="395" spans="7:28" ht="13"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19"/>
      <c r="R395" s="319"/>
      <c r="S395" s="319"/>
      <c r="T395" s="319"/>
      <c r="U395" s="319"/>
      <c r="V395" s="319"/>
      <c r="W395" s="319"/>
      <c r="X395" s="319"/>
      <c r="Y395" s="319"/>
      <c r="Z395" s="319"/>
      <c r="AA395" s="319"/>
      <c r="AB395" s="319"/>
    </row>
    <row r="396" spans="7:28" ht="13">
      <c r="G396" s="319"/>
      <c r="H396" s="319"/>
      <c r="I396" s="319"/>
      <c r="J396" s="319"/>
      <c r="K396" s="319"/>
      <c r="L396" s="319"/>
      <c r="M396" s="319"/>
      <c r="N396" s="319"/>
      <c r="O396" s="319"/>
      <c r="P396" s="319"/>
      <c r="Q396" s="319"/>
      <c r="R396" s="319"/>
      <c r="S396" s="319"/>
      <c r="T396" s="319"/>
      <c r="U396" s="319"/>
      <c r="V396" s="319"/>
      <c r="W396" s="319"/>
      <c r="X396" s="319"/>
      <c r="Y396" s="319"/>
      <c r="Z396" s="319"/>
      <c r="AA396" s="319"/>
      <c r="AB396" s="319"/>
    </row>
    <row r="397" spans="7:28" ht="13"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  <c r="R397" s="319"/>
      <c r="S397" s="319"/>
      <c r="T397" s="319"/>
      <c r="U397" s="319"/>
      <c r="V397" s="319"/>
      <c r="W397" s="319"/>
      <c r="X397" s="319"/>
      <c r="Y397" s="319"/>
      <c r="Z397" s="319"/>
      <c r="AA397" s="319"/>
      <c r="AB397" s="319"/>
    </row>
    <row r="398" spans="7:28" ht="13"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19"/>
      <c r="R398" s="319"/>
      <c r="S398" s="319"/>
      <c r="T398" s="319"/>
      <c r="U398" s="319"/>
      <c r="V398" s="319"/>
      <c r="W398" s="319"/>
      <c r="X398" s="319"/>
      <c r="Y398" s="319"/>
      <c r="Z398" s="319"/>
      <c r="AA398" s="319"/>
      <c r="AB398" s="319"/>
    </row>
    <row r="399" spans="7:28" ht="13"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19"/>
      <c r="R399" s="319"/>
      <c r="S399" s="319"/>
      <c r="T399" s="319"/>
      <c r="U399" s="319"/>
      <c r="V399" s="319"/>
      <c r="W399" s="319"/>
      <c r="X399" s="319"/>
      <c r="Y399" s="319"/>
      <c r="Z399" s="319"/>
      <c r="AA399" s="319"/>
      <c r="AB399" s="319"/>
    </row>
    <row r="400" spans="7:28" ht="13"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19"/>
      <c r="R400" s="319"/>
      <c r="S400" s="319"/>
      <c r="T400" s="319"/>
      <c r="U400" s="319"/>
      <c r="V400" s="319"/>
      <c r="W400" s="319"/>
      <c r="X400" s="319"/>
      <c r="Y400" s="319"/>
      <c r="Z400" s="319"/>
      <c r="AA400" s="319"/>
      <c r="AB400" s="319"/>
    </row>
    <row r="401" spans="7:28" ht="13"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19"/>
      <c r="R401" s="319"/>
      <c r="S401" s="319"/>
      <c r="T401" s="319"/>
      <c r="U401" s="319"/>
      <c r="V401" s="319"/>
      <c r="W401" s="319"/>
      <c r="X401" s="319"/>
      <c r="Y401" s="319"/>
      <c r="Z401" s="319"/>
      <c r="AA401" s="319"/>
      <c r="AB401" s="319"/>
    </row>
    <row r="402" spans="7:28" ht="13"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19"/>
      <c r="R402" s="319"/>
      <c r="S402" s="319"/>
      <c r="T402" s="319"/>
      <c r="U402" s="319"/>
      <c r="V402" s="319"/>
      <c r="W402" s="319"/>
      <c r="X402" s="319"/>
      <c r="Y402" s="319"/>
      <c r="Z402" s="319"/>
      <c r="AA402" s="319"/>
      <c r="AB402" s="319"/>
    </row>
    <row r="403" spans="7:28" ht="13"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19"/>
      <c r="R403" s="319"/>
      <c r="S403" s="319"/>
      <c r="T403" s="319"/>
      <c r="U403" s="319"/>
      <c r="V403" s="319"/>
      <c r="W403" s="319"/>
      <c r="X403" s="319"/>
      <c r="Y403" s="319"/>
      <c r="Z403" s="319"/>
      <c r="AA403" s="319"/>
      <c r="AB403" s="319"/>
    </row>
    <row r="404" spans="7:28" ht="13"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19"/>
      <c r="R404" s="319"/>
      <c r="S404" s="319"/>
      <c r="T404" s="319"/>
      <c r="U404" s="319"/>
      <c r="V404" s="319"/>
      <c r="W404" s="319"/>
      <c r="X404" s="319"/>
      <c r="Y404" s="319"/>
      <c r="Z404" s="319"/>
      <c r="AA404" s="319"/>
      <c r="AB404" s="319"/>
    </row>
    <row r="405" spans="7:28" ht="13"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19"/>
      <c r="R405" s="319"/>
      <c r="S405" s="319"/>
      <c r="T405" s="319"/>
      <c r="U405" s="319"/>
      <c r="V405" s="319"/>
      <c r="W405" s="319"/>
      <c r="X405" s="319"/>
      <c r="Y405" s="319"/>
      <c r="Z405" s="319"/>
      <c r="AA405" s="319"/>
      <c r="AB405" s="319"/>
    </row>
    <row r="406" spans="7:28" ht="13"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19"/>
      <c r="R406" s="319"/>
      <c r="S406" s="319"/>
      <c r="T406" s="319"/>
      <c r="U406" s="319"/>
      <c r="V406" s="319"/>
      <c r="W406" s="319"/>
      <c r="X406" s="319"/>
      <c r="Y406" s="319"/>
      <c r="Z406" s="319"/>
      <c r="AA406" s="319"/>
      <c r="AB406" s="319"/>
    </row>
    <row r="407" spans="7:28" ht="13"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19"/>
      <c r="R407" s="319"/>
      <c r="S407" s="319"/>
      <c r="T407" s="319"/>
      <c r="U407" s="319"/>
      <c r="V407" s="319"/>
      <c r="W407" s="319"/>
      <c r="X407" s="319"/>
      <c r="Y407" s="319"/>
      <c r="Z407" s="319"/>
      <c r="AA407" s="319"/>
      <c r="AB407" s="319"/>
    </row>
    <row r="408" spans="7:28" ht="13"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  <c r="R408" s="319"/>
      <c r="S408" s="319"/>
      <c r="T408" s="319"/>
      <c r="U408" s="319"/>
      <c r="V408" s="319"/>
      <c r="W408" s="319"/>
      <c r="X408" s="319"/>
      <c r="Y408" s="319"/>
      <c r="Z408" s="319"/>
      <c r="AA408" s="319"/>
      <c r="AB408" s="319"/>
    </row>
    <row r="409" spans="7:28" ht="13"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19"/>
      <c r="R409" s="319"/>
      <c r="S409" s="319"/>
      <c r="T409" s="319"/>
      <c r="U409" s="319"/>
      <c r="V409" s="319"/>
      <c r="W409" s="319"/>
      <c r="X409" s="319"/>
      <c r="Y409" s="319"/>
      <c r="Z409" s="319"/>
      <c r="AA409" s="319"/>
      <c r="AB409" s="319"/>
    </row>
    <row r="410" spans="7:28" ht="13"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19"/>
      <c r="R410" s="319"/>
      <c r="S410" s="319"/>
      <c r="T410" s="319"/>
      <c r="U410" s="319"/>
      <c r="V410" s="319"/>
      <c r="W410" s="319"/>
      <c r="X410" s="319"/>
      <c r="Y410" s="319"/>
      <c r="Z410" s="319"/>
      <c r="AA410" s="319"/>
      <c r="AB410" s="319"/>
    </row>
    <row r="411" spans="7:28" ht="13"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19"/>
      <c r="R411" s="319"/>
      <c r="S411" s="319"/>
      <c r="T411" s="319"/>
      <c r="U411" s="319"/>
      <c r="V411" s="319"/>
      <c r="W411" s="319"/>
      <c r="X411" s="319"/>
      <c r="Y411" s="319"/>
      <c r="Z411" s="319"/>
      <c r="AA411" s="319"/>
      <c r="AB411" s="319"/>
    </row>
    <row r="412" spans="7:28" ht="13"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19"/>
      <c r="R412" s="319"/>
      <c r="S412" s="319"/>
      <c r="T412" s="319"/>
      <c r="U412" s="319"/>
      <c r="V412" s="319"/>
      <c r="W412" s="319"/>
      <c r="X412" s="319"/>
      <c r="Y412" s="319"/>
      <c r="Z412" s="319"/>
      <c r="AA412" s="319"/>
      <c r="AB412" s="319"/>
    </row>
    <row r="413" spans="7:28" ht="13"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  <c r="R413" s="319"/>
      <c r="S413" s="319"/>
      <c r="T413" s="319"/>
      <c r="U413" s="319"/>
      <c r="V413" s="319"/>
      <c r="W413" s="319"/>
      <c r="X413" s="319"/>
      <c r="Y413" s="319"/>
      <c r="Z413" s="319"/>
      <c r="AA413" s="319"/>
      <c r="AB413" s="319"/>
    </row>
    <row r="414" spans="7:28" ht="13"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19"/>
      <c r="R414" s="319"/>
      <c r="S414" s="319"/>
      <c r="T414" s="319"/>
      <c r="U414" s="319"/>
      <c r="V414" s="319"/>
      <c r="W414" s="319"/>
      <c r="X414" s="319"/>
      <c r="Y414" s="319"/>
      <c r="Z414" s="319"/>
      <c r="AA414" s="319"/>
      <c r="AB414" s="319"/>
    </row>
    <row r="415" spans="7:28" ht="13"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19"/>
      <c r="R415" s="319"/>
      <c r="S415" s="319"/>
      <c r="T415" s="319"/>
      <c r="U415" s="319"/>
      <c r="V415" s="319"/>
      <c r="W415" s="319"/>
      <c r="X415" s="319"/>
      <c r="Y415" s="319"/>
      <c r="Z415" s="319"/>
      <c r="AA415" s="319"/>
      <c r="AB415" s="319"/>
    </row>
    <row r="416" spans="7:28" ht="13"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19"/>
      <c r="R416" s="319"/>
      <c r="S416" s="319"/>
      <c r="T416" s="319"/>
      <c r="U416" s="319"/>
      <c r="V416" s="319"/>
      <c r="W416" s="319"/>
      <c r="X416" s="319"/>
      <c r="Y416" s="319"/>
      <c r="Z416" s="319"/>
      <c r="AA416" s="319"/>
      <c r="AB416" s="319"/>
    </row>
    <row r="417" spans="7:28" ht="13"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19"/>
      <c r="R417" s="319"/>
      <c r="S417" s="319"/>
      <c r="T417" s="319"/>
      <c r="U417" s="319"/>
      <c r="V417" s="319"/>
      <c r="W417" s="319"/>
      <c r="X417" s="319"/>
      <c r="Y417" s="319"/>
      <c r="Z417" s="319"/>
      <c r="AA417" s="319"/>
      <c r="AB417" s="319"/>
    </row>
    <row r="418" spans="7:28" ht="13"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19"/>
      <c r="R418" s="319"/>
      <c r="S418" s="319"/>
      <c r="T418" s="319"/>
      <c r="U418" s="319"/>
      <c r="V418" s="319"/>
      <c r="W418" s="319"/>
      <c r="X418" s="319"/>
      <c r="Y418" s="319"/>
      <c r="Z418" s="319"/>
      <c r="AA418" s="319"/>
      <c r="AB418" s="319"/>
    </row>
    <row r="419" spans="7:28" ht="13"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19"/>
      <c r="R419" s="319"/>
      <c r="S419" s="319"/>
      <c r="T419" s="319"/>
      <c r="U419" s="319"/>
      <c r="V419" s="319"/>
      <c r="W419" s="319"/>
      <c r="X419" s="319"/>
      <c r="Y419" s="319"/>
      <c r="Z419" s="319"/>
      <c r="AA419" s="319"/>
      <c r="AB419" s="319"/>
    </row>
    <row r="420" spans="7:28" ht="13"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  <c r="R420" s="319"/>
      <c r="S420" s="319"/>
      <c r="T420" s="319"/>
      <c r="U420" s="319"/>
      <c r="V420" s="319"/>
      <c r="W420" s="319"/>
      <c r="X420" s="319"/>
      <c r="Y420" s="319"/>
      <c r="Z420" s="319"/>
      <c r="AA420" s="319"/>
      <c r="AB420" s="319"/>
    </row>
    <row r="421" spans="7:28" ht="13"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19"/>
      <c r="R421" s="319"/>
      <c r="S421" s="319"/>
      <c r="T421" s="319"/>
      <c r="U421" s="319"/>
      <c r="V421" s="319"/>
      <c r="W421" s="319"/>
      <c r="X421" s="319"/>
      <c r="Y421" s="319"/>
      <c r="Z421" s="319"/>
      <c r="AA421" s="319"/>
      <c r="AB421" s="319"/>
    </row>
    <row r="422" spans="7:28" ht="13"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19"/>
      <c r="R422" s="319"/>
      <c r="S422" s="319"/>
      <c r="T422" s="319"/>
      <c r="U422" s="319"/>
      <c r="V422" s="319"/>
      <c r="W422" s="319"/>
      <c r="X422" s="319"/>
      <c r="Y422" s="319"/>
      <c r="Z422" s="319"/>
      <c r="AA422" s="319"/>
      <c r="AB422" s="319"/>
    </row>
    <row r="423" spans="7:28" ht="13"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19"/>
      <c r="R423" s="319"/>
      <c r="S423" s="319"/>
      <c r="T423" s="319"/>
      <c r="U423" s="319"/>
      <c r="V423" s="319"/>
      <c r="W423" s="319"/>
      <c r="X423" s="319"/>
      <c r="Y423" s="319"/>
      <c r="Z423" s="319"/>
      <c r="AA423" s="319"/>
      <c r="AB423" s="319"/>
    </row>
    <row r="424" spans="7:28" ht="13"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  <c r="R424" s="319"/>
      <c r="S424" s="319"/>
      <c r="T424" s="319"/>
      <c r="U424" s="319"/>
      <c r="V424" s="319"/>
      <c r="W424" s="319"/>
      <c r="X424" s="319"/>
      <c r="Y424" s="319"/>
      <c r="Z424" s="319"/>
      <c r="AA424" s="319"/>
      <c r="AB424" s="319"/>
    </row>
    <row r="425" spans="7:28" ht="13"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19"/>
      <c r="R425" s="319"/>
      <c r="S425" s="319"/>
      <c r="T425" s="319"/>
      <c r="U425" s="319"/>
      <c r="V425" s="319"/>
      <c r="W425" s="319"/>
      <c r="X425" s="319"/>
      <c r="Y425" s="319"/>
      <c r="Z425" s="319"/>
      <c r="AA425" s="319"/>
      <c r="AB425" s="319"/>
    </row>
    <row r="426" spans="7:28" ht="13"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19"/>
      <c r="R426" s="319"/>
      <c r="S426" s="319"/>
      <c r="T426" s="319"/>
      <c r="U426" s="319"/>
      <c r="V426" s="319"/>
      <c r="W426" s="319"/>
      <c r="X426" s="319"/>
      <c r="Y426" s="319"/>
      <c r="Z426" s="319"/>
      <c r="AA426" s="319"/>
      <c r="AB426" s="319"/>
    </row>
    <row r="427" spans="7:28" ht="13"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19"/>
      <c r="R427" s="319"/>
      <c r="S427" s="319"/>
      <c r="T427" s="319"/>
      <c r="U427" s="319"/>
      <c r="V427" s="319"/>
      <c r="W427" s="319"/>
      <c r="X427" s="319"/>
      <c r="Y427" s="319"/>
      <c r="Z427" s="319"/>
      <c r="AA427" s="319"/>
      <c r="AB427" s="319"/>
    </row>
    <row r="428" spans="7:28" ht="13"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19"/>
      <c r="R428" s="319"/>
      <c r="S428" s="319"/>
      <c r="T428" s="319"/>
      <c r="U428" s="319"/>
      <c r="V428" s="319"/>
      <c r="W428" s="319"/>
      <c r="X428" s="319"/>
      <c r="Y428" s="319"/>
      <c r="Z428" s="319"/>
      <c r="AA428" s="319"/>
      <c r="AB428" s="319"/>
    </row>
    <row r="429" spans="7:28" ht="13"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19"/>
      <c r="R429" s="319"/>
      <c r="S429" s="319"/>
      <c r="T429" s="319"/>
      <c r="U429" s="319"/>
      <c r="V429" s="319"/>
      <c r="W429" s="319"/>
      <c r="X429" s="319"/>
      <c r="Y429" s="319"/>
      <c r="Z429" s="319"/>
      <c r="AA429" s="319"/>
      <c r="AB429" s="319"/>
    </row>
    <row r="430" spans="7:28" ht="13"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19"/>
      <c r="S430" s="319"/>
      <c r="T430" s="319"/>
      <c r="U430" s="319"/>
      <c r="V430" s="319"/>
      <c r="W430" s="319"/>
      <c r="X430" s="319"/>
      <c r="Y430" s="319"/>
      <c r="Z430" s="319"/>
      <c r="AA430" s="319"/>
      <c r="AB430" s="319"/>
    </row>
    <row r="431" spans="7:28" ht="13"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19"/>
      <c r="R431" s="319"/>
      <c r="S431" s="319"/>
      <c r="T431" s="319"/>
      <c r="U431" s="319"/>
      <c r="V431" s="319"/>
      <c r="W431" s="319"/>
      <c r="X431" s="319"/>
      <c r="Y431" s="319"/>
      <c r="Z431" s="319"/>
      <c r="AA431" s="319"/>
      <c r="AB431" s="319"/>
    </row>
    <row r="432" spans="7:28" ht="13">
      <c r="G432" s="133"/>
      <c r="H432" s="133"/>
      <c r="L432" s="133"/>
      <c r="P432" s="133"/>
      <c r="T432" s="133"/>
    </row>
    <row r="433" spans="7:20" ht="13">
      <c r="G433" s="133"/>
      <c r="H433" s="133"/>
      <c r="L433" s="133"/>
      <c r="P433" s="133"/>
      <c r="T433" s="133"/>
    </row>
    <row r="434" spans="7:20" ht="13">
      <c r="G434" s="133"/>
      <c r="H434" s="133"/>
      <c r="L434" s="133"/>
      <c r="P434" s="133"/>
      <c r="T434" s="133"/>
    </row>
    <row r="435" spans="7:20" ht="13">
      <c r="G435" s="133"/>
      <c r="H435" s="133"/>
      <c r="L435" s="133"/>
      <c r="P435" s="133"/>
      <c r="T435" s="133"/>
    </row>
    <row r="436" spans="7:20" ht="13">
      <c r="G436" s="133"/>
      <c r="H436" s="133"/>
      <c r="L436" s="133"/>
      <c r="P436" s="133"/>
      <c r="T436" s="133"/>
    </row>
    <row r="437" spans="7:20" ht="13">
      <c r="G437" s="133"/>
      <c r="H437" s="133"/>
      <c r="L437" s="133"/>
      <c r="P437" s="133"/>
      <c r="T437" s="133"/>
    </row>
    <row r="438" spans="7:20" ht="13">
      <c r="G438" s="133"/>
      <c r="H438" s="133"/>
      <c r="L438" s="133"/>
      <c r="P438" s="133"/>
      <c r="T438" s="133"/>
    </row>
    <row r="439" spans="7:20" ht="13">
      <c r="G439" s="133"/>
      <c r="H439" s="133"/>
      <c r="L439" s="133"/>
      <c r="P439" s="133"/>
      <c r="T439" s="133"/>
    </row>
    <row r="440" spans="7:20" ht="13">
      <c r="G440" s="133"/>
      <c r="H440" s="133"/>
      <c r="L440" s="133"/>
      <c r="P440" s="133"/>
      <c r="T440" s="133"/>
    </row>
    <row r="441" spans="7:20" ht="13">
      <c r="G441" s="133"/>
      <c r="H441" s="133"/>
      <c r="L441" s="133"/>
      <c r="P441" s="133"/>
      <c r="T441" s="133"/>
    </row>
    <row r="442" spans="7:20" ht="13">
      <c r="G442" s="133"/>
      <c r="H442" s="133"/>
      <c r="L442" s="133"/>
      <c r="P442" s="133"/>
      <c r="T442" s="133"/>
    </row>
    <row r="443" spans="7:20" ht="13">
      <c r="G443" s="133"/>
      <c r="H443" s="133"/>
      <c r="L443" s="133"/>
      <c r="P443" s="133"/>
      <c r="T443" s="133"/>
    </row>
    <row r="444" spans="7:20" ht="13">
      <c r="G444" s="133"/>
      <c r="H444" s="133"/>
      <c r="L444" s="133"/>
      <c r="P444" s="133"/>
      <c r="T444" s="133"/>
    </row>
    <row r="445" spans="7:20" ht="13">
      <c r="G445" s="133"/>
      <c r="H445" s="133"/>
      <c r="L445" s="133"/>
      <c r="P445" s="133"/>
      <c r="T445" s="133"/>
    </row>
    <row r="446" spans="7:20" ht="13">
      <c r="G446" s="133"/>
      <c r="H446" s="133"/>
      <c r="L446" s="133"/>
      <c r="P446" s="133"/>
      <c r="T446" s="133"/>
    </row>
    <row r="447" spans="7:20" ht="13">
      <c r="G447" s="133"/>
      <c r="H447" s="133"/>
      <c r="L447" s="133"/>
      <c r="P447" s="133"/>
      <c r="T447" s="133"/>
    </row>
    <row r="448" spans="7:20" ht="13">
      <c r="G448" s="133"/>
      <c r="H448" s="133"/>
      <c r="L448" s="133"/>
      <c r="P448" s="133"/>
      <c r="T448" s="133"/>
    </row>
    <row r="449" spans="7:20" ht="13">
      <c r="G449" s="133"/>
      <c r="H449" s="133"/>
      <c r="L449" s="133"/>
      <c r="P449" s="133"/>
      <c r="T449" s="133"/>
    </row>
    <row r="450" spans="7:20" ht="13">
      <c r="G450" s="133"/>
      <c r="H450" s="133"/>
      <c r="L450" s="133"/>
      <c r="P450" s="133"/>
      <c r="T450" s="133"/>
    </row>
    <row r="451" spans="7:20" ht="13">
      <c r="G451" s="133"/>
      <c r="H451" s="133"/>
      <c r="L451" s="133"/>
      <c r="P451" s="133"/>
      <c r="T451" s="133"/>
    </row>
    <row r="452" spans="7:20" ht="13">
      <c r="G452" s="133"/>
      <c r="H452" s="133"/>
      <c r="L452" s="133"/>
      <c r="P452" s="133"/>
      <c r="T452" s="133"/>
    </row>
    <row r="453" spans="7:20" ht="13">
      <c r="G453" s="133"/>
      <c r="H453" s="133"/>
      <c r="L453" s="133"/>
      <c r="P453" s="133"/>
      <c r="T453" s="133"/>
    </row>
    <row r="454" spans="7:20" ht="13">
      <c r="G454" s="133"/>
      <c r="H454" s="133"/>
      <c r="L454" s="133"/>
      <c r="P454" s="133"/>
      <c r="T454" s="133"/>
    </row>
    <row r="455" spans="7:20" ht="13">
      <c r="G455" s="133"/>
      <c r="H455" s="133"/>
      <c r="L455" s="133"/>
      <c r="P455" s="133"/>
      <c r="T455" s="133"/>
    </row>
    <row r="456" spans="7:20" ht="13">
      <c r="G456" s="133"/>
      <c r="H456" s="133"/>
      <c r="L456" s="133"/>
      <c r="P456" s="133"/>
      <c r="T456" s="133"/>
    </row>
    <row r="457" spans="7:20" ht="13">
      <c r="G457" s="133"/>
      <c r="H457" s="133"/>
      <c r="L457" s="133"/>
      <c r="P457" s="133"/>
      <c r="T457" s="133"/>
    </row>
    <row r="458" spans="7:20" ht="13">
      <c r="G458" s="133"/>
      <c r="H458" s="133"/>
      <c r="L458" s="133"/>
      <c r="P458" s="133"/>
      <c r="T458" s="133"/>
    </row>
    <row r="459" spans="7:20" ht="13">
      <c r="G459" s="133"/>
      <c r="H459" s="133"/>
      <c r="L459" s="133"/>
      <c r="P459" s="133"/>
      <c r="T459" s="133"/>
    </row>
    <row r="460" spans="7:20" ht="13">
      <c r="G460" s="133"/>
      <c r="H460" s="133"/>
      <c r="L460" s="133"/>
      <c r="P460" s="133"/>
      <c r="T460" s="133"/>
    </row>
    <row r="461" spans="7:20" ht="13">
      <c r="G461" s="133"/>
      <c r="H461" s="133"/>
      <c r="L461" s="133"/>
      <c r="P461" s="133"/>
      <c r="T461" s="133"/>
    </row>
    <row r="462" spans="7:20" ht="13">
      <c r="G462" s="133"/>
      <c r="H462" s="133"/>
      <c r="L462" s="133"/>
      <c r="P462" s="133"/>
      <c r="T462" s="133"/>
    </row>
    <row r="463" spans="7:20" ht="13">
      <c r="G463" s="133"/>
      <c r="H463" s="133"/>
      <c r="L463" s="133"/>
      <c r="P463" s="133"/>
      <c r="T463" s="133"/>
    </row>
    <row r="464" spans="7:20" ht="13">
      <c r="G464" s="133"/>
      <c r="H464" s="133"/>
      <c r="L464" s="133"/>
      <c r="P464" s="133"/>
      <c r="T464" s="133"/>
    </row>
    <row r="465" spans="7:20" ht="13">
      <c r="G465" s="133"/>
      <c r="H465" s="133"/>
      <c r="L465" s="133"/>
      <c r="P465" s="133"/>
      <c r="T465" s="133"/>
    </row>
    <row r="466" spans="7:20" ht="13">
      <c r="G466" s="133"/>
      <c r="H466" s="133"/>
      <c r="L466" s="133"/>
      <c r="P466" s="133"/>
      <c r="T466" s="133"/>
    </row>
    <row r="467" spans="7:20" ht="13">
      <c r="G467" s="133"/>
      <c r="H467" s="133"/>
      <c r="L467" s="133"/>
      <c r="P467" s="133"/>
      <c r="T467" s="133"/>
    </row>
    <row r="468" spans="7:20" ht="13">
      <c r="G468" s="133"/>
      <c r="H468" s="133"/>
      <c r="L468" s="133"/>
      <c r="P468" s="133"/>
      <c r="T468" s="133"/>
    </row>
    <row r="469" spans="7:20" ht="13">
      <c r="G469" s="133"/>
      <c r="H469" s="133"/>
      <c r="L469" s="133"/>
      <c r="P469" s="133"/>
      <c r="T469" s="133"/>
    </row>
    <row r="470" spans="7:20" ht="13">
      <c r="G470" s="133"/>
      <c r="H470" s="133"/>
      <c r="L470" s="133"/>
      <c r="P470" s="133"/>
      <c r="T470" s="133"/>
    </row>
    <row r="471" spans="7:20" ht="13">
      <c r="G471" s="133"/>
      <c r="H471" s="133"/>
      <c r="L471" s="133"/>
      <c r="P471" s="133"/>
      <c r="T471" s="133"/>
    </row>
    <row r="472" spans="7:20" ht="13">
      <c r="G472" s="133"/>
      <c r="H472" s="133"/>
      <c r="L472" s="133"/>
      <c r="P472" s="133"/>
      <c r="T472" s="133"/>
    </row>
    <row r="473" spans="7:20" ht="13">
      <c r="G473" s="133"/>
      <c r="H473" s="133"/>
      <c r="L473" s="133"/>
      <c r="P473" s="133"/>
      <c r="T473" s="133"/>
    </row>
    <row r="474" spans="7:20" ht="13">
      <c r="G474" s="133"/>
      <c r="H474" s="133"/>
      <c r="L474" s="133"/>
      <c r="P474" s="133"/>
      <c r="T474" s="133"/>
    </row>
    <row r="475" spans="7:20" ht="13">
      <c r="G475" s="133"/>
      <c r="H475" s="133"/>
      <c r="L475" s="133"/>
      <c r="P475" s="133"/>
      <c r="T475" s="133"/>
    </row>
    <row r="476" spans="7:20" ht="13">
      <c r="G476" s="133"/>
      <c r="H476" s="133"/>
      <c r="L476" s="133"/>
      <c r="P476" s="133"/>
      <c r="T476" s="133"/>
    </row>
    <row r="477" spans="7:20" ht="13">
      <c r="G477" s="133"/>
      <c r="H477" s="133"/>
      <c r="L477" s="133"/>
      <c r="P477" s="133"/>
      <c r="T477" s="133"/>
    </row>
    <row r="478" spans="7:20" ht="13">
      <c r="G478" s="133"/>
      <c r="H478" s="133"/>
      <c r="L478" s="133"/>
      <c r="P478" s="133"/>
      <c r="T478" s="133"/>
    </row>
    <row r="479" spans="7:20" ht="13">
      <c r="G479" s="133"/>
      <c r="H479" s="133"/>
      <c r="L479" s="133"/>
      <c r="P479" s="133"/>
      <c r="T479" s="133"/>
    </row>
    <row r="480" spans="7:20" ht="13">
      <c r="G480" s="133"/>
      <c r="H480" s="133"/>
      <c r="L480" s="133"/>
      <c r="P480" s="133"/>
      <c r="T480" s="133"/>
    </row>
    <row r="481" spans="7:20" ht="13">
      <c r="G481" s="133"/>
      <c r="H481" s="133"/>
      <c r="L481" s="133"/>
      <c r="P481" s="133"/>
      <c r="T481" s="133"/>
    </row>
    <row r="482" spans="7:20" ht="13">
      <c r="G482" s="133"/>
      <c r="H482" s="133"/>
      <c r="L482" s="133"/>
      <c r="P482" s="133"/>
      <c r="T482" s="133"/>
    </row>
    <row r="483" spans="7:20" ht="13">
      <c r="G483" s="133"/>
      <c r="H483" s="133"/>
      <c r="L483" s="133"/>
      <c r="P483" s="133"/>
      <c r="T483" s="133"/>
    </row>
    <row r="484" spans="7:20" ht="13">
      <c r="G484" s="133"/>
      <c r="H484" s="133"/>
      <c r="L484" s="133"/>
      <c r="P484" s="133"/>
      <c r="T484" s="133"/>
    </row>
    <row r="485" spans="7:20" ht="13">
      <c r="G485" s="133"/>
      <c r="H485" s="133"/>
      <c r="L485" s="133"/>
      <c r="P485" s="133"/>
      <c r="T485" s="133"/>
    </row>
    <row r="486" spans="7:20" ht="13">
      <c r="G486" s="133"/>
      <c r="H486" s="133"/>
      <c r="L486" s="133"/>
      <c r="P486" s="133"/>
      <c r="T486" s="133"/>
    </row>
    <row r="487" spans="7:20" ht="13">
      <c r="G487" s="133"/>
      <c r="H487" s="133"/>
      <c r="L487" s="133"/>
      <c r="P487" s="133"/>
      <c r="T487" s="133"/>
    </row>
    <row r="488" spans="7:20" ht="13">
      <c r="G488" s="133"/>
      <c r="H488" s="133"/>
      <c r="L488" s="133"/>
      <c r="P488" s="133"/>
      <c r="T488" s="133"/>
    </row>
    <row r="489" spans="7:20" ht="13">
      <c r="G489" s="133"/>
      <c r="H489" s="133"/>
      <c r="L489" s="133"/>
      <c r="P489" s="133"/>
      <c r="T489" s="133"/>
    </row>
    <row r="490" spans="7:20" ht="13">
      <c r="G490" s="133"/>
      <c r="H490" s="133"/>
      <c r="L490" s="133"/>
      <c r="P490" s="133"/>
      <c r="T490" s="133"/>
    </row>
    <row r="491" spans="7:20" ht="13">
      <c r="G491" s="133"/>
      <c r="H491" s="133"/>
      <c r="L491" s="133"/>
      <c r="P491" s="133"/>
      <c r="T491" s="133"/>
    </row>
    <row r="492" spans="7:20" ht="13">
      <c r="G492" s="133"/>
      <c r="H492" s="133"/>
      <c r="L492" s="133"/>
      <c r="P492" s="133"/>
      <c r="T492" s="133"/>
    </row>
    <row r="493" spans="7:20" ht="13">
      <c r="G493" s="133"/>
      <c r="H493" s="133"/>
      <c r="L493" s="133"/>
      <c r="P493" s="133"/>
      <c r="T493" s="133"/>
    </row>
    <row r="494" spans="7:20" ht="13">
      <c r="G494" s="133"/>
      <c r="H494" s="133"/>
      <c r="L494" s="133"/>
      <c r="P494" s="133"/>
      <c r="T494" s="133"/>
    </row>
    <row r="495" spans="7:20" ht="13">
      <c r="G495" s="133"/>
      <c r="H495" s="133"/>
      <c r="L495" s="133"/>
      <c r="P495" s="133"/>
      <c r="T495" s="133"/>
    </row>
    <row r="496" spans="7:20" ht="13">
      <c r="G496" s="133"/>
      <c r="H496" s="133"/>
      <c r="L496" s="133"/>
      <c r="P496" s="133"/>
      <c r="T496" s="133"/>
    </row>
    <row r="497" spans="7:20" ht="13">
      <c r="G497" s="133"/>
      <c r="H497" s="133"/>
      <c r="L497" s="133"/>
      <c r="P497" s="133"/>
      <c r="T497" s="133"/>
    </row>
    <row r="498" spans="7:20" ht="13">
      <c r="G498" s="133"/>
      <c r="H498" s="133"/>
      <c r="L498" s="133"/>
      <c r="P498" s="133"/>
      <c r="T498" s="133"/>
    </row>
    <row r="499" spans="7:20" ht="13">
      <c r="G499" s="133"/>
      <c r="H499" s="133"/>
      <c r="L499" s="133"/>
      <c r="P499" s="133"/>
      <c r="T499" s="133"/>
    </row>
    <row r="500" spans="7:20" ht="13">
      <c r="G500" s="133"/>
      <c r="H500" s="133"/>
      <c r="L500" s="133"/>
      <c r="P500" s="133"/>
      <c r="T500" s="133"/>
    </row>
    <row r="501" spans="7:20" ht="13">
      <c r="G501" s="133"/>
      <c r="H501" s="133"/>
      <c r="L501" s="133"/>
      <c r="P501" s="133"/>
      <c r="T501" s="133"/>
    </row>
    <row r="502" spans="7:20" ht="13">
      <c r="G502" s="133"/>
      <c r="H502" s="133"/>
      <c r="L502" s="133"/>
      <c r="P502" s="133"/>
      <c r="T502" s="133"/>
    </row>
    <row r="503" spans="7:20" ht="13">
      <c r="G503" s="133"/>
      <c r="H503" s="133"/>
      <c r="L503" s="133"/>
      <c r="P503" s="133"/>
      <c r="T503" s="133"/>
    </row>
    <row r="504" spans="7:20" ht="13">
      <c r="G504" s="133"/>
      <c r="H504" s="133"/>
      <c r="L504" s="133"/>
      <c r="P504" s="133"/>
      <c r="T504" s="133"/>
    </row>
    <row r="505" spans="7:20" ht="13">
      <c r="G505" s="133"/>
      <c r="H505" s="133"/>
      <c r="L505" s="133"/>
      <c r="P505" s="133"/>
      <c r="T505" s="133"/>
    </row>
    <row r="506" spans="7:20" ht="13">
      <c r="G506" s="133"/>
      <c r="H506" s="133"/>
      <c r="L506" s="133"/>
      <c r="P506" s="133"/>
      <c r="T506" s="133"/>
    </row>
    <row r="507" spans="7:20" ht="13">
      <c r="G507" s="133"/>
      <c r="H507" s="133"/>
      <c r="L507" s="133"/>
      <c r="P507" s="133"/>
      <c r="T507" s="133"/>
    </row>
    <row r="508" spans="7:20" ht="13">
      <c r="G508" s="133"/>
      <c r="H508" s="133"/>
      <c r="L508" s="133"/>
      <c r="P508" s="133"/>
      <c r="T508" s="133"/>
    </row>
    <row r="509" spans="7:20" ht="13">
      <c r="G509" s="133"/>
      <c r="H509" s="133"/>
      <c r="L509" s="133"/>
      <c r="P509" s="133"/>
      <c r="T509" s="133"/>
    </row>
    <row r="510" spans="7:20" ht="13">
      <c r="G510" s="133"/>
      <c r="H510" s="133"/>
      <c r="L510" s="133"/>
      <c r="P510" s="133"/>
      <c r="T510" s="133"/>
    </row>
    <row r="511" spans="7:20" ht="13">
      <c r="G511" s="133"/>
      <c r="H511" s="133"/>
      <c r="L511" s="133"/>
      <c r="P511" s="133"/>
      <c r="T511" s="133"/>
    </row>
    <row r="512" spans="7:20" ht="13">
      <c r="G512" s="133"/>
      <c r="H512" s="133"/>
      <c r="L512" s="133"/>
      <c r="P512" s="133"/>
      <c r="T512" s="133"/>
    </row>
    <row r="513" spans="7:20" ht="13">
      <c r="G513" s="133"/>
      <c r="H513" s="133"/>
      <c r="L513" s="133"/>
      <c r="P513" s="133"/>
      <c r="T513" s="133"/>
    </row>
    <row r="514" spans="7:20" ht="13">
      <c r="G514" s="133"/>
      <c r="H514" s="133"/>
      <c r="L514" s="133"/>
      <c r="P514" s="133"/>
      <c r="T514" s="133"/>
    </row>
    <row r="515" spans="7:20" ht="13">
      <c r="G515" s="133"/>
      <c r="H515" s="133"/>
      <c r="L515" s="133"/>
      <c r="P515" s="133"/>
      <c r="T515" s="133"/>
    </row>
    <row r="516" spans="7:20" ht="13">
      <c r="G516" s="133"/>
      <c r="H516" s="133"/>
      <c r="L516" s="133"/>
      <c r="P516" s="133"/>
      <c r="T516" s="133"/>
    </row>
    <row r="517" spans="7:20" ht="13">
      <c r="G517" s="133"/>
      <c r="H517" s="133"/>
      <c r="L517" s="133"/>
      <c r="P517" s="133"/>
      <c r="T517" s="133"/>
    </row>
    <row r="518" spans="7:20" ht="13">
      <c r="G518" s="133"/>
      <c r="H518" s="133"/>
      <c r="L518" s="133"/>
      <c r="P518" s="133"/>
      <c r="T518" s="133"/>
    </row>
    <row r="519" spans="7:20" ht="13">
      <c r="G519" s="133"/>
      <c r="H519" s="133"/>
      <c r="L519" s="133"/>
      <c r="P519" s="133"/>
      <c r="T519" s="133"/>
    </row>
    <row r="520" spans="7:20" ht="13">
      <c r="G520" s="133"/>
      <c r="H520" s="133"/>
      <c r="L520" s="133"/>
      <c r="P520" s="133"/>
      <c r="T520" s="133"/>
    </row>
    <row r="521" spans="7:20" ht="13">
      <c r="G521" s="133"/>
      <c r="H521" s="133"/>
      <c r="L521" s="133"/>
      <c r="P521" s="133"/>
      <c r="T521" s="133"/>
    </row>
    <row r="522" spans="7:20" ht="13">
      <c r="G522" s="133"/>
      <c r="H522" s="133"/>
      <c r="L522" s="133"/>
      <c r="P522" s="133"/>
      <c r="T522" s="133"/>
    </row>
    <row r="523" spans="7:20" ht="13">
      <c r="G523" s="133"/>
      <c r="H523" s="133"/>
      <c r="L523" s="133"/>
      <c r="P523" s="133"/>
      <c r="T523" s="133"/>
    </row>
    <row r="524" spans="7:20" ht="13">
      <c r="G524" s="133"/>
      <c r="H524" s="133"/>
      <c r="L524" s="133"/>
      <c r="P524" s="133"/>
      <c r="T524" s="133"/>
    </row>
    <row r="525" spans="7:20" ht="13">
      <c r="G525" s="133"/>
      <c r="H525" s="133"/>
      <c r="L525" s="133"/>
      <c r="P525" s="133"/>
      <c r="T525" s="133"/>
    </row>
    <row r="526" spans="7:20" ht="13">
      <c r="G526" s="133"/>
      <c r="H526" s="133"/>
      <c r="L526" s="133"/>
      <c r="P526" s="133"/>
      <c r="T526" s="133"/>
    </row>
    <row r="527" spans="7:20" ht="13">
      <c r="G527" s="133"/>
      <c r="H527" s="133"/>
      <c r="L527" s="133"/>
      <c r="P527" s="133"/>
      <c r="T527" s="133"/>
    </row>
    <row r="528" spans="7:20" ht="13">
      <c r="G528" s="133"/>
      <c r="H528" s="133"/>
      <c r="L528" s="133"/>
      <c r="P528" s="133"/>
      <c r="T528" s="133"/>
    </row>
    <row r="529" spans="7:20" ht="13">
      <c r="G529" s="133"/>
      <c r="H529" s="133"/>
      <c r="L529" s="133"/>
      <c r="P529" s="133"/>
      <c r="T529" s="133"/>
    </row>
    <row r="530" spans="7:20" ht="13">
      <c r="G530" s="133"/>
      <c r="H530" s="133"/>
      <c r="L530" s="133"/>
      <c r="P530" s="133"/>
      <c r="T530" s="133"/>
    </row>
    <row r="531" spans="7:20" ht="13">
      <c r="G531" s="133"/>
      <c r="H531" s="133"/>
      <c r="L531" s="133"/>
      <c r="P531" s="133"/>
      <c r="T531" s="133"/>
    </row>
    <row r="532" spans="7:20" ht="13">
      <c r="G532" s="133"/>
      <c r="H532" s="133"/>
      <c r="L532" s="133"/>
      <c r="P532" s="133"/>
      <c r="T532" s="133"/>
    </row>
    <row r="533" spans="7:20" ht="13">
      <c r="G533" s="133"/>
      <c r="H533" s="133"/>
      <c r="L533" s="133"/>
      <c r="P533" s="133"/>
      <c r="T533" s="133"/>
    </row>
    <row r="534" spans="7:20" ht="13">
      <c r="G534" s="133"/>
      <c r="H534" s="133"/>
      <c r="L534" s="133"/>
      <c r="P534" s="133"/>
      <c r="T534" s="133"/>
    </row>
    <row r="535" spans="7:20" ht="13">
      <c r="G535" s="133"/>
      <c r="H535" s="133"/>
      <c r="L535" s="133"/>
      <c r="P535" s="133"/>
      <c r="T535" s="133"/>
    </row>
    <row r="536" spans="7:20" ht="13">
      <c r="G536" s="133"/>
      <c r="H536" s="133"/>
      <c r="L536" s="133"/>
      <c r="P536" s="133"/>
      <c r="T536" s="133"/>
    </row>
    <row r="537" spans="7:20" ht="13">
      <c r="G537" s="133"/>
      <c r="H537" s="133"/>
      <c r="L537" s="133"/>
      <c r="P537" s="133"/>
      <c r="T537" s="133"/>
    </row>
    <row r="538" spans="7:20" ht="13">
      <c r="G538" s="133"/>
      <c r="H538" s="133"/>
      <c r="L538" s="133"/>
      <c r="P538" s="133"/>
      <c r="T538" s="133"/>
    </row>
    <row r="539" spans="7:20" ht="13">
      <c r="G539" s="133"/>
      <c r="H539" s="133"/>
      <c r="L539" s="133"/>
      <c r="P539" s="133"/>
      <c r="T539" s="133"/>
    </row>
    <row r="540" spans="7:20" ht="13">
      <c r="G540" s="133"/>
      <c r="H540" s="133"/>
      <c r="L540" s="133"/>
      <c r="P540" s="133"/>
      <c r="T540" s="133"/>
    </row>
    <row r="541" spans="7:20" ht="13">
      <c r="G541" s="133"/>
      <c r="H541" s="133"/>
      <c r="L541" s="133"/>
      <c r="P541" s="133"/>
      <c r="T541" s="133"/>
    </row>
    <row r="542" spans="7:20" ht="13">
      <c r="G542" s="133"/>
      <c r="H542" s="133"/>
      <c r="L542" s="133"/>
      <c r="P542" s="133"/>
      <c r="T542" s="133"/>
    </row>
    <row r="543" spans="7:20" ht="13">
      <c r="G543" s="133"/>
      <c r="H543" s="133"/>
      <c r="L543" s="133"/>
      <c r="P543" s="133"/>
      <c r="T543" s="133"/>
    </row>
    <row r="544" spans="7:20" ht="13">
      <c r="G544" s="133"/>
      <c r="H544" s="133"/>
      <c r="L544" s="133"/>
      <c r="P544" s="133"/>
      <c r="T544" s="133"/>
    </row>
    <row r="545" spans="7:20" ht="13">
      <c r="G545" s="133"/>
      <c r="H545" s="133"/>
      <c r="L545" s="133"/>
      <c r="P545" s="133"/>
      <c r="T545" s="133"/>
    </row>
    <row r="546" spans="7:20" ht="13">
      <c r="G546" s="133"/>
      <c r="H546" s="133"/>
      <c r="L546" s="133"/>
      <c r="P546" s="133"/>
      <c r="T546" s="133"/>
    </row>
    <row r="547" spans="7:20" ht="13">
      <c r="G547" s="133"/>
      <c r="H547" s="133"/>
      <c r="L547" s="133"/>
      <c r="P547" s="133"/>
      <c r="T547" s="133"/>
    </row>
    <row r="548" spans="7:20" ht="13">
      <c r="G548" s="133"/>
      <c r="H548" s="133"/>
      <c r="L548" s="133"/>
      <c r="P548" s="133"/>
      <c r="T548" s="133"/>
    </row>
    <row r="549" spans="7:20" ht="13">
      <c r="G549" s="133"/>
      <c r="H549" s="133"/>
      <c r="L549" s="133"/>
      <c r="P549" s="133"/>
      <c r="T549" s="133"/>
    </row>
    <row r="550" spans="7:20" ht="13">
      <c r="G550" s="133"/>
      <c r="H550" s="133"/>
      <c r="L550" s="133"/>
      <c r="P550" s="133"/>
      <c r="T550" s="133"/>
    </row>
    <row r="551" spans="7:20" ht="13">
      <c r="G551" s="133"/>
      <c r="H551" s="133"/>
      <c r="L551" s="133"/>
      <c r="P551" s="133"/>
      <c r="T551" s="133"/>
    </row>
    <row r="552" spans="7:20" ht="13">
      <c r="G552" s="133"/>
      <c r="H552" s="133"/>
      <c r="L552" s="133"/>
      <c r="P552" s="133"/>
      <c r="T552" s="133"/>
    </row>
    <row r="553" spans="7:20" ht="13">
      <c r="G553" s="133"/>
      <c r="H553" s="133"/>
      <c r="L553" s="133"/>
      <c r="P553" s="133"/>
      <c r="T553" s="133"/>
    </row>
    <row r="554" spans="7:20" ht="13">
      <c r="G554" s="133"/>
      <c r="H554" s="133"/>
      <c r="L554" s="133"/>
      <c r="P554" s="133"/>
      <c r="T554" s="133"/>
    </row>
    <row r="555" spans="7:20" ht="13">
      <c r="G555" s="133"/>
      <c r="H555" s="133"/>
      <c r="L555" s="133"/>
      <c r="P555" s="133"/>
      <c r="T555" s="133"/>
    </row>
    <row r="556" spans="7:20" ht="13">
      <c r="G556" s="133"/>
      <c r="H556" s="133"/>
      <c r="L556" s="133"/>
      <c r="P556" s="133"/>
      <c r="T556" s="133"/>
    </row>
    <row r="557" spans="7:20" ht="13">
      <c r="G557" s="133"/>
      <c r="H557" s="133"/>
      <c r="L557" s="133"/>
      <c r="P557" s="133"/>
      <c r="T557" s="133"/>
    </row>
    <row r="558" spans="7:20" ht="13">
      <c r="G558" s="133"/>
      <c r="H558" s="133"/>
      <c r="L558" s="133"/>
      <c r="P558" s="133"/>
      <c r="T558" s="133"/>
    </row>
    <row r="559" spans="7:20" ht="13">
      <c r="G559" s="133"/>
      <c r="H559" s="133"/>
      <c r="L559" s="133"/>
      <c r="P559" s="133"/>
      <c r="T559" s="133"/>
    </row>
    <row r="560" spans="7:20" ht="13">
      <c r="G560" s="133"/>
      <c r="H560" s="133"/>
      <c r="L560" s="133"/>
      <c r="P560" s="133"/>
      <c r="T560" s="133"/>
    </row>
    <row r="561" spans="7:20" ht="13">
      <c r="G561" s="133"/>
      <c r="H561" s="133"/>
      <c r="L561" s="133"/>
      <c r="P561" s="133"/>
      <c r="T561" s="133"/>
    </row>
    <row r="562" spans="7:20" ht="13">
      <c r="G562" s="133"/>
      <c r="H562" s="133"/>
      <c r="L562" s="133"/>
      <c r="P562" s="133"/>
      <c r="T562" s="133"/>
    </row>
    <row r="563" spans="7:20" ht="13">
      <c r="G563" s="133"/>
      <c r="H563" s="133"/>
      <c r="L563" s="133"/>
      <c r="P563" s="133"/>
      <c r="T563" s="133"/>
    </row>
    <row r="564" spans="7:20" ht="13">
      <c r="G564" s="133"/>
      <c r="H564" s="133"/>
      <c r="L564" s="133"/>
      <c r="P564" s="133"/>
      <c r="T564" s="133"/>
    </row>
    <row r="565" spans="7:20" ht="13">
      <c r="G565" s="133"/>
      <c r="H565" s="133"/>
      <c r="L565" s="133"/>
      <c r="P565" s="133"/>
      <c r="T565" s="133"/>
    </row>
    <row r="566" spans="7:20" ht="13">
      <c r="G566" s="133"/>
      <c r="H566" s="133"/>
      <c r="L566" s="133"/>
      <c r="P566" s="133"/>
      <c r="T566" s="133"/>
    </row>
    <row r="567" spans="7:20" ht="13">
      <c r="G567" s="133"/>
      <c r="H567" s="133"/>
      <c r="L567" s="133"/>
      <c r="P567" s="133"/>
      <c r="T567" s="133"/>
    </row>
    <row r="568" spans="7:20" ht="13">
      <c r="G568" s="133"/>
      <c r="H568" s="133"/>
      <c r="L568" s="133"/>
      <c r="P568" s="133"/>
      <c r="T568" s="133"/>
    </row>
    <row r="569" spans="7:20" ht="13">
      <c r="G569" s="133"/>
      <c r="H569" s="133"/>
      <c r="L569" s="133"/>
      <c r="P569" s="133"/>
      <c r="T569" s="133"/>
    </row>
    <row r="570" spans="7:20" ht="13">
      <c r="G570" s="133"/>
      <c r="H570" s="133"/>
      <c r="L570" s="133"/>
      <c r="P570" s="133"/>
      <c r="T570" s="133"/>
    </row>
    <row r="571" spans="7:20" ht="13">
      <c r="G571" s="133"/>
      <c r="H571" s="133"/>
      <c r="L571" s="133"/>
      <c r="P571" s="133"/>
      <c r="T571" s="133"/>
    </row>
    <row r="572" spans="7:20" ht="13">
      <c r="G572" s="133"/>
      <c r="H572" s="133"/>
      <c r="L572" s="133"/>
      <c r="P572" s="133"/>
      <c r="T572" s="133"/>
    </row>
    <row r="573" spans="7:20" ht="13">
      <c r="G573" s="133"/>
      <c r="H573" s="133"/>
      <c r="L573" s="133"/>
      <c r="P573" s="133"/>
      <c r="T573" s="133"/>
    </row>
    <row r="574" spans="7:20" ht="13">
      <c r="G574" s="133"/>
      <c r="H574" s="133"/>
      <c r="L574" s="133"/>
      <c r="P574" s="133"/>
      <c r="T574" s="133"/>
    </row>
    <row r="575" spans="7:20" ht="13">
      <c r="G575" s="133"/>
      <c r="H575" s="133"/>
      <c r="L575" s="133"/>
      <c r="P575" s="133"/>
      <c r="T575" s="133"/>
    </row>
    <row r="576" spans="7:20" ht="13">
      <c r="G576" s="133"/>
      <c r="H576" s="133"/>
      <c r="L576" s="133"/>
      <c r="P576" s="133"/>
      <c r="T576" s="133"/>
    </row>
    <row r="577" spans="7:20" ht="13">
      <c r="G577" s="133"/>
      <c r="H577" s="133"/>
      <c r="L577" s="133"/>
      <c r="P577" s="133"/>
      <c r="T577" s="133"/>
    </row>
    <row r="578" spans="7:20" ht="13">
      <c r="G578" s="133"/>
      <c r="H578" s="133"/>
      <c r="L578" s="133"/>
      <c r="P578" s="133"/>
      <c r="T578" s="133"/>
    </row>
    <row r="579" spans="7:20" ht="13">
      <c r="G579" s="133"/>
      <c r="H579" s="133"/>
      <c r="L579" s="133"/>
      <c r="P579" s="133"/>
      <c r="T579" s="133"/>
    </row>
    <row r="580" spans="7:20" ht="13">
      <c r="G580" s="133"/>
      <c r="H580" s="133"/>
      <c r="L580" s="133"/>
      <c r="P580" s="133"/>
      <c r="T580" s="133"/>
    </row>
    <row r="581" spans="7:20" ht="13">
      <c r="G581" s="133"/>
      <c r="H581" s="133"/>
      <c r="L581" s="133"/>
      <c r="P581" s="133"/>
      <c r="T581" s="133"/>
    </row>
    <row r="582" spans="7:20" ht="13">
      <c r="G582" s="133"/>
      <c r="H582" s="133"/>
      <c r="L582" s="133"/>
      <c r="P582" s="133"/>
      <c r="T582" s="133"/>
    </row>
    <row r="583" spans="7:20" ht="13">
      <c r="G583" s="133"/>
      <c r="H583" s="133"/>
      <c r="L583" s="133"/>
      <c r="P583" s="133"/>
      <c r="T583" s="133"/>
    </row>
    <row r="584" spans="7:20" ht="13">
      <c r="G584" s="133"/>
      <c r="H584" s="133"/>
      <c r="L584" s="133"/>
      <c r="P584" s="133"/>
      <c r="T584" s="133"/>
    </row>
    <row r="585" spans="7:20" ht="13">
      <c r="G585" s="133"/>
      <c r="H585" s="133"/>
      <c r="L585" s="133"/>
      <c r="P585" s="133"/>
      <c r="T585" s="133"/>
    </row>
    <row r="586" spans="7:20" ht="13">
      <c r="G586" s="133"/>
      <c r="H586" s="133"/>
      <c r="L586" s="133"/>
      <c r="P586" s="133"/>
      <c r="T586" s="133"/>
    </row>
    <row r="587" spans="7:20" ht="13">
      <c r="G587" s="133"/>
      <c r="H587" s="133"/>
      <c r="L587" s="133"/>
      <c r="P587" s="133"/>
      <c r="T587" s="133"/>
    </row>
    <row r="588" spans="7:20" ht="13">
      <c r="G588" s="133"/>
      <c r="H588" s="133"/>
      <c r="L588" s="133"/>
      <c r="P588" s="133"/>
      <c r="T588" s="133"/>
    </row>
    <row r="589" spans="7:20" ht="13">
      <c r="G589" s="133"/>
      <c r="H589" s="133"/>
      <c r="L589" s="133"/>
      <c r="P589" s="133"/>
      <c r="T589" s="133"/>
    </row>
    <row r="590" spans="7:20" ht="13">
      <c r="G590" s="133"/>
      <c r="H590" s="133"/>
      <c r="L590" s="133"/>
      <c r="P590" s="133"/>
      <c r="T590" s="133"/>
    </row>
    <row r="591" spans="7:20" ht="13">
      <c r="G591" s="133"/>
      <c r="H591" s="133"/>
      <c r="L591" s="133"/>
      <c r="P591" s="133"/>
      <c r="T591" s="133"/>
    </row>
    <row r="592" spans="7:20" ht="13">
      <c r="G592" s="133"/>
      <c r="H592" s="133"/>
      <c r="L592" s="133"/>
      <c r="P592" s="133"/>
      <c r="T592" s="133"/>
    </row>
    <row r="593" spans="7:20" ht="13">
      <c r="G593" s="133"/>
      <c r="H593" s="133"/>
      <c r="L593" s="133"/>
      <c r="P593" s="133"/>
      <c r="T593" s="133"/>
    </row>
    <row r="594" spans="7:20" ht="13">
      <c r="G594" s="133"/>
      <c r="H594" s="133"/>
      <c r="L594" s="133"/>
      <c r="P594" s="133"/>
      <c r="T594" s="133"/>
    </row>
    <row r="595" spans="7:20" ht="13">
      <c r="G595" s="133"/>
      <c r="H595" s="133"/>
      <c r="L595" s="133"/>
      <c r="P595" s="133"/>
      <c r="T595" s="133"/>
    </row>
    <row r="596" spans="7:20" ht="13">
      <c r="G596" s="133"/>
      <c r="H596" s="133"/>
      <c r="L596" s="133"/>
      <c r="P596" s="133"/>
      <c r="T596" s="133"/>
    </row>
    <row r="597" spans="7:20" ht="13">
      <c r="G597" s="133"/>
      <c r="H597" s="133"/>
      <c r="L597" s="133"/>
      <c r="P597" s="133"/>
      <c r="T597" s="133"/>
    </row>
    <row r="598" spans="7:20" ht="13">
      <c r="G598" s="133"/>
      <c r="H598" s="133"/>
      <c r="L598" s="133"/>
      <c r="P598" s="133"/>
      <c r="T598" s="133"/>
    </row>
    <row r="599" spans="7:20" ht="13">
      <c r="G599" s="133"/>
      <c r="H599" s="133"/>
      <c r="L599" s="133"/>
      <c r="P599" s="133"/>
      <c r="T599" s="133"/>
    </row>
    <row r="600" spans="7:20" ht="13">
      <c r="G600" s="133"/>
      <c r="H600" s="133"/>
      <c r="L600" s="133"/>
      <c r="P600" s="133"/>
      <c r="T600" s="133"/>
    </row>
    <row r="601" spans="7:20" ht="13">
      <c r="G601" s="133"/>
      <c r="H601" s="133"/>
      <c r="L601" s="133"/>
      <c r="P601" s="133"/>
      <c r="T601" s="133"/>
    </row>
    <row r="602" spans="7:20" ht="13">
      <c r="G602" s="133"/>
      <c r="H602" s="133"/>
      <c r="L602" s="133"/>
      <c r="P602" s="133"/>
      <c r="T602" s="133"/>
    </row>
    <row r="603" spans="7:20" ht="13">
      <c r="G603" s="133"/>
      <c r="H603" s="133"/>
      <c r="L603" s="133"/>
      <c r="P603" s="133"/>
      <c r="T603" s="133"/>
    </row>
    <row r="604" spans="7:20" ht="13">
      <c r="G604" s="133"/>
      <c r="H604" s="133"/>
      <c r="L604" s="133"/>
      <c r="P604" s="133"/>
      <c r="T604" s="133"/>
    </row>
    <row r="605" spans="7:20" ht="13">
      <c r="G605" s="133"/>
      <c r="H605" s="133"/>
      <c r="L605" s="133"/>
      <c r="P605" s="133"/>
      <c r="T605" s="133"/>
    </row>
    <row r="606" spans="7:20" ht="13">
      <c r="G606" s="133"/>
      <c r="H606" s="133"/>
      <c r="L606" s="133"/>
      <c r="P606" s="133"/>
      <c r="T606" s="133"/>
    </row>
    <row r="607" spans="7:20" ht="13">
      <c r="G607" s="133"/>
      <c r="H607" s="133"/>
      <c r="L607" s="133"/>
      <c r="P607" s="133"/>
      <c r="T607" s="133"/>
    </row>
    <row r="608" spans="7:20" ht="13">
      <c r="G608" s="133"/>
      <c r="H608" s="133"/>
      <c r="L608" s="133"/>
      <c r="P608" s="133"/>
      <c r="T608" s="133"/>
    </row>
    <row r="609" spans="7:20" ht="13">
      <c r="G609" s="133"/>
      <c r="H609" s="133"/>
      <c r="L609" s="133"/>
      <c r="P609" s="133"/>
      <c r="T609" s="133"/>
    </row>
    <row r="610" spans="7:20" ht="13">
      <c r="G610" s="133"/>
      <c r="H610" s="133"/>
      <c r="L610" s="133"/>
      <c r="P610" s="133"/>
      <c r="T610" s="133"/>
    </row>
    <row r="611" spans="7:20" ht="13">
      <c r="G611" s="133"/>
      <c r="H611" s="133"/>
      <c r="L611" s="133"/>
      <c r="P611" s="133"/>
      <c r="T611" s="133"/>
    </row>
    <row r="612" spans="7:20" ht="13">
      <c r="G612" s="133"/>
      <c r="H612" s="133"/>
      <c r="L612" s="133"/>
      <c r="P612" s="133"/>
      <c r="T612" s="133"/>
    </row>
    <row r="613" spans="7:20" ht="13">
      <c r="G613" s="133"/>
      <c r="H613" s="133"/>
      <c r="L613" s="133"/>
      <c r="P613" s="133"/>
      <c r="T613" s="133"/>
    </row>
    <row r="614" spans="7:20" ht="13">
      <c r="G614" s="133"/>
      <c r="H614" s="133"/>
      <c r="L614" s="133"/>
      <c r="P614" s="133"/>
      <c r="T614" s="133"/>
    </row>
    <row r="615" spans="7:20" ht="13">
      <c r="G615" s="133"/>
      <c r="H615" s="133"/>
      <c r="L615" s="133"/>
      <c r="P615" s="133"/>
      <c r="T615" s="133"/>
    </row>
    <row r="616" spans="7:20" ht="13">
      <c r="G616" s="133"/>
      <c r="H616" s="133"/>
      <c r="L616" s="133"/>
      <c r="P616" s="133"/>
      <c r="T616" s="133"/>
    </row>
    <row r="617" spans="7:20" ht="13">
      <c r="G617" s="133"/>
      <c r="H617" s="133"/>
      <c r="L617" s="133"/>
      <c r="P617" s="133"/>
      <c r="T617" s="133"/>
    </row>
    <row r="618" spans="7:20" ht="13">
      <c r="G618" s="133"/>
      <c r="H618" s="133"/>
      <c r="L618" s="133"/>
      <c r="P618" s="133"/>
      <c r="T618" s="133"/>
    </row>
    <row r="619" spans="7:20" ht="13">
      <c r="G619" s="133"/>
      <c r="H619" s="133"/>
      <c r="L619" s="133"/>
      <c r="P619" s="133"/>
      <c r="T619" s="133"/>
    </row>
    <row r="620" spans="7:20" ht="13">
      <c r="G620" s="133"/>
      <c r="H620" s="133"/>
      <c r="L620" s="133"/>
      <c r="P620" s="133"/>
      <c r="T620" s="133"/>
    </row>
    <row r="621" spans="7:20" ht="13">
      <c r="G621" s="133"/>
      <c r="H621" s="133"/>
      <c r="L621" s="133"/>
      <c r="P621" s="133"/>
      <c r="T621" s="133"/>
    </row>
    <row r="622" spans="7:20" ht="13">
      <c r="G622" s="133"/>
      <c r="H622" s="133"/>
      <c r="L622" s="133"/>
      <c r="P622" s="133"/>
      <c r="T622" s="133"/>
    </row>
    <row r="623" spans="7:20" ht="13">
      <c r="G623" s="133"/>
      <c r="H623" s="133"/>
      <c r="L623" s="133"/>
      <c r="P623" s="133"/>
      <c r="T623" s="133"/>
    </row>
    <row r="624" spans="7:20" ht="13">
      <c r="G624" s="133"/>
      <c r="H624" s="133"/>
      <c r="L624" s="133"/>
      <c r="P624" s="133"/>
      <c r="T624" s="133"/>
    </row>
    <row r="625" spans="7:20" ht="13">
      <c r="G625" s="133"/>
      <c r="H625" s="133"/>
      <c r="L625" s="133"/>
      <c r="P625" s="133"/>
      <c r="T625" s="133"/>
    </row>
    <row r="626" spans="7:20" ht="13">
      <c r="G626" s="133"/>
      <c r="H626" s="133"/>
      <c r="L626" s="133"/>
      <c r="P626" s="133"/>
      <c r="T626" s="133"/>
    </row>
    <row r="627" spans="7:20" ht="13">
      <c r="G627" s="133"/>
      <c r="H627" s="133"/>
      <c r="L627" s="133"/>
      <c r="P627" s="133"/>
      <c r="T627" s="133"/>
    </row>
    <row r="628" spans="7:20" ht="13">
      <c r="G628" s="133"/>
      <c r="H628" s="133"/>
      <c r="L628" s="133"/>
      <c r="P628" s="133"/>
      <c r="T628" s="133"/>
    </row>
    <row r="629" spans="7:20" ht="13">
      <c r="G629" s="133"/>
      <c r="H629" s="133"/>
      <c r="L629" s="133"/>
      <c r="P629" s="133"/>
      <c r="T629" s="133"/>
    </row>
    <row r="630" spans="7:20" ht="13">
      <c r="G630" s="133"/>
      <c r="H630" s="133"/>
      <c r="L630" s="133"/>
      <c r="P630" s="133"/>
      <c r="T630" s="133"/>
    </row>
    <row r="631" spans="7:20" ht="13">
      <c r="G631" s="133"/>
      <c r="H631" s="133"/>
      <c r="L631" s="133"/>
      <c r="P631" s="133"/>
      <c r="T631" s="133"/>
    </row>
    <row r="632" spans="7:20" ht="13">
      <c r="G632" s="133"/>
      <c r="H632" s="133"/>
      <c r="L632" s="133"/>
      <c r="P632" s="133"/>
      <c r="T632" s="133"/>
    </row>
    <row r="633" spans="7:20" ht="13">
      <c r="G633" s="133"/>
      <c r="H633" s="133"/>
      <c r="L633" s="133"/>
      <c r="P633" s="133"/>
      <c r="T633" s="133"/>
    </row>
    <row r="634" spans="7:20" ht="13">
      <c r="G634" s="133"/>
      <c r="H634" s="133"/>
      <c r="L634" s="133"/>
      <c r="P634" s="133"/>
      <c r="T634" s="133"/>
    </row>
    <row r="635" spans="7:20" ht="13">
      <c r="G635" s="133"/>
      <c r="H635" s="133"/>
      <c r="L635" s="133"/>
      <c r="P635" s="133"/>
      <c r="T635" s="133"/>
    </row>
    <row r="636" spans="7:20" ht="13">
      <c r="G636" s="133"/>
      <c r="H636" s="133"/>
      <c r="L636" s="133"/>
      <c r="P636" s="133"/>
      <c r="T636" s="133"/>
    </row>
    <row r="637" spans="7:20" ht="13">
      <c r="G637" s="133"/>
      <c r="H637" s="133"/>
      <c r="L637" s="133"/>
      <c r="P637" s="133"/>
      <c r="T637" s="133"/>
    </row>
    <row r="638" spans="7:20" ht="13">
      <c r="G638" s="133"/>
      <c r="H638" s="133"/>
      <c r="L638" s="133"/>
      <c r="P638" s="133"/>
      <c r="T638" s="133"/>
    </row>
    <row r="639" spans="7:20" ht="13">
      <c r="G639" s="133"/>
      <c r="H639" s="133"/>
      <c r="L639" s="133"/>
      <c r="P639" s="133"/>
      <c r="T639" s="133"/>
    </row>
    <row r="640" spans="7:20" ht="13">
      <c r="G640" s="133"/>
      <c r="H640" s="133"/>
      <c r="L640" s="133"/>
      <c r="P640" s="133"/>
      <c r="T640" s="133"/>
    </row>
    <row r="641" spans="7:20" ht="13">
      <c r="G641" s="133"/>
      <c r="H641" s="133"/>
      <c r="L641" s="133"/>
      <c r="P641" s="133"/>
      <c r="T641" s="133"/>
    </row>
    <row r="642" spans="7:20" ht="13">
      <c r="G642" s="133"/>
      <c r="H642" s="133"/>
      <c r="L642" s="133"/>
      <c r="P642" s="133"/>
      <c r="T642" s="133"/>
    </row>
    <row r="643" spans="7:20" ht="13">
      <c r="G643" s="133"/>
      <c r="H643" s="133"/>
      <c r="L643" s="133"/>
      <c r="P643" s="133"/>
      <c r="T643" s="133"/>
    </row>
    <row r="644" spans="7:20" ht="13">
      <c r="G644" s="133"/>
      <c r="H644" s="133"/>
      <c r="L644" s="133"/>
      <c r="P644" s="133"/>
      <c r="T644" s="133"/>
    </row>
    <row r="645" spans="7:20" ht="13">
      <c r="G645" s="133"/>
      <c r="H645" s="133"/>
      <c r="L645" s="133"/>
      <c r="P645" s="133"/>
      <c r="T645" s="133"/>
    </row>
    <row r="646" spans="7:20" ht="13">
      <c r="G646" s="133"/>
      <c r="H646" s="133"/>
      <c r="L646" s="133"/>
      <c r="P646" s="133"/>
      <c r="T646" s="133"/>
    </row>
    <row r="647" spans="7:20" ht="13">
      <c r="G647" s="133"/>
      <c r="H647" s="133"/>
      <c r="L647" s="133"/>
      <c r="P647" s="133"/>
      <c r="T647" s="133"/>
    </row>
    <row r="648" spans="7:20" ht="13">
      <c r="G648" s="133"/>
      <c r="H648" s="133"/>
      <c r="L648" s="133"/>
      <c r="P648" s="133"/>
      <c r="T648" s="133"/>
    </row>
    <row r="649" spans="7:20" ht="13">
      <c r="G649" s="133"/>
      <c r="H649" s="133"/>
      <c r="L649" s="133"/>
      <c r="P649" s="133"/>
      <c r="T649" s="133"/>
    </row>
    <row r="650" spans="7:20" ht="13">
      <c r="G650" s="133"/>
      <c r="H650" s="133"/>
      <c r="L650" s="133"/>
      <c r="P650" s="133"/>
      <c r="T650" s="133"/>
    </row>
    <row r="651" spans="7:20" ht="13">
      <c r="G651" s="133"/>
      <c r="H651" s="133"/>
      <c r="L651" s="133"/>
      <c r="P651" s="133"/>
      <c r="T651" s="133"/>
    </row>
    <row r="652" spans="7:20" ht="13">
      <c r="G652" s="133"/>
      <c r="H652" s="133"/>
      <c r="L652" s="133"/>
      <c r="P652" s="133"/>
      <c r="T652" s="133"/>
    </row>
    <row r="653" spans="7:20" ht="13">
      <c r="G653" s="133"/>
      <c r="H653" s="133"/>
      <c r="L653" s="133"/>
      <c r="P653" s="133"/>
      <c r="T653" s="133"/>
    </row>
    <row r="654" spans="7:20" ht="13">
      <c r="G654" s="133"/>
      <c r="H654" s="133"/>
      <c r="L654" s="133"/>
      <c r="P654" s="133"/>
      <c r="T654" s="133"/>
    </row>
    <row r="655" spans="7:20" ht="13">
      <c r="G655" s="133"/>
      <c r="H655" s="133"/>
      <c r="L655" s="133"/>
      <c r="P655" s="133"/>
      <c r="T655" s="133"/>
    </row>
    <row r="656" spans="7:20" ht="13">
      <c r="G656" s="133"/>
      <c r="H656" s="133"/>
      <c r="L656" s="133"/>
      <c r="P656" s="133"/>
      <c r="T656" s="133"/>
    </row>
    <row r="657" spans="7:20" ht="13">
      <c r="G657" s="133"/>
      <c r="H657" s="133"/>
      <c r="L657" s="133"/>
      <c r="P657" s="133"/>
      <c r="T657" s="133"/>
    </row>
    <row r="658" spans="7:20" ht="13">
      <c r="G658" s="133"/>
      <c r="H658" s="133"/>
      <c r="L658" s="133"/>
      <c r="P658" s="133"/>
      <c r="T658" s="133"/>
    </row>
    <row r="659" spans="7:20" ht="13">
      <c r="G659" s="133"/>
      <c r="H659" s="133"/>
      <c r="L659" s="133"/>
      <c r="P659" s="133"/>
      <c r="T659" s="133"/>
    </row>
    <row r="660" spans="7:20" ht="13">
      <c r="G660" s="133"/>
      <c r="H660" s="133"/>
      <c r="L660" s="133"/>
      <c r="P660" s="133"/>
      <c r="T660" s="133"/>
    </row>
    <row r="661" spans="7:20" ht="13">
      <c r="G661" s="133"/>
      <c r="H661" s="133"/>
      <c r="L661" s="133"/>
      <c r="P661" s="133"/>
      <c r="T661" s="133"/>
    </row>
    <row r="662" spans="7:20" ht="13">
      <c r="G662" s="133"/>
      <c r="H662" s="133"/>
      <c r="L662" s="133"/>
      <c r="P662" s="133"/>
      <c r="T662" s="133"/>
    </row>
    <row r="663" spans="7:20" ht="13">
      <c r="G663" s="133"/>
      <c r="H663" s="133"/>
      <c r="L663" s="133"/>
      <c r="P663" s="133"/>
      <c r="T663" s="133"/>
    </row>
    <row r="664" spans="7:20" ht="13">
      <c r="G664" s="133"/>
      <c r="H664" s="133"/>
      <c r="L664" s="133"/>
      <c r="P664" s="133"/>
      <c r="T664" s="133"/>
    </row>
    <row r="665" spans="7:20" ht="13">
      <c r="G665" s="133"/>
      <c r="H665" s="133"/>
      <c r="L665" s="133"/>
      <c r="P665" s="133"/>
      <c r="T665" s="133"/>
    </row>
    <row r="666" spans="7:20" ht="13">
      <c r="G666" s="133"/>
      <c r="H666" s="133"/>
      <c r="L666" s="133"/>
      <c r="P666" s="133"/>
      <c r="T666" s="133"/>
    </row>
    <row r="667" spans="7:20" ht="13">
      <c r="G667" s="133"/>
      <c r="H667" s="133"/>
      <c r="L667" s="133"/>
      <c r="P667" s="133"/>
      <c r="T667" s="133"/>
    </row>
    <row r="668" spans="7:20" ht="13">
      <c r="G668" s="133"/>
      <c r="H668" s="133"/>
      <c r="L668" s="133"/>
      <c r="P668" s="133"/>
      <c r="T668" s="133"/>
    </row>
    <row r="669" spans="7:20" ht="13">
      <c r="G669" s="133"/>
      <c r="H669" s="133"/>
      <c r="L669" s="133"/>
      <c r="P669" s="133"/>
      <c r="T669" s="133"/>
    </row>
    <row r="670" spans="7:20" ht="13">
      <c r="G670" s="133"/>
      <c r="H670" s="133"/>
      <c r="L670" s="133"/>
      <c r="P670" s="133"/>
      <c r="T670" s="133"/>
    </row>
    <row r="671" spans="7:20" ht="13">
      <c r="G671" s="133"/>
      <c r="H671" s="133"/>
      <c r="L671" s="133"/>
      <c r="P671" s="133"/>
      <c r="T671" s="133"/>
    </row>
    <row r="672" spans="7:20" ht="13">
      <c r="G672" s="133"/>
      <c r="H672" s="133"/>
      <c r="L672" s="133"/>
      <c r="P672" s="133"/>
      <c r="T672" s="133"/>
    </row>
    <row r="673" spans="7:20" ht="13">
      <c r="G673" s="133"/>
      <c r="H673" s="133"/>
      <c r="L673" s="133"/>
      <c r="P673" s="133"/>
      <c r="T673" s="133"/>
    </row>
    <row r="674" spans="7:20" ht="13">
      <c r="G674" s="133"/>
      <c r="H674" s="133"/>
      <c r="L674" s="133"/>
      <c r="P674" s="133"/>
      <c r="T674" s="133"/>
    </row>
    <row r="675" spans="7:20" ht="13">
      <c r="G675" s="133"/>
      <c r="H675" s="133"/>
      <c r="L675" s="133"/>
      <c r="P675" s="133"/>
      <c r="T675" s="133"/>
    </row>
    <row r="676" spans="7:20" ht="13">
      <c r="G676" s="133"/>
      <c r="H676" s="133"/>
      <c r="L676" s="133"/>
      <c r="P676" s="133"/>
      <c r="T676" s="133"/>
    </row>
    <row r="677" spans="7:20" ht="13">
      <c r="G677" s="133"/>
      <c r="H677" s="133"/>
      <c r="L677" s="133"/>
      <c r="P677" s="133"/>
      <c r="T677" s="133"/>
    </row>
    <row r="678" spans="7:20" ht="13">
      <c r="G678" s="133"/>
      <c r="H678" s="133"/>
      <c r="L678" s="133"/>
      <c r="P678" s="133"/>
      <c r="T678" s="133"/>
    </row>
    <row r="679" spans="7:20" ht="13">
      <c r="G679" s="133"/>
      <c r="H679" s="133"/>
      <c r="L679" s="133"/>
      <c r="P679" s="133"/>
      <c r="T679" s="133"/>
    </row>
    <row r="680" spans="7:20" ht="13">
      <c r="G680" s="133"/>
      <c r="H680" s="133"/>
      <c r="L680" s="133"/>
      <c r="P680" s="133"/>
      <c r="T680" s="133"/>
    </row>
    <row r="681" spans="7:20" ht="13">
      <c r="G681" s="133"/>
      <c r="H681" s="133"/>
      <c r="L681" s="133"/>
      <c r="P681" s="133"/>
      <c r="T681" s="133"/>
    </row>
    <row r="682" spans="7:20" ht="13">
      <c r="G682" s="133"/>
      <c r="H682" s="133"/>
      <c r="L682" s="133"/>
      <c r="P682" s="133"/>
      <c r="T682" s="133"/>
    </row>
    <row r="683" spans="7:20" ht="13">
      <c r="G683" s="133"/>
      <c r="H683" s="133"/>
      <c r="L683" s="133"/>
      <c r="P683" s="133"/>
      <c r="T683" s="133"/>
    </row>
    <row r="684" spans="7:20" ht="13">
      <c r="G684" s="133"/>
      <c r="H684" s="133"/>
      <c r="L684" s="133"/>
      <c r="P684" s="133"/>
      <c r="T684" s="133"/>
    </row>
    <row r="685" spans="7:20" ht="13">
      <c r="G685" s="133"/>
      <c r="H685" s="133"/>
      <c r="L685" s="133"/>
      <c r="P685" s="133"/>
      <c r="T685" s="133"/>
    </row>
    <row r="686" spans="7:20" ht="13">
      <c r="G686" s="133"/>
      <c r="H686" s="133"/>
      <c r="L686" s="133"/>
      <c r="P686" s="133"/>
      <c r="T686" s="133"/>
    </row>
    <row r="687" spans="7:20" ht="13">
      <c r="G687" s="133"/>
      <c r="H687" s="133"/>
      <c r="L687" s="133"/>
      <c r="P687" s="133"/>
      <c r="T687" s="133"/>
    </row>
    <row r="688" spans="7:20" ht="13">
      <c r="G688" s="133"/>
      <c r="H688" s="133"/>
      <c r="L688" s="133"/>
      <c r="P688" s="133"/>
      <c r="T688" s="133"/>
    </row>
    <row r="689" spans="7:20" ht="13">
      <c r="G689" s="133"/>
      <c r="H689" s="133"/>
      <c r="L689" s="133"/>
      <c r="P689" s="133"/>
      <c r="T689" s="133"/>
    </row>
    <row r="690" spans="7:20" ht="13">
      <c r="G690" s="133"/>
      <c r="H690" s="133"/>
      <c r="L690" s="133"/>
      <c r="P690" s="133"/>
      <c r="T690" s="133"/>
    </row>
    <row r="691" spans="7:20" ht="13">
      <c r="G691" s="133"/>
      <c r="H691" s="133"/>
      <c r="L691" s="133"/>
      <c r="P691" s="133"/>
      <c r="T691" s="133"/>
    </row>
    <row r="692" spans="7:20" ht="13">
      <c r="G692" s="133"/>
      <c r="H692" s="133"/>
      <c r="L692" s="133"/>
      <c r="P692" s="133"/>
      <c r="T692" s="133"/>
    </row>
    <row r="693" spans="7:20" ht="13">
      <c r="G693" s="133"/>
      <c r="H693" s="133"/>
      <c r="L693" s="133"/>
      <c r="P693" s="133"/>
      <c r="T693" s="133"/>
    </row>
    <row r="694" spans="7:20" ht="13">
      <c r="G694" s="133"/>
      <c r="H694" s="133"/>
      <c r="L694" s="133"/>
      <c r="P694" s="133"/>
      <c r="T694" s="133"/>
    </row>
    <row r="695" spans="7:20" ht="13">
      <c r="G695" s="133"/>
      <c r="H695" s="133"/>
      <c r="L695" s="133"/>
      <c r="P695" s="133"/>
      <c r="T695" s="133"/>
    </row>
    <row r="696" spans="7:20" ht="13">
      <c r="G696" s="133"/>
      <c r="H696" s="133"/>
      <c r="L696" s="133"/>
      <c r="P696" s="133"/>
      <c r="T696" s="133"/>
    </row>
    <row r="697" spans="7:20" ht="13">
      <c r="G697" s="133"/>
      <c r="H697" s="133"/>
      <c r="L697" s="133"/>
      <c r="P697" s="133"/>
      <c r="T697" s="133"/>
    </row>
    <row r="698" spans="7:20" ht="13">
      <c r="G698" s="133"/>
      <c r="H698" s="133"/>
      <c r="L698" s="133"/>
      <c r="P698" s="133"/>
      <c r="T698" s="133"/>
    </row>
    <row r="699" spans="7:20" ht="13">
      <c r="G699" s="133"/>
      <c r="H699" s="133"/>
      <c r="L699" s="133"/>
      <c r="P699" s="133"/>
      <c r="T699" s="133"/>
    </row>
    <row r="700" spans="7:20" ht="13">
      <c r="G700" s="133"/>
      <c r="H700" s="133"/>
      <c r="L700" s="133"/>
      <c r="P700" s="133"/>
      <c r="T700" s="133"/>
    </row>
    <row r="701" spans="7:20" ht="13">
      <c r="G701" s="133"/>
      <c r="H701" s="133"/>
      <c r="L701" s="133"/>
      <c r="P701" s="133"/>
      <c r="T701" s="133"/>
    </row>
    <row r="702" spans="7:20" ht="13">
      <c r="G702" s="133"/>
      <c r="H702" s="133"/>
      <c r="L702" s="133"/>
      <c r="P702" s="133"/>
      <c r="T702" s="133"/>
    </row>
    <row r="703" spans="7:20" ht="13">
      <c r="G703" s="133"/>
      <c r="H703" s="133"/>
      <c r="L703" s="133"/>
      <c r="P703" s="133"/>
      <c r="T703" s="133"/>
    </row>
    <row r="704" spans="7:20" ht="13">
      <c r="G704" s="133"/>
      <c r="H704" s="133"/>
      <c r="L704" s="133"/>
      <c r="P704" s="133"/>
      <c r="T704" s="133"/>
    </row>
    <row r="705" spans="7:20" ht="13">
      <c r="G705" s="133"/>
      <c r="H705" s="133"/>
      <c r="L705" s="133"/>
      <c r="P705" s="133"/>
      <c r="T705" s="133"/>
    </row>
    <row r="706" spans="7:20" ht="13">
      <c r="G706" s="133"/>
      <c r="H706" s="133"/>
      <c r="L706" s="133"/>
      <c r="P706" s="133"/>
      <c r="T706" s="133"/>
    </row>
    <row r="707" spans="7:20" ht="13">
      <c r="G707" s="133"/>
      <c r="H707" s="133"/>
      <c r="L707" s="133"/>
      <c r="P707" s="133"/>
      <c r="T707" s="133"/>
    </row>
    <row r="708" spans="7:20" ht="13">
      <c r="G708" s="133"/>
      <c r="H708" s="133"/>
      <c r="L708" s="133"/>
      <c r="P708" s="133"/>
      <c r="T708" s="133"/>
    </row>
    <row r="709" spans="7:20" ht="13">
      <c r="G709" s="133"/>
      <c r="H709" s="133"/>
      <c r="L709" s="133"/>
      <c r="P709" s="133"/>
      <c r="T709" s="133"/>
    </row>
    <row r="710" spans="7:20" ht="13">
      <c r="G710" s="133"/>
      <c r="H710" s="133"/>
      <c r="L710" s="133"/>
      <c r="P710" s="133"/>
      <c r="T710" s="133"/>
    </row>
    <row r="711" spans="7:20" ht="13">
      <c r="G711" s="133"/>
      <c r="H711" s="133"/>
      <c r="L711" s="133"/>
      <c r="P711" s="133"/>
      <c r="T711" s="133"/>
    </row>
    <row r="712" spans="7:20" ht="13">
      <c r="G712" s="133"/>
      <c r="H712" s="133"/>
      <c r="L712" s="133"/>
      <c r="P712" s="133"/>
      <c r="T712" s="133"/>
    </row>
    <row r="713" spans="7:20" ht="13">
      <c r="G713" s="133"/>
      <c r="H713" s="133"/>
      <c r="L713" s="133"/>
      <c r="P713" s="133"/>
      <c r="T713" s="133"/>
    </row>
    <row r="714" spans="7:20" ht="13">
      <c r="G714" s="133"/>
      <c r="H714" s="133"/>
      <c r="L714" s="133"/>
      <c r="P714" s="133"/>
      <c r="T714" s="133"/>
    </row>
    <row r="715" spans="7:20" ht="13">
      <c r="G715" s="133"/>
      <c r="H715" s="133"/>
      <c r="L715" s="133"/>
      <c r="P715" s="133"/>
      <c r="T715" s="133"/>
    </row>
    <row r="716" spans="7:20" ht="13">
      <c r="G716" s="133"/>
      <c r="H716" s="133"/>
      <c r="L716" s="133"/>
      <c r="P716" s="133"/>
      <c r="T716" s="133"/>
    </row>
    <row r="717" spans="7:20" ht="13">
      <c r="G717" s="133"/>
      <c r="H717" s="133"/>
      <c r="L717" s="133"/>
      <c r="P717" s="133"/>
      <c r="T717" s="133"/>
    </row>
    <row r="718" spans="7:20" ht="13">
      <c r="G718" s="133"/>
      <c r="H718" s="133"/>
      <c r="L718" s="133"/>
      <c r="P718" s="133"/>
      <c r="T718" s="133"/>
    </row>
    <row r="719" spans="7:20" ht="13">
      <c r="G719" s="133"/>
      <c r="H719" s="133"/>
      <c r="L719" s="133"/>
      <c r="P719" s="133"/>
      <c r="T719" s="133"/>
    </row>
    <row r="720" spans="7:20" ht="13">
      <c r="G720" s="133"/>
      <c r="H720" s="133"/>
      <c r="L720" s="133"/>
      <c r="P720" s="133"/>
      <c r="T720" s="133"/>
    </row>
    <row r="721" spans="7:20" ht="13">
      <c r="G721" s="133"/>
      <c r="H721" s="133"/>
      <c r="L721" s="133"/>
      <c r="P721" s="133"/>
      <c r="T721" s="133"/>
    </row>
    <row r="722" spans="7:20" ht="13">
      <c r="G722" s="133"/>
      <c r="H722" s="133"/>
      <c r="L722" s="133"/>
      <c r="P722" s="133"/>
      <c r="T722" s="133"/>
    </row>
    <row r="723" spans="7:20" ht="13">
      <c r="G723" s="133"/>
      <c r="H723" s="133"/>
      <c r="L723" s="133"/>
      <c r="P723" s="133"/>
      <c r="T723" s="133"/>
    </row>
    <row r="724" spans="7:20" ht="13">
      <c r="G724" s="133"/>
      <c r="H724" s="133"/>
      <c r="L724" s="133"/>
      <c r="P724" s="133"/>
      <c r="T724" s="133"/>
    </row>
    <row r="725" spans="7:20" ht="13">
      <c r="G725" s="133"/>
      <c r="H725" s="133"/>
      <c r="L725" s="133"/>
      <c r="P725" s="133"/>
      <c r="T725" s="133"/>
    </row>
    <row r="726" spans="7:20" ht="13">
      <c r="G726" s="133"/>
      <c r="H726" s="133"/>
      <c r="L726" s="133"/>
      <c r="P726" s="133"/>
      <c r="T726" s="133"/>
    </row>
    <row r="727" spans="7:20" ht="13">
      <c r="G727" s="133"/>
      <c r="H727" s="133"/>
      <c r="L727" s="133"/>
      <c r="P727" s="133"/>
      <c r="T727" s="133"/>
    </row>
    <row r="728" spans="7:20" ht="13">
      <c r="G728" s="133"/>
      <c r="H728" s="133"/>
      <c r="L728" s="133"/>
      <c r="P728" s="133"/>
      <c r="T728" s="133"/>
    </row>
    <row r="729" spans="7:20" ht="13">
      <c r="G729" s="133"/>
      <c r="H729" s="133"/>
      <c r="L729" s="133"/>
      <c r="P729" s="133"/>
      <c r="T729" s="133"/>
    </row>
    <row r="730" spans="7:20" ht="13">
      <c r="G730" s="133"/>
      <c r="H730" s="133"/>
      <c r="L730" s="133"/>
      <c r="P730" s="133"/>
      <c r="T730" s="133"/>
    </row>
    <row r="731" spans="7:20" ht="13">
      <c r="G731" s="133"/>
      <c r="H731" s="133"/>
      <c r="L731" s="133"/>
      <c r="P731" s="133"/>
      <c r="T731" s="133"/>
    </row>
    <row r="732" spans="7:20" ht="13">
      <c r="G732" s="133"/>
      <c r="H732" s="133"/>
      <c r="L732" s="133"/>
      <c r="P732" s="133"/>
      <c r="T732" s="133"/>
    </row>
    <row r="733" spans="7:20" ht="13">
      <c r="G733" s="133"/>
      <c r="H733" s="133"/>
      <c r="L733" s="133"/>
      <c r="P733" s="133"/>
      <c r="T733" s="133"/>
    </row>
    <row r="734" spans="7:20" ht="13">
      <c r="G734" s="133"/>
      <c r="H734" s="133"/>
      <c r="L734" s="133"/>
      <c r="P734" s="133"/>
      <c r="T734" s="133"/>
    </row>
    <row r="735" spans="7:20" ht="13">
      <c r="G735" s="133"/>
      <c r="H735" s="133"/>
      <c r="L735" s="133"/>
      <c r="P735" s="133"/>
      <c r="T735" s="133"/>
    </row>
    <row r="736" spans="7:20" ht="13">
      <c r="G736" s="133"/>
      <c r="H736" s="133"/>
      <c r="L736" s="133"/>
      <c r="P736" s="133"/>
      <c r="T736" s="133"/>
    </row>
    <row r="737" spans="7:20" ht="13">
      <c r="G737" s="133"/>
      <c r="H737" s="133"/>
      <c r="L737" s="133"/>
      <c r="P737" s="133"/>
      <c r="T737" s="133"/>
    </row>
    <row r="738" spans="7:20" ht="13">
      <c r="G738" s="133"/>
      <c r="H738" s="133"/>
      <c r="L738" s="133"/>
      <c r="P738" s="133"/>
      <c r="T738" s="133"/>
    </row>
    <row r="739" spans="7:20" ht="13">
      <c r="G739" s="133"/>
      <c r="H739" s="133"/>
      <c r="L739" s="133"/>
      <c r="P739" s="133"/>
      <c r="T739" s="133"/>
    </row>
    <row r="740" spans="7:20" ht="13">
      <c r="G740" s="133"/>
      <c r="H740" s="133"/>
      <c r="L740" s="133"/>
      <c r="P740" s="133"/>
      <c r="T740" s="133"/>
    </row>
    <row r="741" spans="7:20" ht="13">
      <c r="G741" s="133"/>
      <c r="H741" s="133"/>
      <c r="L741" s="133"/>
      <c r="P741" s="133"/>
      <c r="T741" s="133"/>
    </row>
    <row r="742" spans="7:20" ht="13">
      <c r="G742" s="133"/>
      <c r="H742" s="133"/>
      <c r="L742" s="133"/>
      <c r="P742" s="133"/>
      <c r="T742" s="133"/>
    </row>
    <row r="743" spans="7:20" ht="13">
      <c r="G743" s="133"/>
      <c r="H743" s="133"/>
      <c r="L743" s="133"/>
      <c r="P743" s="133"/>
      <c r="T743" s="133"/>
    </row>
    <row r="744" spans="7:20" ht="13">
      <c r="G744" s="133"/>
      <c r="H744" s="133"/>
      <c r="L744" s="133"/>
      <c r="P744" s="133"/>
      <c r="T744" s="133"/>
    </row>
    <row r="745" spans="7:20" ht="13">
      <c r="G745" s="133"/>
      <c r="H745" s="133"/>
      <c r="L745" s="133"/>
      <c r="P745" s="133"/>
      <c r="T745" s="133"/>
    </row>
    <row r="746" spans="7:20" ht="13">
      <c r="G746" s="133"/>
      <c r="H746" s="133"/>
      <c r="L746" s="133"/>
      <c r="P746" s="133"/>
      <c r="T746" s="133"/>
    </row>
    <row r="747" spans="7:20" ht="13">
      <c r="G747" s="133"/>
      <c r="H747" s="133"/>
      <c r="L747" s="133"/>
      <c r="P747" s="133"/>
      <c r="T747" s="133"/>
    </row>
    <row r="748" spans="7:20" ht="13">
      <c r="G748" s="133"/>
      <c r="H748" s="133"/>
      <c r="L748" s="133"/>
      <c r="P748" s="133"/>
      <c r="T748" s="133"/>
    </row>
    <row r="749" spans="7:20" ht="13">
      <c r="G749" s="133"/>
      <c r="H749" s="133"/>
      <c r="L749" s="133"/>
      <c r="P749" s="133"/>
      <c r="T749" s="133"/>
    </row>
    <row r="750" spans="7:20" ht="13">
      <c r="G750" s="133"/>
      <c r="H750" s="133"/>
      <c r="L750" s="133"/>
      <c r="P750" s="133"/>
      <c r="T750" s="133"/>
    </row>
    <row r="751" spans="7:20" ht="13">
      <c r="G751" s="133"/>
      <c r="H751" s="133"/>
      <c r="L751" s="133"/>
      <c r="P751" s="133"/>
      <c r="T751" s="133"/>
    </row>
    <row r="752" spans="7:20" ht="13">
      <c r="G752" s="133"/>
      <c r="H752" s="133"/>
      <c r="L752" s="133"/>
      <c r="P752" s="133"/>
      <c r="T752" s="133"/>
    </row>
    <row r="753" spans="7:20" ht="13">
      <c r="G753" s="133"/>
      <c r="H753" s="133"/>
      <c r="L753" s="133"/>
      <c r="P753" s="133"/>
      <c r="T753" s="133"/>
    </row>
    <row r="754" spans="7:20" ht="13">
      <c r="G754" s="133"/>
      <c r="H754" s="133"/>
      <c r="L754" s="133"/>
      <c r="P754" s="133"/>
      <c r="T754" s="133"/>
    </row>
    <row r="755" spans="7:20" ht="13">
      <c r="G755" s="133"/>
      <c r="H755" s="133"/>
      <c r="L755" s="133"/>
      <c r="P755" s="133"/>
      <c r="T755" s="133"/>
    </row>
    <row r="756" spans="7:20" ht="13">
      <c r="G756" s="133"/>
      <c r="H756" s="133"/>
      <c r="L756" s="133"/>
      <c r="P756" s="133"/>
      <c r="T756" s="133"/>
    </row>
    <row r="757" spans="7:20" ht="13">
      <c r="G757" s="133"/>
      <c r="H757" s="133"/>
      <c r="L757" s="133"/>
      <c r="P757" s="133"/>
      <c r="T757" s="133"/>
    </row>
    <row r="758" spans="7:20" ht="13">
      <c r="G758" s="133"/>
      <c r="H758" s="133"/>
      <c r="L758" s="133"/>
      <c r="P758" s="133"/>
      <c r="T758" s="133"/>
    </row>
    <row r="759" spans="7:20" ht="13">
      <c r="G759" s="133"/>
      <c r="H759" s="133"/>
      <c r="L759" s="133"/>
      <c r="P759" s="133"/>
      <c r="T759" s="133"/>
    </row>
    <row r="760" spans="7:20" ht="13">
      <c r="G760" s="133"/>
      <c r="H760" s="133"/>
      <c r="L760" s="133"/>
      <c r="P760" s="133"/>
      <c r="T760" s="133"/>
    </row>
    <row r="761" spans="7:20" ht="13">
      <c r="G761" s="133"/>
      <c r="H761" s="133"/>
      <c r="L761" s="133"/>
      <c r="P761" s="133"/>
      <c r="T761" s="133"/>
    </row>
    <row r="762" spans="7:20" ht="13">
      <c r="G762" s="133"/>
      <c r="H762" s="133"/>
      <c r="L762" s="133"/>
      <c r="P762" s="133"/>
      <c r="T762" s="133"/>
    </row>
    <row r="763" spans="7:20" ht="13">
      <c r="G763" s="133"/>
      <c r="H763" s="133"/>
      <c r="L763" s="133"/>
      <c r="P763" s="133"/>
      <c r="T763" s="133"/>
    </row>
    <row r="764" spans="7:20" ht="13">
      <c r="G764" s="133"/>
      <c r="H764" s="133"/>
      <c r="L764" s="133"/>
      <c r="P764" s="133"/>
      <c r="T764" s="133"/>
    </row>
    <row r="765" spans="7:20" ht="13">
      <c r="G765" s="133"/>
      <c r="H765" s="133"/>
      <c r="L765" s="133"/>
      <c r="P765" s="133"/>
      <c r="T765" s="133"/>
    </row>
    <row r="766" spans="7:20" ht="13">
      <c r="G766" s="133"/>
      <c r="H766" s="133"/>
      <c r="L766" s="133"/>
      <c r="P766" s="133"/>
      <c r="T766" s="133"/>
    </row>
    <row r="767" spans="7:20" ht="13">
      <c r="G767" s="133"/>
      <c r="H767" s="133"/>
      <c r="L767" s="133"/>
      <c r="P767" s="133"/>
      <c r="T767" s="133"/>
    </row>
    <row r="768" spans="7:20" ht="13">
      <c r="G768" s="133"/>
      <c r="H768" s="133"/>
      <c r="L768" s="133"/>
      <c r="P768" s="133"/>
      <c r="T768" s="133"/>
    </row>
    <row r="769" spans="7:20" ht="13">
      <c r="G769" s="133"/>
      <c r="H769" s="133"/>
      <c r="L769" s="133"/>
      <c r="P769" s="133"/>
      <c r="T769" s="133"/>
    </row>
    <row r="770" spans="7:20" ht="13">
      <c r="G770" s="133"/>
      <c r="H770" s="133"/>
      <c r="L770" s="133"/>
      <c r="P770" s="133"/>
      <c r="T770" s="133"/>
    </row>
    <row r="771" spans="7:20" ht="13">
      <c r="G771" s="133"/>
      <c r="H771" s="133"/>
      <c r="L771" s="133"/>
      <c r="P771" s="133"/>
      <c r="T771" s="133"/>
    </row>
    <row r="772" spans="7:20" ht="13">
      <c r="G772" s="133"/>
      <c r="H772" s="133"/>
      <c r="L772" s="133"/>
      <c r="P772" s="133"/>
      <c r="T772" s="133"/>
    </row>
    <row r="773" spans="7:20" ht="13">
      <c r="G773" s="133"/>
      <c r="H773" s="133"/>
      <c r="L773" s="133"/>
      <c r="P773" s="133"/>
      <c r="T773" s="133"/>
    </row>
    <row r="774" spans="7:20" ht="13">
      <c r="G774" s="133"/>
      <c r="H774" s="133"/>
      <c r="L774" s="133"/>
      <c r="P774" s="133"/>
      <c r="T774" s="133"/>
    </row>
    <row r="775" spans="7:20" ht="13">
      <c r="G775" s="133"/>
      <c r="H775" s="133"/>
      <c r="L775" s="133"/>
      <c r="P775" s="133"/>
      <c r="T775" s="133"/>
    </row>
    <row r="776" spans="7:20" ht="13">
      <c r="G776" s="133"/>
      <c r="H776" s="133"/>
      <c r="L776" s="133"/>
      <c r="P776" s="133"/>
      <c r="T776" s="133"/>
    </row>
    <row r="777" spans="7:20" ht="13">
      <c r="G777" s="133"/>
      <c r="H777" s="133"/>
      <c r="L777" s="133"/>
      <c r="P777" s="133"/>
      <c r="T777" s="133"/>
    </row>
    <row r="778" spans="7:20" ht="13">
      <c r="G778" s="133"/>
      <c r="H778" s="133"/>
      <c r="L778" s="133"/>
      <c r="P778" s="133"/>
      <c r="T778" s="133"/>
    </row>
    <row r="779" spans="7:20" ht="13">
      <c r="G779" s="133"/>
      <c r="H779" s="133"/>
      <c r="L779" s="133"/>
      <c r="P779" s="133"/>
      <c r="T779" s="133"/>
    </row>
    <row r="780" spans="7:20" ht="13">
      <c r="G780" s="133"/>
      <c r="H780" s="133"/>
      <c r="L780" s="133"/>
      <c r="P780" s="133"/>
      <c r="T780" s="133"/>
    </row>
    <row r="781" spans="7:20" ht="13">
      <c r="G781" s="133"/>
      <c r="H781" s="133"/>
      <c r="L781" s="133"/>
      <c r="P781" s="133"/>
      <c r="T781" s="133"/>
    </row>
    <row r="782" spans="7:20" ht="13">
      <c r="G782" s="133"/>
      <c r="H782" s="133"/>
      <c r="L782" s="133"/>
      <c r="P782" s="133"/>
      <c r="T782" s="133"/>
    </row>
    <row r="783" spans="7:20" ht="13">
      <c r="G783" s="133"/>
      <c r="H783" s="133"/>
      <c r="L783" s="133"/>
      <c r="P783" s="133"/>
      <c r="T783" s="133"/>
    </row>
    <row r="784" spans="7:20" ht="13">
      <c r="G784" s="133"/>
      <c r="H784" s="133"/>
      <c r="L784" s="133"/>
      <c r="P784" s="133"/>
      <c r="T784" s="133"/>
    </row>
    <row r="785" spans="7:20" ht="13">
      <c r="G785" s="133"/>
      <c r="H785" s="133"/>
      <c r="L785" s="133"/>
      <c r="P785" s="133"/>
      <c r="T785" s="133"/>
    </row>
    <row r="786" spans="7:20" ht="13">
      <c r="G786" s="133"/>
      <c r="H786" s="133"/>
      <c r="L786" s="133"/>
      <c r="P786" s="133"/>
      <c r="T786" s="133"/>
    </row>
    <row r="787" spans="7:20" ht="13">
      <c r="G787" s="133"/>
      <c r="H787" s="133"/>
      <c r="L787" s="133"/>
      <c r="P787" s="133"/>
      <c r="T787" s="133"/>
    </row>
    <row r="788" spans="7:20" ht="13">
      <c r="G788" s="133"/>
      <c r="H788" s="133"/>
      <c r="L788" s="133"/>
      <c r="P788" s="133"/>
      <c r="T788" s="133"/>
    </row>
    <row r="789" spans="7:20" ht="13">
      <c r="G789" s="133"/>
      <c r="H789" s="133"/>
      <c r="L789" s="133"/>
      <c r="P789" s="133"/>
      <c r="T789" s="133"/>
    </row>
    <row r="790" spans="7:20" ht="13">
      <c r="G790" s="133"/>
      <c r="H790" s="133"/>
      <c r="L790" s="133"/>
      <c r="P790" s="133"/>
      <c r="T790" s="133"/>
    </row>
    <row r="791" spans="7:20" ht="13">
      <c r="G791" s="133"/>
      <c r="H791" s="133"/>
      <c r="L791" s="133"/>
      <c r="P791" s="133"/>
      <c r="T791" s="133"/>
    </row>
    <row r="792" spans="7:20" ht="13">
      <c r="G792" s="133"/>
      <c r="H792" s="133"/>
      <c r="L792" s="133"/>
      <c r="P792" s="133"/>
      <c r="T792" s="133"/>
    </row>
    <row r="793" spans="7:20" ht="13">
      <c r="G793" s="133"/>
      <c r="H793" s="133"/>
      <c r="L793" s="133"/>
      <c r="P793" s="133"/>
      <c r="T793" s="133"/>
    </row>
    <row r="794" spans="7:20" ht="13">
      <c r="G794" s="133"/>
      <c r="H794" s="133"/>
      <c r="L794" s="133"/>
      <c r="P794" s="133"/>
      <c r="T794" s="133"/>
    </row>
    <row r="795" spans="7:20" ht="13">
      <c r="G795" s="133"/>
      <c r="H795" s="133"/>
      <c r="L795" s="133"/>
      <c r="P795" s="133"/>
      <c r="T795" s="133"/>
    </row>
    <row r="796" spans="7:20" ht="13">
      <c r="G796" s="133"/>
      <c r="H796" s="133"/>
      <c r="L796" s="133"/>
      <c r="P796" s="133"/>
      <c r="T796" s="133"/>
    </row>
    <row r="797" spans="7:20" ht="13">
      <c r="G797" s="133"/>
      <c r="H797" s="133"/>
      <c r="L797" s="133"/>
      <c r="P797" s="133"/>
      <c r="T797" s="133"/>
    </row>
    <row r="798" spans="7:20" ht="13">
      <c r="G798" s="133"/>
      <c r="H798" s="133"/>
      <c r="L798" s="133"/>
      <c r="P798" s="133"/>
      <c r="T798" s="133"/>
    </row>
    <row r="799" spans="7:20" ht="13">
      <c r="G799" s="133"/>
      <c r="H799" s="133"/>
      <c r="L799" s="133"/>
      <c r="P799" s="133"/>
      <c r="T799" s="133"/>
    </row>
    <row r="800" spans="7:20" ht="13">
      <c r="G800" s="133"/>
      <c r="H800" s="133"/>
      <c r="L800" s="133"/>
      <c r="P800" s="133"/>
      <c r="T800" s="133"/>
    </row>
    <row r="801" spans="7:20" ht="13">
      <c r="G801" s="133"/>
      <c r="H801" s="133"/>
      <c r="L801" s="133"/>
      <c r="P801" s="133"/>
      <c r="T801" s="133"/>
    </row>
    <row r="802" spans="7:20" ht="13">
      <c r="G802" s="133"/>
      <c r="H802" s="133"/>
      <c r="L802" s="133"/>
      <c r="P802" s="133"/>
      <c r="T802" s="133"/>
    </row>
    <row r="803" spans="7:20" ht="13">
      <c r="G803" s="133"/>
      <c r="H803" s="133"/>
      <c r="L803" s="133"/>
      <c r="P803" s="133"/>
      <c r="T803" s="133"/>
    </row>
    <row r="804" spans="7:20" ht="13">
      <c r="G804" s="133"/>
      <c r="H804" s="133"/>
      <c r="L804" s="133"/>
      <c r="P804" s="133"/>
      <c r="T804" s="133"/>
    </row>
    <row r="805" spans="7:20" ht="13">
      <c r="G805" s="133"/>
      <c r="H805" s="133"/>
      <c r="L805" s="133"/>
      <c r="P805" s="133"/>
      <c r="T805" s="133"/>
    </row>
    <row r="806" spans="7:20" ht="13">
      <c r="G806" s="133"/>
      <c r="H806" s="133"/>
      <c r="L806" s="133"/>
      <c r="P806" s="133"/>
      <c r="T806" s="133"/>
    </row>
    <row r="807" spans="7:20" ht="13">
      <c r="G807" s="133"/>
      <c r="H807" s="133"/>
      <c r="L807" s="133"/>
      <c r="P807" s="133"/>
      <c r="T807" s="133"/>
    </row>
    <row r="808" spans="7:20" ht="13">
      <c r="G808" s="133"/>
      <c r="H808" s="133"/>
      <c r="L808" s="133"/>
      <c r="P808" s="133"/>
      <c r="T808" s="133"/>
    </row>
    <row r="809" spans="7:20" ht="13">
      <c r="G809" s="133"/>
      <c r="H809" s="133"/>
      <c r="L809" s="133"/>
      <c r="P809" s="133"/>
      <c r="T809" s="133"/>
    </row>
    <row r="810" spans="7:20" ht="13">
      <c r="G810" s="133"/>
      <c r="H810" s="133"/>
      <c r="L810" s="133"/>
      <c r="P810" s="133"/>
      <c r="T810" s="133"/>
    </row>
    <row r="811" spans="7:20" ht="13">
      <c r="G811" s="133"/>
      <c r="H811" s="133"/>
      <c r="L811" s="133"/>
      <c r="P811" s="133"/>
      <c r="T811" s="133"/>
    </row>
    <row r="812" spans="7:20" ht="13">
      <c r="G812" s="133"/>
      <c r="H812" s="133"/>
      <c r="L812" s="133"/>
      <c r="P812" s="133"/>
      <c r="T812" s="133"/>
    </row>
    <row r="813" spans="7:20" ht="13">
      <c r="G813" s="133"/>
      <c r="H813" s="133"/>
      <c r="L813" s="133"/>
      <c r="P813" s="133"/>
      <c r="T813" s="133"/>
    </row>
    <row r="814" spans="7:20" ht="13">
      <c r="G814" s="133"/>
      <c r="H814" s="133"/>
      <c r="L814" s="133"/>
      <c r="P814" s="133"/>
      <c r="T814" s="133"/>
    </row>
    <row r="815" spans="7:20" ht="13">
      <c r="G815" s="133"/>
      <c r="H815" s="133"/>
      <c r="L815" s="133"/>
      <c r="P815" s="133"/>
      <c r="T815" s="133"/>
    </row>
    <row r="816" spans="7:20" ht="13">
      <c r="G816" s="133"/>
      <c r="H816" s="133"/>
      <c r="L816" s="133"/>
      <c r="P816" s="133"/>
      <c r="T816" s="133"/>
    </row>
    <row r="817" spans="7:20" ht="13">
      <c r="G817" s="133"/>
      <c r="H817" s="133"/>
      <c r="L817" s="133"/>
      <c r="P817" s="133"/>
      <c r="T817" s="133"/>
    </row>
    <row r="818" spans="7:20" ht="13">
      <c r="G818" s="133"/>
      <c r="H818" s="133"/>
      <c r="L818" s="133"/>
      <c r="P818" s="133"/>
      <c r="T818" s="133"/>
    </row>
    <row r="819" spans="7:20" ht="13">
      <c r="G819" s="133"/>
      <c r="H819" s="133"/>
      <c r="L819" s="133"/>
      <c r="P819" s="133"/>
      <c r="T819" s="133"/>
    </row>
    <row r="820" spans="7:20" ht="13">
      <c r="G820" s="133"/>
      <c r="H820" s="133"/>
      <c r="L820" s="133"/>
      <c r="P820" s="133"/>
      <c r="T820" s="133"/>
    </row>
    <row r="821" spans="7:20" ht="13">
      <c r="G821" s="133"/>
      <c r="H821" s="133"/>
      <c r="L821" s="133"/>
      <c r="P821" s="133"/>
      <c r="T821" s="133"/>
    </row>
    <row r="822" spans="7:20" ht="13">
      <c r="G822" s="133"/>
      <c r="H822" s="133"/>
      <c r="L822" s="133"/>
      <c r="P822" s="133"/>
      <c r="T822" s="133"/>
    </row>
    <row r="823" spans="7:20" ht="13">
      <c r="G823" s="133"/>
      <c r="H823" s="133"/>
      <c r="L823" s="133"/>
      <c r="P823" s="133"/>
      <c r="T823" s="133"/>
    </row>
    <row r="824" spans="7:20" ht="13">
      <c r="G824" s="133"/>
      <c r="H824" s="133"/>
      <c r="L824" s="133"/>
      <c r="P824" s="133"/>
      <c r="T824" s="133"/>
    </row>
    <row r="825" spans="7:20" ht="13">
      <c r="G825" s="133"/>
      <c r="H825" s="133"/>
      <c r="L825" s="133"/>
      <c r="P825" s="133"/>
      <c r="T825" s="133"/>
    </row>
    <row r="826" spans="7:20" ht="13">
      <c r="G826" s="133"/>
      <c r="H826" s="133"/>
      <c r="L826" s="133"/>
      <c r="P826" s="133"/>
      <c r="T826" s="133"/>
    </row>
    <row r="827" spans="7:20" ht="13">
      <c r="G827" s="133"/>
      <c r="H827" s="133"/>
      <c r="L827" s="133"/>
      <c r="P827" s="133"/>
      <c r="T827" s="133"/>
    </row>
    <row r="828" spans="7:20" ht="13">
      <c r="G828" s="133"/>
      <c r="H828" s="133"/>
      <c r="L828" s="133"/>
      <c r="P828" s="133"/>
      <c r="T828" s="133"/>
    </row>
    <row r="829" spans="7:20" ht="13">
      <c r="G829" s="133"/>
      <c r="H829" s="133"/>
      <c r="L829" s="133"/>
      <c r="P829" s="133"/>
      <c r="T829" s="133"/>
    </row>
    <row r="830" spans="7:20" ht="13">
      <c r="G830" s="133"/>
      <c r="H830" s="133"/>
      <c r="L830" s="133"/>
      <c r="P830" s="133"/>
      <c r="T830" s="133"/>
    </row>
    <row r="831" spans="7:20" ht="13">
      <c r="G831" s="133"/>
      <c r="H831" s="133"/>
      <c r="L831" s="133"/>
      <c r="P831" s="133"/>
      <c r="T831" s="133"/>
    </row>
    <row r="832" spans="7:20" ht="13">
      <c r="G832" s="133"/>
      <c r="H832" s="133"/>
      <c r="L832" s="133"/>
      <c r="P832" s="133"/>
      <c r="T832" s="133"/>
    </row>
    <row r="833" spans="7:20" ht="13">
      <c r="G833" s="133"/>
      <c r="H833" s="133"/>
      <c r="L833" s="133"/>
      <c r="P833" s="133"/>
      <c r="T833" s="133"/>
    </row>
    <row r="834" spans="7:20" ht="13">
      <c r="G834" s="133"/>
      <c r="H834" s="133"/>
      <c r="L834" s="133"/>
      <c r="P834" s="133"/>
      <c r="T834" s="133"/>
    </row>
    <row r="835" spans="7:20" ht="13">
      <c r="G835" s="133"/>
      <c r="H835" s="133"/>
      <c r="L835" s="133"/>
      <c r="P835" s="133"/>
      <c r="T835" s="133"/>
    </row>
    <row r="836" spans="7:20" ht="13">
      <c r="G836" s="133"/>
      <c r="H836" s="133"/>
      <c r="L836" s="133"/>
      <c r="P836" s="133"/>
      <c r="T836" s="133"/>
    </row>
    <row r="837" spans="7:20" ht="13">
      <c r="G837" s="133"/>
      <c r="H837" s="133"/>
      <c r="L837" s="133"/>
      <c r="P837" s="133"/>
      <c r="T837" s="133"/>
    </row>
    <row r="838" spans="7:20" ht="13">
      <c r="G838" s="133"/>
      <c r="H838" s="133"/>
      <c r="L838" s="133"/>
      <c r="P838" s="133"/>
      <c r="T838" s="133"/>
    </row>
    <row r="839" spans="7:20" ht="13">
      <c r="G839" s="133"/>
      <c r="H839" s="133"/>
      <c r="L839" s="133"/>
      <c r="P839" s="133"/>
      <c r="T839" s="133"/>
    </row>
    <row r="840" spans="7:20" ht="13">
      <c r="G840" s="133"/>
      <c r="H840" s="133"/>
      <c r="L840" s="133"/>
      <c r="P840" s="133"/>
      <c r="T840" s="133"/>
    </row>
    <row r="841" spans="7:20" ht="13">
      <c r="G841" s="133"/>
      <c r="H841" s="133"/>
      <c r="L841" s="133"/>
      <c r="P841" s="133"/>
      <c r="T841" s="133"/>
    </row>
    <row r="842" spans="7:20" ht="13">
      <c r="G842" s="133"/>
      <c r="H842" s="133"/>
      <c r="L842" s="133"/>
      <c r="P842" s="133"/>
      <c r="T842" s="133"/>
    </row>
    <row r="843" spans="7:20" ht="13">
      <c r="G843" s="133"/>
      <c r="H843" s="133"/>
      <c r="L843" s="133"/>
      <c r="P843" s="133"/>
      <c r="T843" s="133"/>
    </row>
    <row r="844" spans="7:20" ht="13">
      <c r="G844" s="133"/>
      <c r="H844" s="133"/>
      <c r="L844" s="133"/>
      <c r="P844" s="133"/>
      <c r="T844" s="133"/>
    </row>
    <row r="845" spans="7:20" ht="13">
      <c r="G845" s="133"/>
      <c r="H845" s="133"/>
      <c r="L845" s="133"/>
      <c r="P845" s="133"/>
      <c r="T845" s="133"/>
    </row>
    <row r="846" spans="7:20" ht="13">
      <c r="G846" s="133"/>
      <c r="H846" s="133"/>
      <c r="L846" s="133"/>
      <c r="P846" s="133"/>
      <c r="T846" s="133"/>
    </row>
    <row r="847" spans="7:20" ht="13">
      <c r="G847" s="133"/>
      <c r="H847" s="133"/>
      <c r="L847" s="133"/>
      <c r="P847" s="133"/>
      <c r="T847" s="133"/>
    </row>
    <row r="848" spans="7:20" ht="13">
      <c r="G848" s="133"/>
      <c r="H848" s="133"/>
      <c r="L848" s="133"/>
      <c r="P848" s="133"/>
      <c r="T848" s="133"/>
    </row>
    <row r="849" spans="7:20" ht="13">
      <c r="G849" s="133"/>
      <c r="H849" s="133"/>
      <c r="L849" s="133"/>
      <c r="P849" s="133"/>
      <c r="T849" s="133"/>
    </row>
    <row r="850" spans="7:20" ht="13">
      <c r="G850" s="133"/>
      <c r="H850" s="133"/>
      <c r="L850" s="133"/>
      <c r="P850" s="133"/>
      <c r="T850" s="133"/>
    </row>
    <row r="851" spans="7:20" ht="13">
      <c r="G851" s="133"/>
      <c r="H851" s="133"/>
      <c r="L851" s="133"/>
      <c r="P851" s="133"/>
      <c r="T851" s="133"/>
    </row>
    <row r="852" spans="7:20" ht="13">
      <c r="G852" s="133"/>
      <c r="H852" s="133"/>
      <c r="L852" s="133"/>
      <c r="P852" s="133"/>
      <c r="T852" s="133"/>
    </row>
    <row r="853" spans="7:20" ht="13">
      <c r="G853" s="133"/>
      <c r="H853" s="133"/>
      <c r="L853" s="133"/>
      <c r="P853" s="133"/>
      <c r="T853" s="133"/>
    </row>
    <row r="854" spans="7:20" ht="13">
      <c r="G854" s="133"/>
      <c r="H854" s="133"/>
      <c r="L854" s="133"/>
      <c r="P854" s="133"/>
      <c r="T854" s="133"/>
    </row>
    <row r="855" spans="7:20" ht="13">
      <c r="G855" s="133"/>
      <c r="H855" s="133"/>
      <c r="L855" s="133"/>
      <c r="P855" s="133"/>
      <c r="T855" s="133"/>
    </row>
    <row r="856" spans="7:20" ht="13">
      <c r="G856" s="133"/>
      <c r="H856" s="133"/>
      <c r="L856" s="133"/>
      <c r="P856" s="133"/>
      <c r="T856" s="133"/>
    </row>
    <row r="857" spans="7:20" ht="13">
      <c r="G857" s="133"/>
      <c r="H857" s="133"/>
      <c r="L857" s="133"/>
      <c r="P857" s="133"/>
      <c r="T857" s="133"/>
    </row>
    <row r="858" spans="7:20" ht="13">
      <c r="G858" s="133"/>
      <c r="H858" s="133"/>
      <c r="L858" s="133"/>
      <c r="P858" s="133"/>
      <c r="T858" s="133"/>
    </row>
    <row r="859" spans="7:20" ht="13">
      <c r="G859" s="133"/>
      <c r="H859" s="133"/>
      <c r="L859" s="133"/>
      <c r="P859" s="133"/>
      <c r="T859" s="133"/>
    </row>
    <row r="860" spans="7:20" ht="13">
      <c r="G860" s="133"/>
      <c r="H860" s="133"/>
      <c r="L860" s="133"/>
      <c r="P860" s="133"/>
      <c r="T860" s="133"/>
    </row>
    <row r="861" spans="7:20" ht="13">
      <c r="G861" s="133"/>
      <c r="H861" s="133"/>
      <c r="L861" s="133"/>
      <c r="P861" s="133"/>
      <c r="T861" s="133"/>
    </row>
    <row r="862" spans="7:20" ht="13">
      <c r="G862" s="133"/>
      <c r="H862" s="133"/>
      <c r="L862" s="133"/>
      <c r="P862" s="133"/>
      <c r="T862" s="133"/>
    </row>
    <row r="863" spans="7:20" ht="13">
      <c r="G863" s="133"/>
      <c r="H863" s="133"/>
      <c r="L863" s="133"/>
      <c r="P863" s="133"/>
      <c r="T863" s="133"/>
    </row>
    <row r="864" spans="7:20" ht="13">
      <c r="G864" s="133"/>
      <c r="H864" s="133"/>
      <c r="L864" s="133"/>
      <c r="P864" s="133"/>
      <c r="T864" s="133"/>
    </row>
    <row r="865" spans="7:20" ht="13">
      <c r="G865" s="133"/>
      <c r="H865" s="133"/>
      <c r="L865" s="133"/>
      <c r="P865" s="133"/>
      <c r="T865" s="133"/>
    </row>
    <row r="866" spans="7:20" ht="13">
      <c r="G866" s="133"/>
      <c r="H866" s="133"/>
      <c r="L866" s="133"/>
      <c r="P866" s="133"/>
      <c r="T866" s="133"/>
    </row>
    <row r="867" spans="7:20" ht="13">
      <c r="G867" s="133"/>
      <c r="H867" s="133"/>
      <c r="L867" s="133"/>
      <c r="P867" s="133"/>
      <c r="T867" s="133"/>
    </row>
    <row r="868" spans="7:20" ht="13">
      <c r="G868" s="133"/>
      <c r="H868" s="133"/>
      <c r="L868" s="133"/>
      <c r="P868" s="133"/>
      <c r="T868" s="133"/>
    </row>
    <row r="869" spans="7:20" ht="13">
      <c r="G869" s="133"/>
      <c r="H869" s="133"/>
      <c r="L869" s="133"/>
      <c r="P869" s="133"/>
      <c r="T869" s="133"/>
    </row>
    <row r="870" spans="7:20" ht="13">
      <c r="G870" s="133"/>
      <c r="H870" s="133"/>
      <c r="L870" s="133"/>
      <c r="P870" s="133"/>
      <c r="T870" s="133"/>
    </row>
    <row r="871" spans="7:20" ht="13">
      <c r="G871" s="133"/>
      <c r="H871" s="133"/>
      <c r="L871" s="133"/>
      <c r="P871" s="133"/>
      <c r="T871" s="133"/>
    </row>
    <row r="872" spans="7:20" ht="13">
      <c r="G872" s="133"/>
      <c r="H872" s="133"/>
      <c r="L872" s="133"/>
      <c r="P872" s="133"/>
      <c r="T872" s="133"/>
    </row>
    <row r="873" spans="7:20" ht="13">
      <c r="G873" s="133"/>
      <c r="H873" s="133"/>
      <c r="L873" s="133"/>
      <c r="P873" s="133"/>
      <c r="T873" s="133"/>
    </row>
    <row r="874" spans="7:20" ht="13">
      <c r="G874" s="133"/>
      <c r="H874" s="133"/>
      <c r="L874" s="133"/>
      <c r="P874" s="133"/>
      <c r="T874" s="133"/>
    </row>
    <row r="875" spans="7:20" ht="13">
      <c r="G875" s="133"/>
      <c r="H875" s="133"/>
      <c r="L875" s="133"/>
      <c r="P875" s="133"/>
      <c r="T875" s="133"/>
    </row>
    <row r="876" spans="7:20" ht="13">
      <c r="G876" s="133"/>
      <c r="H876" s="133"/>
      <c r="L876" s="133"/>
      <c r="P876" s="133"/>
      <c r="T876" s="133"/>
    </row>
    <row r="877" spans="7:20" ht="13">
      <c r="G877" s="133"/>
      <c r="H877" s="133"/>
      <c r="L877" s="133"/>
      <c r="P877" s="133"/>
      <c r="T877" s="133"/>
    </row>
    <row r="878" spans="7:20" ht="13">
      <c r="G878" s="133"/>
      <c r="H878" s="133"/>
      <c r="L878" s="133"/>
      <c r="P878" s="133"/>
      <c r="T878" s="133"/>
    </row>
    <row r="879" spans="7:20" ht="13">
      <c r="G879" s="133"/>
      <c r="H879" s="133"/>
      <c r="L879" s="133"/>
      <c r="P879" s="133"/>
      <c r="T879" s="133"/>
    </row>
    <row r="880" spans="7:20" ht="13">
      <c r="G880" s="133"/>
      <c r="H880" s="133"/>
      <c r="L880" s="133"/>
      <c r="P880" s="133"/>
      <c r="T880" s="133"/>
    </row>
    <row r="881" spans="7:20" ht="13">
      <c r="G881" s="133"/>
      <c r="H881" s="133"/>
      <c r="L881" s="133"/>
      <c r="P881" s="133"/>
      <c r="T881" s="133"/>
    </row>
    <row r="882" spans="7:20" ht="13">
      <c r="G882" s="133"/>
      <c r="H882" s="133"/>
      <c r="L882" s="133"/>
      <c r="P882" s="133"/>
      <c r="T882" s="133"/>
    </row>
    <row r="883" spans="7:20" ht="13">
      <c r="G883" s="133"/>
      <c r="H883" s="133"/>
      <c r="L883" s="133"/>
      <c r="P883" s="133"/>
      <c r="T883" s="133"/>
    </row>
    <row r="884" spans="7:20" ht="13">
      <c r="G884" s="133"/>
      <c r="H884" s="133"/>
      <c r="L884" s="133"/>
      <c r="P884" s="133"/>
      <c r="T884" s="133"/>
    </row>
    <row r="885" spans="7:20" ht="13">
      <c r="G885" s="133"/>
      <c r="H885" s="133"/>
      <c r="L885" s="133"/>
      <c r="P885" s="133"/>
      <c r="T885" s="133"/>
    </row>
    <row r="886" spans="7:20" ht="13">
      <c r="G886" s="133"/>
      <c r="H886" s="133"/>
      <c r="L886" s="133"/>
      <c r="P886" s="133"/>
      <c r="T886" s="133"/>
    </row>
    <row r="887" spans="7:20" ht="13">
      <c r="G887" s="133"/>
      <c r="H887" s="133"/>
      <c r="L887" s="133"/>
      <c r="P887" s="133"/>
      <c r="T887" s="133"/>
    </row>
    <row r="888" spans="7:20" ht="13">
      <c r="G888" s="133"/>
      <c r="H888" s="133"/>
      <c r="L888" s="133"/>
      <c r="P888" s="133"/>
      <c r="T888" s="133"/>
    </row>
    <row r="889" spans="7:20" ht="13">
      <c r="G889" s="133"/>
      <c r="H889" s="133"/>
      <c r="L889" s="133"/>
      <c r="P889" s="133"/>
      <c r="T889" s="133"/>
    </row>
    <row r="890" spans="7:20" ht="13">
      <c r="G890" s="133"/>
      <c r="H890" s="133"/>
      <c r="L890" s="133"/>
      <c r="P890" s="133"/>
      <c r="T890" s="133"/>
    </row>
    <row r="891" spans="7:20" ht="13">
      <c r="G891" s="133"/>
      <c r="H891" s="133"/>
      <c r="L891" s="133"/>
      <c r="P891" s="133"/>
      <c r="T891" s="133"/>
    </row>
    <row r="892" spans="7:20" ht="13">
      <c r="G892" s="133"/>
      <c r="H892" s="133"/>
      <c r="L892" s="133"/>
      <c r="P892" s="133"/>
      <c r="T892" s="133"/>
    </row>
    <row r="893" spans="7:20" ht="13">
      <c r="G893" s="133"/>
      <c r="H893" s="133"/>
      <c r="L893" s="133"/>
      <c r="P893" s="133"/>
      <c r="T893" s="133"/>
    </row>
    <row r="894" spans="7:20" ht="13">
      <c r="G894" s="133"/>
      <c r="H894" s="133"/>
      <c r="L894" s="133"/>
      <c r="P894" s="133"/>
      <c r="T894" s="133"/>
    </row>
    <row r="895" spans="7:20" ht="13">
      <c r="G895" s="133"/>
      <c r="H895" s="133"/>
      <c r="L895" s="133"/>
      <c r="P895" s="133"/>
      <c r="T895" s="133"/>
    </row>
    <row r="896" spans="7:20" ht="13">
      <c r="G896" s="133"/>
      <c r="H896" s="133"/>
      <c r="L896" s="133"/>
      <c r="P896" s="133"/>
      <c r="T896" s="133"/>
    </row>
    <row r="897" spans="7:20" ht="13">
      <c r="G897" s="133"/>
      <c r="H897" s="133"/>
      <c r="L897" s="133"/>
      <c r="P897" s="133"/>
      <c r="T897" s="133"/>
    </row>
    <row r="898" spans="7:20" ht="13">
      <c r="G898" s="133"/>
      <c r="H898" s="133"/>
      <c r="L898" s="133"/>
      <c r="P898" s="133"/>
      <c r="T898" s="133"/>
    </row>
    <row r="899" spans="7:20" ht="13">
      <c r="G899" s="133"/>
      <c r="H899" s="133"/>
      <c r="L899" s="133"/>
      <c r="P899" s="133"/>
      <c r="T899" s="133"/>
    </row>
    <row r="900" spans="7:20" ht="13">
      <c r="G900" s="133"/>
      <c r="H900" s="133"/>
      <c r="L900" s="133"/>
      <c r="P900" s="133"/>
      <c r="T900" s="133"/>
    </row>
    <row r="901" spans="7:20" ht="13">
      <c r="G901" s="133"/>
      <c r="H901" s="133"/>
      <c r="L901" s="133"/>
      <c r="P901" s="133"/>
      <c r="T901" s="133"/>
    </row>
    <row r="902" spans="7:20" ht="13">
      <c r="G902" s="133"/>
      <c r="H902" s="133"/>
      <c r="L902" s="133"/>
      <c r="P902" s="133"/>
      <c r="T902" s="133"/>
    </row>
    <row r="903" spans="7:20" ht="13">
      <c r="G903" s="133"/>
      <c r="H903" s="133"/>
      <c r="L903" s="133"/>
      <c r="P903" s="133"/>
      <c r="T903" s="133"/>
    </row>
    <row r="904" spans="7:20" ht="13">
      <c r="G904" s="133"/>
      <c r="H904" s="133"/>
      <c r="L904" s="133"/>
      <c r="P904" s="133"/>
      <c r="T904" s="133"/>
    </row>
    <row r="905" spans="7:20" ht="13">
      <c r="G905" s="133"/>
      <c r="H905" s="133"/>
      <c r="L905" s="133"/>
      <c r="P905" s="133"/>
      <c r="T905" s="133"/>
    </row>
    <row r="906" spans="7:20" ht="13">
      <c r="G906" s="133"/>
      <c r="H906" s="133"/>
      <c r="L906" s="133"/>
      <c r="P906" s="133"/>
      <c r="T906" s="133"/>
    </row>
    <row r="907" spans="7:20" ht="13">
      <c r="G907" s="133"/>
      <c r="H907" s="133"/>
      <c r="L907" s="133"/>
      <c r="P907" s="133"/>
      <c r="T907" s="133"/>
    </row>
    <row r="908" spans="7:20" ht="13">
      <c r="G908" s="133"/>
      <c r="H908" s="133"/>
      <c r="L908" s="133"/>
      <c r="P908" s="133"/>
      <c r="T908" s="133"/>
    </row>
    <row r="909" spans="7:20" ht="13">
      <c r="G909" s="133"/>
      <c r="H909" s="133"/>
      <c r="L909" s="133"/>
      <c r="P909" s="133"/>
      <c r="T909" s="133"/>
    </row>
    <row r="910" spans="7:20" ht="13">
      <c r="G910" s="133"/>
      <c r="H910" s="133"/>
      <c r="L910" s="133"/>
      <c r="P910" s="133"/>
      <c r="T910" s="133"/>
    </row>
    <row r="911" spans="7:20" ht="13">
      <c r="G911" s="133"/>
      <c r="H911" s="133"/>
      <c r="L911" s="133"/>
      <c r="P911" s="133"/>
      <c r="T911" s="133"/>
    </row>
    <row r="912" spans="7:20" ht="13">
      <c r="G912" s="133"/>
      <c r="H912" s="133"/>
      <c r="L912" s="133"/>
      <c r="P912" s="133"/>
      <c r="T912" s="133"/>
    </row>
    <row r="913" spans="7:20" ht="13">
      <c r="G913" s="133"/>
      <c r="H913" s="133"/>
      <c r="L913" s="133"/>
      <c r="P913" s="133"/>
      <c r="T913" s="133"/>
    </row>
    <row r="914" spans="7:20" ht="13">
      <c r="G914" s="133"/>
      <c r="H914" s="133"/>
      <c r="L914" s="133"/>
      <c r="P914" s="133"/>
      <c r="T914" s="133"/>
    </row>
    <row r="915" spans="7:20" ht="13">
      <c r="G915" s="133"/>
      <c r="H915" s="133"/>
      <c r="L915" s="133"/>
      <c r="P915" s="133"/>
      <c r="T915" s="133"/>
    </row>
    <row r="916" spans="7:20" ht="13">
      <c r="G916" s="133"/>
      <c r="H916" s="133"/>
      <c r="L916" s="133"/>
      <c r="P916" s="133"/>
      <c r="T916" s="133"/>
    </row>
    <row r="917" spans="7:20" ht="13">
      <c r="G917" s="133"/>
      <c r="H917" s="133"/>
      <c r="L917" s="133"/>
      <c r="P917" s="133"/>
      <c r="T917" s="133"/>
    </row>
    <row r="918" spans="7:20" ht="13">
      <c r="G918" s="133"/>
      <c r="H918" s="133"/>
      <c r="L918" s="133"/>
      <c r="P918" s="133"/>
      <c r="T918" s="133"/>
    </row>
    <row r="919" spans="7:20" ht="13">
      <c r="G919" s="133"/>
      <c r="H919" s="133"/>
      <c r="L919" s="133"/>
      <c r="P919" s="133"/>
      <c r="T919" s="133"/>
    </row>
    <row r="920" spans="7:20" ht="13">
      <c r="G920" s="133"/>
      <c r="H920" s="133"/>
      <c r="L920" s="133"/>
      <c r="P920" s="133"/>
      <c r="T920" s="133"/>
    </row>
    <row r="921" spans="7:20" ht="13">
      <c r="G921" s="133"/>
      <c r="H921" s="133"/>
      <c r="L921" s="133"/>
      <c r="P921" s="133"/>
      <c r="T921" s="133"/>
    </row>
    <row r="922" spans="7:20" ht="13">
      <c r="G922" s="133"/>
      <c r="H922" s="133"/>
      <c r="L922" s="133"/>
      <c r="P922" s="133"/>
      <c r="T922" s="133"/>
    </row>
    <row r="923" spans="7:20" ht="13">
      <c r="G923" s="133"/>
      <c r="H923" s="133"/>
      <c r="L923" s="133"/>
      <c r="P923" s="133"/>
      <c r="T923" s="133"/>
    </row>
    <row r="924" spans="7:20" ht="13">
      <c r="G924" s="133"/>
      <c r="H924" s="133"/>
      <c r="L924" s="133"/>
      <c r="P924" s="133"/>
      <c r="T924" s="133"/>
    </row>
    <row r="925" spans="7:20" ht="13">
      <c r="G925" s="133"/>
      <c r="H925" s="133"/>
      <c r="L925" s="133"/>
      <c r="P925" s="133"/>
      <c r="T925" s="133"/>
    </row>
    <row r="926" spans="7:20" ht="13">
      <c r="G926" s="133"/>
      <c r="H926" s="133"/>
      <c r="L926" s="133"/>
      <c r="P926" s="133"/>
      <c r="T926" s="133"/>
    </row>
    <row r="927" spans="7:20" ht="13">
      <c r="G927" s="133"/>
      <c r="H927" s="133"/>
      <c r="L927" s="133"/>
      <c r="P927" s="133"/>
      <c r="T927" s="133"/>
    </row>
    <row r="928" spans="7:20" ht="13">
      <c r="G928" s="133"/>
      <c r="H928" s="133"/>
      <c r="L928" s="133"/>
      <c r="P928" s="133"/>
      <c r="T928" s="133"/>
    </row>
    <row r="929" spans="7:20" ht="13">
      <c r="G929" s="133"/>
      <c r="H929" s="133"/>
      <c r="L929" s="133"/>
      <c r="P929" s="133"/>
      <c r="T929" s="133"/>
    </row>
    <row r="930" spans="7:20" ht="13">
      <c r="G930" s="133"/>
      <c r="H930" s="133"/>
      <c r="L930" s="133"/>
      <c r="P930" s="133"/>
      <c r="T930" s="133"/>
    </row>
    <row r="931" spans="7:20" ht="13">
      <c r="G931" s="133"/>
      <c r="H931" s="133"/>
      <c r="L931" s="133"/>
      <c r="P931" s="133"/>
      <c r="T931" s="133"/>
    </row>
    <row r="932" spans="7:20" ht="13">
      <c r="G932" s="133"/>
      <c r="H932" s="133"/>
      <c r="L932" s="133"/>
      <c r="P932" s="133"/>
      <c r="T932" s="133"/>
    </row>
    <row r="933" spans="7:20" ht="13">
      <c r="G933" s="133"/>
      <c r="H933" s="133"/>
      <c r="L933" s="133"/>
      <c r="P933" s="133"/>
      <c r="T933" s="133"/>
    </row>
    <row r="934" spans="7:20" ht="13">
      <c r="G934" s="133"/>
      <c r="H934" s="133"/>
      <c r="L934" s="133"/>
      <c r="P934" s="133"/>
      <c r="T934" s="133"/>
    </row>
    <row r="935" spans="7:20" ht="13">
      <c r="G935" s="133"/>
      <c r="H935" s="133"/>
      <c r="L935" s="133"/>
      <c r="P935" s="133"/>
      <c r="T935" s="133"/>
    </row>
    <row r="936" spans="7:20" ht="13">
      <c r="G936" s="133"/>
      <c r="H936" s="133"/>
      <c r="L936" s="133"/>
      <c r="P936" s="133"/>
      <c r="T936" s="133"/>
    </row>
    <row r="937" spans="7:20" ht="13">
      <c r="G937" s="133"/>
      <c r="H937" s="133"/>
      <c r="L937" s="133"/>
      <c r="P937" s="133"/>
      <c r="T937" s="133"/>
    </row>
    <row r="938" spans="7:20" ht="13">
      <c r="G938" s="133"/>
      <c r="H938" s="133"/>
      <c r="L938" s="133"/>
      <c r="P938" s="133"/>
      <c r="T938" s="133"/>
    </row>
    <row r="939" spans="7:20" ht="13">
      <c r="G939" s="133"/>
      <c r="H939" s="133"/>
      <c r="L939" s="133"/>
      <c r="P939" s="133"/>
      <c r="T939" s="133"/>
    </row>
    <row r="940" spans="7:20" ht="13">
      <c r="G940" s="133"/>
      <c r="H940" s="133"/>
      <c r="L940" s="133"/>
      <c r="P940" s="133"/>
      <c r="T940" s="133"/>
    </row>
    <row r="941" spans="7:20" ht="13">
      <c r="G941" s="133"/>
      <c r="H941" s="133"/>
      <c r="L941" s="133"/>
      <c r="P941" s="133"/>
      <c r="T941" s="133"/>
    </row>
    <row r="942" spans="7:20" ht="13">
      <c r="G942" s="133"/>
      <c r="H942" s="133"/>
      <c r="L942" s="133"/>
      <c r="P942" s="133"/>
      <c r="T942" s="133"/>
    </row>
    <row r="943" spans="7:20" ht="13">
      <c r="G943" s="133"/>
      <c r="H943" s="133"/>
      <c r="L943" s="133"/>
      <c r="P943" s="133"/>
      <c r="T943" s="133"/>
    </row>
    <row r="944" spans="7:20" ht="13">
      <c r="G944" s="133"/>
      <c r="H944" s="133"/>
      <c r="L944" s="133"/>
      <c r="P944" s="133"/>
      <c r="T944" s="133"/>
    </row>
    <row r="945" spans="7:20" ht="13">
      <c r="G945" s="133"/>
      <c r="H945" s="133"/>
      <c r="L945" s="133"/>
      <c r="P945" s="133"/>
      <c r="T945" s="133"/>
    </row>
    <row r="946" spans="7:20" ht="13">
      <c r="G946" s="133"/>
      <c r="H946" s="133"/>
      <c r="L946" s="133"/>
      <c r="P946" s="133"/>
      <c r="T946" s="133"/>
    </row>
    <row r="947" spans="7:20" ht="13">
      <c r="G947" s="133"/>
      <c r="H947" s="133"/>
      <c r="L947" s="133"/>
      <c r="P947" s="133"/>
      <c r="T947" s="133"/>
    </row>
    <row r="948" spans="7:20" ht="13">
      <c r="G948" s="133"/>
      <c r="H948" s="133"/>
      <c r="L948" s="133"/>
      <c r="P948" s="133"/>
      <c r="T948" s="133"/>
    </row>
    <row r="949" spans="7:20" ht="13">
      <c r="G949" s="133"/>
      <c r="H949" s="133"/>
      <c r="L949" s="133"/>
      <c r="P949" s="133"/>
      <c r="T949" s="133"/>
    </row>
    <row r="950" spans="7:20" ht="13">
      <c r="G950" s="133"/>
      <c r="H950" s="133"/>
      <c r="L950" s="133"/>
      <c r="P950" s="133"/>
      <c r="T950" s="133"/>
    </row>
    <row r="951" spans="7:20" ht="13">
      <c r="G951" s="133"/>
      <c r="H951" s="133"/>
      <c r="L951" s="133"/>
      <c r="P951" s="133"/>
      <c r="T951" s="133"/>
    </row>
    <row r="952" spans="7:20" ht="13">
      <c r="G952" s="133"/>
      <c r="H952" s="133"/>
      <c r="L952" s="133"/>
      <c r="P952" s="133"/>
      <c r="T952" s="133"/>
    </row>
    <row r="953" spans="7:20" ht="13">
      <c r="G953" s="133"/>
      <c r="H953" s="133"/>
      <c r="L953" s="133"/>
      <c r="P953" s="133"/>
      <c r="T953" s="133"/>
    </row>
    <row r="954" spans="7:20" ht="13">
      <c r="G954" s="133"/>
      <c r="H954" s="133"/>
      <c r="L954" s="133"/>
      <c r="P954" s="133"/>
      <c r="T954" s="133"/>
    </row>
    <row r="955" spans="7:20" ht="13">
      <c r="G955" s="133"/>
      <c r="H955" s="133"/>
      <c r="L955" s="133"/>
      <c r="P955" s="133"/>
      <c r="T955" s="133"/>
    </row>
    <row r="956" spans="7:20" ht="13">
      <c r="G956" s="133"/>
      <c r="H956" s="133"/>
      <c r="L956" s="133"/>
      <c r="P956" s="133"/>
      <c r="T956" s="133"/>
    </row>
    <row r="957" spans="7:20" ht="13">
      <c r="G957" s="133"/>
      <c r="H957" s="133"/>
      <c r="L957" s="133"/>
      <c r="P957" s="133"/>
      <c r="T957" s="133"/>
    </row>
    <row r="958" spans="7:20" ht="13">
      <c r="G958" s="133"/>
      <c r="H958" s="133"/>
      <c r="L958" s="133"/>
      <c r="P958" s="133"/>
      <c r="T958" s="133"/>
    </row>
    <row r="959" spans="7:20" ht="13">
      <c r="G959" s="133"/>
      <c r="H959" s="133"/>
      <c r="L959" s="133"/>
      <c r="P959" s="133"/>
      <c r="T959" s="133"/>
    </row>
    <row r="960" spans="7:20" ht="13">
      <c r="G960" s="133"/>
      <c r="H960" s="133"/>
      <c r="L960" s="133"/>
      <c r="P960" s="133"/>
      <c r="T960" s="133"/>
    </row>
    <row r="961" spans="7:20" ht="13">
      <c r="G961" s="133"/>
      <c r="H961" s="133"/>
      <c r="L961" s="133"/>
      <c r="P961" s="133"/>
      <c r="T961" s="133"/>
    </row>
    <row r="962" spans="7:20" ht="13">
      <c r="G962" s="133"/>
      <c r="H962" s="133"/>
      <c r="L962" s="133"/>
      <c r="P962" s="133"/>
      <c r="T962" s="133"/>
    </row>
    <row r="963" spans="7:20" ht="13">
      <c r="G963" s="133"/>
      <c r="H963" s="133"/>
      <c r="L963" s="133"/>
      <c r="P963" s="133"/>
      <c r="T963" s="133"/>
    </row>
    <row r="964" spans="7:20" ht="13">
      <c r="G964" s="133"/>
      <c r="H964" s="133"/>
      <c r="L964" s="133"/>
      <c r="P964" s="133"/>
      <c r="T964" s="133"/>
    </row>
    <row r="965" spans="7:20" ht="13">
      <c r="G965" s="133"/>
      <c r="H965" s="133"/>
      <c r="L965" s="133"/>
      <c r="P965" s="133"/>
      <c r="T965" s="133"/>
    </row>
    <row r="966" spans="7:20" ht="13">
      <c r="G966" s="133"/>
      <c r="H966" s="133"/>
      <c r="L966" s="133"/>
      <c r="P966" s="133"/>
      <c r="T966" s="133"/>
    </row>
    <row r="967" spans="7:20" ht="13">
      <c r="G967" s="133"/>
      <c r="H967" s="133"/>
      <c r="L967" s="133"/>
      <c r="P967" s="133"/>
      <c r="T967" s="133"/>
    </row>
    <row r="968" spans="7:20" ht="13">
      <c r="G968" s="133"/>
      <c r="H968" s="133"/>
      <c r="L968" s="133"/>
      <c r="P968" s="133"/>
      <c r="T968" s="133"/>
    </row>
    <row r="969" spans="7:20" ht="13">
      <c r="G969" s="133"/>
      <c r="H969" s="133"/>
      <c r="L969" s="133"/>
      <c r="P969" s="133"/>
      <c r="T969" s="133"/>
    </row>
    <row r="970" spans="7:20" ht="13">
      <c r="G970" s="133"/>
      <c r="H970" s="133"/>
      <c r="L970" s="133"/>
      <c r="P970" s="133"/>
      <c r="T970" s="133"/>
    </row>
    <row r="971" spans="7:20" ht="13">
      <c r="G971" s="133"/>
      <c r="H971" s="133"/>
      <c r="L971" s="133"/>
      <c r="P971" s="133"/>
      <c r="T971" s="133"/>
    </row>
    <row r="972" spans="7:20" ht="13">
      <c r="G972" s="133"/>
      <c r="H972" s="133"/>
      <c r="L972" s="133"/>
      <c r="P972" s="133"/>
      <c r="T972" s="133"/>
    </row>
    <row r="973" spans="7:20" ht="13">
      <c r="G973" s="133"/>
      <c r="H973" s="133"/>
      <c r="L973" s="133"/>
      <c r="P973" s="133"/>
      <c r="T973" s="133"/>
    </row>
    <row r="974" spans="7:20" ht="13">
      <c r="G974" s="133"/>
      <c r="H974" s="133"/>
      <c r="L974" s="133"/>
      <c r="P974" s="133"/>
      <c r="T974" s="133"/>
    </row>
    <row r="975" spans="7:20" ht="13">
      <c r="G975" s="133"/>
      <c r="H975" s="133"/>
      <c r="L975" s="133"/>
      <c r="P975" s="133"/>
      <c r="T975" s="133"/>
    </row>
    <row r="976" spans="7:20" ht="13">
      <c r="G976" s="133"/>
      <c r="H976" s="133"/>
      <c r="L976" s="133"/>
      <c r="P976" s="133"/>
      <c r="T976" s="133"/>
    </row>
    <row r="977" spans="7:20" ht="13">
      <c r="G977" s="133"/>
      <c r="H977" s="133"/>
      <c r="L977" s="133"/>
      <c r="P977" s="133"/>
      <c r="T977" s="133"/>
    </row>
    <row r="978" spans="7:20" ht="13">
      <c r="G978" s="133"/>
      <c r="H978" s="133"/>
      <c r="L978" s="133"/>
      <c r="P978" s="133"/>
      <c r="T978" s="133"/>
    </row>
    <row r="979" spans="7:20" ht="13">
      <c r="G979" s="133"/>
      <c r="H979" s="133"/>
      <c r="L979" s="133"/>
      <c r="P979" s="133"/>
      <c r="T979" s="133"/>
    </row>
    <row r="980" spans="7:20" ht="13">
      <c r="G980" s="133"/>
      <c r="H980" s="133"/>
      <c r="L980" s="133"/>
      <c r="P980" s="133"/>
      <c r="T980" s="133"/>
    </row>
    <row r="981" spans="7:20" ht="13">
      <c r="G981" s="133"/>
      <c r="H981" s="133"/>
      <c r="L981" s="133"/>
      <c r="P981" s="133"/>
      <c r="T981" s="133"/>
    </row>
    <row r="982" spans="7:20" ht="13">
      <c r="G982" s="133"/>
      <c r="H982" s="133"/>
      <c r="L982" s="133"/>
      <c r="P982" s="133"/>
      <c r="T982" s="133"/>
    </row>
    <row r="983" spans="7:20" ht="13">
      <c r="G983" s="133"/>
      <c r="H983" s="133"/>
      <c r="L983" s="133"/>
      <c r="P983" s="133"/>
      <c r="T983" s="133"/>
    </row>
    <row r="984" spans="7:20" ht="13">
      <c r="G984" s="133"/>
      <c r="H984" s="133"/>
      <c r="L984" s="133"/>
      <c r="P984" s="133"/>
      <c r="T984" s="133"/>
    </row>
    <row r="985" spans="7:20" ht="13">
      <c r="G985" s="133"/>
      <c r="H985" s="133"/>
      <c r="L985" s="133"/>
      <c r="P985" s="133"/>
      <c r="T985" s="133"/>
    </row>
    <row r="986" spans="7:20" ht="13">
      <c r="G986" s="133"/>
      <c r="H986" s="133"/>
      <c r="L986" s="133"/>
      <c r="P986" s="133"/>
      <c r="T986" s="133"/>
    </row>
    <row r="987" spans="7:20" ht="13">
      <c r="G987" s="133"/>
      <c r="H987" s="133"/>
      <c r="L987" s="133"/>
      <c r="P987" s="133"/>
      <c r="T987" s="133"/>
    </row>
    <row r="988" spans="7:20" ht="13">
      <c r="G988" s="133"/>
      <c r="H988" s="133"/>
      <c r="L988" s="133"/>
      <c r="P988" s="133"/>
      <c r="T988" s="133"/>
    </row>
    <row r="989" spans="7:20" ht="13">
      <c r="G989" s="133"/>
      <c r="H989" s="133"/>
      <c r="L989" s="133"/>
      <c r="P989" s="133"/>
      <c r="T989" s="133"/>
    </row>
    <row r="990" spans="7:20" ht="13">
      <c r="G990" s="133"/>
      <c r="H990" s="133"/>
      <c r="L990" s="133"/>
      <c r="P990" s="133"/>
      <c r="T990" s="133"/>
    </row>
    <row r="991" spans="7:20" ht="13">
      <c r="G991" s="133"/>
      <c r="H991" s="133"/>
      <c r="L991" s="133"/>
      <c r="P991" s="133"/>
      <c r="T991" s="133"/>
    </row>
    <row r="992" spans="7:20" ht="13">
      <c r="G992" s="133"/>
      <c r="H992" s="133"/>
      <c r="L992" s="133"/>
      <c r="P992" s="133"/>
      <c r="T992" s="133"/>
    </row>
    <row r="993" spans="7:20" ht="13">
      <c r="G993" s="133"/>
      <c r="H993" s="133"/>
      <c r="L993" s="133"/>
      <c r="P993" s="133"/>
      <c r="T993" s="133"/>
    </row>
    <row r="994" spans="7:20" ht="13">
      <c r="G994" s="133"/>
      <c r="H994" s="133"/>
      <c r="L994" s="133"/>
      <c r="P994" s="133"/>
      <c r="T994" s="133"/>
    </row>
    <row r="995" spans="7:20" ht="13">
      <c r="G995" s="133"/>
      <c r="H995" s="133"/>
      <c r="L995" s="133"/>
      <c r="P995" s="133"/>
      <c r="T995" s="133"/>
    </row>
    <row r="996" spans="7:20" ht="13">
      <c r="G996" s="133"/>
      <c r="H996" s="133"/>
      <c r="L996" s="133"/>
      <c r="P996" s="133"/>
      <c r="T996" s="133"/>
    </row>
    <row r="997" spans="7:20" ht="13">
      <c r="G997" s="133"/>
      <c r="H997" s="133"/>
      <c r="L997" s="133"/>
      <c r="P997" s="133"/>
      <c r="T997" s="133"/>
    </row>
    <row r="998" spans="7:20" ht="13">
      <c r="G998" s="133"/>
      <c r="H998" s="133"/>
      <c r="L998" s="133"/>
      <c r="P998" s="133"/>
      <c r="T998" s="133"/>
    </row>
    <row r="999" spans="7:20" ht="13">
      <c r="G999" s="133"/>
      <c r="H999" s="133"/>
      <c r="L999" s="133"/>
      <c r="P999" s="133"/>
      <c r="T999" s="133"/>
    </row>
    <row r="1000" spans="7:20" ht="13">
      <c r="G1000" s="133"/>
      <c r="H1000" s="133"/>
      <c r="L1000" s="133"/>
      <c r="P1000" s="133"/>
      <c r="T1000" s="133"/>
    </row>
    <row r="1001" spans="7:20" ht="13">
      <c r="G1001" s="133"/>
      <c r="H1001" s="133"/>
      <c r="L1001" s="133"/>
      <c r="P1001" s="133"/>
      <c r="T1001" s="1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1001"/>
  <sheetViews>
    <sheetView workbookViewId="0">
      <selection activeCell="H15" sqref="H15"/>
    </sheetView>
  </sheetViews>
  <sheetFormatPr baseColWidth="10" defaultColWidth="14.5" defaultRowHeight="15.75" customHeight="1"/>
  <cols>
    <col min="28" max="33" width="14.5" style="319"/>
  </cols>
  <sheetData>
    <row r="1" spans="1:27" ht="15.75" customHeight="1">
      <c r="A1" s="215" t="s">
        <v>549</v>
      </c>
      <c r="B1" s="216"/>
      <c r="C1" s="216"/>
      <c r="D1" s="216"/>
      <c r="E1" s="216"/>
      <c r="F1" s="216"/>
      <c r="G1" s="216"/>
      <c r="H1" s="318" t="s">
        <v>526</v>
      </c>
      <c r="I1" s="2"/>
      <c r="J1" s="2"/>
      <c r="K1" s="318" t="s">
        <v>767</v>
      </c>
      <c r="L1" s="2"/>
      <c r="M1" s="2"/>
      <c r="N1" s="405" t="s">
        <v>557</v>
      </c>
      <c r="O1" s="216"/>
      <c r="R1" s="319"/>
      <c r="S1" s="319"/>
      <c r="T1" s="319"/>
      <c r="U1" s="319"/>
      <c r="V1" s="319"/>
      <c r="W1" s="319"/>
      <c r="X1" s="319"/>
      <c r="Y1" s="319"/>
      <c r="Z1" s="319"/>
      <c r="AA1" s="319"/>
    </row>
    <row r="2" spans="1:27" ht="15.75" customHeight="1">
      <c r="A2" s="195" t="s">
        <v>430</v>
      </c>
      <c r="B2" s="195" t="s">
        <v>2</v>
      </c>
      <c r="C2" s="195"/>
      <c r="D2" s="195" t="s">
        <v>431</v>
      </c>
      <c r="E2" s="195" t="s">
        <v>572</v>
      </c>
      <c r="F2" s="195" t="s">
        <v>556</v>
      </c>
      <c r="G2" s="195" t="s">
        <v>526</v>
      </c>
      <c r="H2" s="375" t="s">
        <v>757</v>
      </c>
      <c r="I2" s="375" t="s">
        <v>758</v>
      </c>
      <c r="J2" s="375" t="s">
        <v>759</v>
      </c>
      <c r="K2" s="375" t="s">
        <v>760</v>
      </c>
      <c r="L2" s="2" t="s">
        <v>573</v>
      </c>
      <c r="M2" s="318" t="s">
        <v>761</v>
      </c>
      <c r="N2" s="195" t="s">
        <v>557</v>
      </c>
      <c r="O2" s="258" t="s">
        <v>574</v>
      </c>
      <c r="P2" s="195" t="s">
        <v>558</v>
      </c>
      <c r="R2" s="319"/>
      <c r="S2" s="319"/>
      <c r="T2" s="319"/>
      <c r="U2" s="319"/>
      <c r="V2" s="319"/>
      <c r="W2" s="319"/>
      <c r="X2" s="319"/>
      <c r="Y2" s="319"/>
      <c r="Z2" s="319"/>
      <c r="AA2" s="319"/>
    </row>
    <row r="3" spans="1:27" ht="15">
      <c r="A3" s="169" t="s">
        <v>435</v>
      </c>
      <c r="B3" s="169" t="s">
        <v>67</v>
      </c>
      <c r="C3" s="193"/>
      <c r="D3" s="259">
        <v>6</v>
      </c>
      <c r="E3" s="259">
        <v>72</v>
      </c>
      <c r="F3" s="259">
        <v>102</v>
      </c>
      <c r="G3" s="55">
        <v>18</v>
      </c>
      <c r="H3" s="260">
        <v>20.236350000000002</v>
      </c>
      <c r="I3">
        <f t="shared" ref="I3:I40" si="0">(G3-G$41)/G$43</f>
        <v>-0.68723034058414223</v>
      </c>
      <c r="J3">
        <f t="shared" ref="J3:J40" si="1">(G3-H$41)/H$43</f>
        <v>-1.7897730796754998</v>
      </c>
      <c r="K3" s="261">
        <v>114.71429999999999</v>
      </c>
      <c r="L3">
        <f t="shared" ref="L3:L40" si="2">(F3-F$41)/F$43</f>
        <v>-1.4485672781574135</v>
      </c>
      <c r="M3">
        <f t="shared" ref="M3:M40" si="3">(F3-K$41)/K$43</f>
        <v>-3.0314462841021008</v>
      </c>
      <c r="N3" s="263">
        <v>49.2</v>
      </c>
      <c r="O3" s="2">
        <v>51.8</v>
      </c>
      <c r="P3" s="193">
        <v>18</v>
      </c>
      <c r="Q3" s="149"/>
      <c r="R3" s="319"/>
      <c r="S3" s="319"/>
      <c r="T3" s="319"/>
      <c r="U3" s="319"/>
      <c r="V3" s="319"/>
      <c r="W3" s="319"/>
      <c r="X3" s="319"/>
      <c r="Y3" s="319"/>
      <c r="Z3" s="319"/>
      <c r="AA3" s="319"/>
    </row>
    <row r="4" spans="1:27" ht="15">
      <c r="A4" s="169" t="s">
        <v>408</v>
      </c>
      <c r="B4" s="169" t="s">
        <v>409</v>
      </c>
      <c r="C4" s="193"/>
      <c r="D4" s="193">
        <v>7</v>
      </c>
      <c r="E4" s="259">
        <v>94</v>
      </c>
      <c r="F4" s="259">
        <v>117</v>
      </c>
      <c r="G4" s="172">
        <v>18</v>
      </c>
      <c r="H4" s="261">
        <v>25.117920000000002</v>
      </c>
      <c r="I4">
        <f t="shared" si="0"/>
        <v>-0.68723034058414223</v>
      </c>
      <c r="J4">
        <f t="shared" si="1"/>
        <v>-1.7897730796754998</v>
      </c>
      <c r="K4" s="261">
        <v>126.63039999999999</v>
      </c>
      <c r="L4">
        <f t="shared" si="2"/>
        <v>-0.15032301943143023</v>
      </c>
      <c r="M4">
        <f t="shared" si="3"/>
        <v>-1.4062948534847166</v>
      </c>
      <c r="N4" s="265">
        <v>50.5</v>
      </c>
      <c r="O4" s="2">
        <v>51.6</v>
      </c>
      <c r="P4" s="135">
        <v>15.6</v>
      </c>
      <c r="Q4" s="149"/>
      <c r="R4" s="319"/>
      <c r="S4" s="319"/>
      <c r="T4" s="319"/>
      <c r="U4" s="319"/>
      <c r="V4" s="319"/>
      <c r="W4" s="319"/>
      <c r="X4" s="319"/>
      <c r="Y4" s="319"/>
      <c r="Z4" s="319"/>
      <c r="AA4" s="319"/>
    </row>
    <row r="5" spans="1:27" ht="15">
      <c r="A5" s="55" t="s">
        <v>436</v>
      </c>
      <c r="B5" s="55" t="s">
        <v>15</v>
      </c>
      <c r="C5" s="100"/>
      <c r="D5" s="100">
        <v>6</v>
      </c>
      <c r="E5" s="170">
        <v>74</v>
      </c>
      <c r="F5" s="170">
        <v>106</v>
      </c>
      <c r="G5" s="172">
        <v>16.3</v>
      </c>
      <c r="H5" s="261">
        <v>21.070029999999999</v>
      </c>
      <c r="I5">
        <f t="shared" si="0"/>
        <v>-0.91373585079707831</v>
      </c>
      <c r="J5">
        <f t="shared" si="1"/>
        <v>-2.1073460593813591</v>
      </c>
      <c r="K5" s="261">
        <v>121.76909999999999</v>
      </c>
      <c r="L5">
        <f t="shared" si="2"/>
        <v>-1.102368809163818</v>
      </c>
      <c r="M5">
        <f t="shared" si="3"/>
        <v>-2.5980725692707987</v>
      </c>
      <c r="N5" s="267">
        <v>51.3</v>
      </c>
      <c r="O5" s="2">
        <v>51.1</v>
      </c>
      <c r="P5" s="183">
        <v>16.100000000000001</v>
      </c>
      <c r="Q5" s="149"/>
      <c r="R5" s="319"/>
      <c r="S5" s="319"/>
      <c r="T5" s="319"/>
      <c r="U5" s="319"/>
      <c r="V5" s="319"/>
      <c r="W5" s="319"/>
      <c r="X5" s="319"/>
      <c r="Y5" s="319"/>
      <c r="Z5" s="319"/>
      <c r="AA5" s="319"/>
    </row>
    <row r="6" spans="1:27" ht="15">
      <c r="A6" s="169" t="s">
        <v>439</v>
      </c>
      <c r="B6" s="169" t="s">
        <v>207</v>
      </c>
      <c r="C6" s="269"/>
      <c r="D6" s="269">
        <v>8</v>
      </c>
      <c r="E6" s="272">
        <v>91</v>
      </c>
      <c r="F6" s="272">
        <v>122</v>
      </c>
      <c r="G6" s="172">
        <v>20</v>
      </c>
      <c r="H6" s="261">
        <v>24.37838</v>
      </c>
      <c r="I6">
        <f t="shared" si="0"/>
        <v>-0.42075326974539384</v>
      </c>
      <c r="J6">
        <f t="shared" si="1"/>
        <v>-1.4161578094333125</v>
      </c>
      <c r="K6" s="261">
        <v>125.1478</v>
      </c>
      <c r="L6">
        <f t="shared" si="2"/>
        <v>0.28242506681056417</v>
      </c>
      <c r="M6">
        <f t="shared" si="3"/>
        <v>-0.86457770994558858</v>
      </c>
      <c r="R6" s="319"/>
      <c r="S6" s="319"/>
      <c r="T6" s="319"/>
      <c r="U6" s="319"/>
      <c r="V6" s="319"/>
      <c r="W6" s="319"/>
      <c r="X6" s="319"/>
      <c r="Y6" s="319"/>
      <c r="Z6" s="319"/>
      <c r="AA6" s="319"/>
    </row>
    <row r="7" spans="1:27" ht="15">
      <c r="A7" s="169" t="s">
        <v>440</v>
      </c>
      <c r="B7" s="169" t="s">
        <v>257</v>
      </c>
      <c r="C7" s="193"/>
      <c r="D7" s="193">
        <v>6</v>
      </c>
      <c r="E7" s="272">
        <v>73</v>
      </c>
      <c r="F7" s="272">
        <v>103</v>
      </c>
      <c r="G7" s="55">
        <v>19</v>
      </c>
      <c r="H7" s="261">
        <v>20.436730000000001</v>
      </c>
      <c r="I7">
        <f t="shared" si="0"/>
        <v>-0.55399180516476809</v>
      </c>
      <c r="J7">
        <f t="shared" si="1"/>
        <v>-1.6029654445544061</v>
      </c>
      <c r="K7" s="261">
        <v>115.2962</v>
      </c>
      <c r="L7">
        <f t="shared" si="2"/>
        <v>-1.3620176609090147</v>
      </c>
      <c r="M7">
        <f t="shared" si="3"/>
        <v>-2.9231028553942755</v>
      </c>
      <c r="N7" s="273">
        <v>51.4</v>
      </c>
      <c r="O7" s="2">
        <v>51.8</v>
      </c>
      <c r="P7" s="274">
        <v>16.5</v>
      </c>
      <c r="Q7" s="149"/>
      <c r="R7" s="319"/>
      <c r="S7" s="319"/>
      <c r="T7" s="319"/>
      <c r="U7" s="319"/>
      <c r="V7" s="319"/>
      <c r="W7" s="319"/>
      <c r="X7" s="319"/>
      <c r="Y7" s="319"/>
      <c r="Z7" s="319"/>
      <c r="AA7" s="319"/>
    </row>
    <row r="8" spans="1:27" ht="15">
      <c r="A8" s="169" t="s">
        <v>441</v>
      </c>
      <c r="B8" s="169" t="s">
        <v>36</v>
      </c>
      <c r="C8" s="193"/>
      <c r="D8" s="193">
        <v>9</v>
      </c>
      <c r="E8" s="259">
        <v>112</v>
      </c>
      <c r="F8" s="259">
        <v>128</v>
      </c>
      <c r="G8" s="172">
        <v>23.1</v>
      </c>
      <c r="H8" s="261">
        <v>30.233540000000001</v>
      </c>
      <c r="I8">
        <f t="shared" si="0"/>
        <v>-7.713809945333547E-3</v>
      </c>
      <c r="J8">
        <f t="shared" si="1"/>
        <v>-0.83705414055792149</v>
      </c>
      <c r="K8" s="261">
        <v>134.59139999999999</v>
      </c>
      <c r="L8">
        <f t="shared" si="2"/>
        <v>0.80172277030095751</v>
      </c>
      <c r="M8">
        <f t="shared" si="3"/>
        <v>-0.2145171376986349</v>
      </c>
      <c r="N8" s="275"/>
      <c r="O8" s="2">
        <v>51.1</v>
      </c>
      <c r="P8" s="276"/>
      <c r="Q8" s="149"/>
      <c r="R8" s="319"/>
      <c r="S8" s="319"/>
      <c r="T8" s="319"/>
      <c r="U8" s="319"/>
      <c r="V8" s="319"/>
      <c r="W8" s="319"/>
      <c r="X8" s="319"/>
      <c r="Y8" s="319"/>
      <c r="Z8" s="319"/>
      <c r="AA8" s="319"/>
    </row>
    <row r="9" spans="1:27" ht="15">
      <c r="A9" s="55" t="s">
        <v>442</v>
      </c>
      <c r="B9" s="55" t="s">
        <v>443</v>
      </c>
      <c r="C9" s="183"/>
      <c r="D9" s="183">
        <v>8</v>
      </c>
      <c r="E9" s="184">
        <v>102</v>
      </c>
      <c r="F9" s="184">
        <v>118</v>
      </c>
      <c r="G9" s="172">
        <v>23</v>
      </c>
      <c r="H9" s="261">
        <v>27.04346</v>
      </c>
      <c r="I9">
        <f t="shared" si="0"/>
        <v>-2.1037663487271159E-2</v>
      </c>
      <c r="J9">
        <f t="shared" si="1"/>
        <v>-0.85573490407003117</v>
      </c>
      <c r="K9" s="261">
        <v>130.76390000000001</v>
      </c>
      <c r="L9">
        <f t="shared" si="2"/>
        <v>-6.3773402183031333E-2</v>
      </c>
      <c r="M9">
        <f t="shared" si="3"/>
        <v>-1.2979514247768911</v>
      </c>
      <c r="N9" s="278">
        <v>51.4</v>
      </c>
      <c r="O9" s="2">
        <v>52.1</v>
      </c>
      <c r="P9" s="259">
        <v>17.399999999999999</v>
      </c>
      <c r="Q9" s="149"/>
      <c r="R9" s="319"/>
      <c r="S9" s="319"/>
      <c r="T9" s="319"/>
      <c r="U9" s="319"/>
      <c r="V9" s="319"/>
      <c r="W9" s="319"/>
      <c r="X9" s="319"/>
      <c r="Y9" s="319"/>
      <c r="Z9" s="319"/>
      <c r="AA9" s="319"/>
    </row>
    <row r="10" spans="1:27" ht="15">
      <c r="A10" s="169" t="s">
        <v>444</v>
      </c>
      <c r="B10" s="169" t="s">
        <v>59</v>
      </c>
      <c r="C10" s="193"/>
      <c r="D10" s="193">
        <v>8</v>
      </c>
      <c r="E10" s="259">
        <v>108</v>
      </c>
      <c r="F10" s="259">
        <v>131</v>
      </c>
      <c r="G10" s="145">
        <v>29.4</v>
      </c>
      <c r="H10" s="261">
        <v>28.9909</v>
      </c>
      <c r="I10">
        <f t="shared" si="0"/>
        <v>0.8316889631967237</v>
      </c>
      <c r="J10">
        <f t="shared" si="1"/>
        <v>0.33983396070496863</v>
      </c>
      <c r="K10" s="261">
        <v>132.92019999999999</v>
      </c>
      <c r="L10">
        <f t="shared" si="2"/>
        <v>1.0613716220461542</v>
      </c>
      <c r="M10">
        <f t="shared" si="3"/>
        <v>0.11051314842484196</v>
      </c>
      <c r="N10" s="280">
        <v>49.5</v>
      </c>
      <c r="O10" s="2">
        <v>52.6</v>
      </c>
      <c r="P10" s="184">
        <v>17.2</v>
      </c>
      <c r="Q10" s="14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</row>
    <row r="11" spans="1:27" ht="15">
      <c r="A11" s="55" t="s">
        <v>445</v>
      </c>
      <c r="B11" s="55" t="s">
        <v>234</v>
      </c>
      <c r="C11" s="100"/>
      <c r="D11" s="100">
        <v>9</v>
      </c>
      <c r="E11" s="170">
        <v>108</v>
      </c>
      <c r="F11" s="170">
        <v>125</v>
      </c>
      <c r="G11" s="145">
        <v>27.3</v>
      </c>
      <c r="H11" s="261">
        <v>28.550560000000001</v>
      </c>
      <c r="I11">
        <f t="shared" si="0"/>
        <v>0.5518880388160381</v>
      </c>
      <c r="J11">
        <f t="shared" si="1"/>
        <v>-5.2462073049327866E-2</v>
      </c>
      <c r="K11" s="261">
        <v>133.51179999999999</v>
      </c>
      <c r="L11">
        <f t="shared" si="2"/>
        <v>0.54207391855576081</v>
      </c>
      <c r="M11">
        <f t="shared" si="3"/>
        <v>-0.53954742382211174</v>
      </c>
      <c r="N11" s="263">
        <v>50</v>
      </c>
      <c r="O11" s="2">
        <v>51.8</v>
      </c>
      <c r="P11" s="193">
        <v>18</v>
      </c>
      <c r="Q11" s="14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</row>
    <row r="12" spans="1:27" ht="15">
      <c r="A12" s="55" t="s">
        <v>446</v>
      </c>
      <c r="B12" s="55" t="s">
        <v>248</v>
      </c>
      <c r="C12" s="100"/>
      <c r="D12" s="170">
        <v>7</v>
      </c>
      <c r="E12" s="170">
        <v>92</v>
      </c>
      <c r="F12" s="170">
        <v>121</v>
      </c>
      <c r="G12" s="145">
        <v>26.5</v>
      </c>
      <c r="H12" s="261">
        <v>24.75095</v>
      </c>
      <c r="I12">
        <f t="shared" si="0"/>
        <v>0.44529721048053861</v>
      </c>
      <c r="J12">
        <f t="shared" si="1"/>
        <v>-0.20190818114620299</v>
      </c>
      <c r="K12" s="261">
        <v>125.8856</v>
      </c>
      <c r="L12">
        <f t="shared" si="2"/>
        <v>0.19587544956216529</v>
      </c>
      <c r="M12">
        <f t="shared" si="3"/>
        <v>-0.97292113865341423</v>
      </c>
      <c r="N12" s="282">
        <v>53.8</v>
      </c>
      <c r="O12" s="2">
        <v>53.1</v>
      </c>
      <c r="P12" s="191">
        <v>43268</v>
      </c>
      <c r="Q12" s="14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</row>
    <row r="13" spans="1:27" ht="15">
      <c r="A13" s="145" t="s">
        <v>447</v>
      </c>
      <c r="B13" s="55" t="s">
        <v>148</v>
      </c>
      <c r="C13" s="100"/>
      <c r="D13" s="100">
        <v>7</v>
      </c>
      <c r="E13" s="170">
        <v>91</v>
      </c>
      <c r="F13" s="283">
        <v>111</v>
      </c>
      <c r="G13" s="145">
        <v>21.4</v>
      </c>
      <c r="H13" s="261">
        <v>24.53416</v>
      </c>
      <c r="I13">
        <f t="shared" si="0"/>
        <v>-0.2342193201582701</v>
      </c>
      <c r="J13">
        <f t="shared" si="1"/>
        <v>-1.1546271202637814</v>
      </c>
      <c r="K13" s="261">
        <v>125.37990000000001</v>
      </c>
      <c r="L13">
        <f t="shared" si="2"/>
        <v>-0.66962072292182351</v>
      </c>
      <c r="M13">
        <f t="shared" si="3"/>
        <v>-2.0563554257316703</v>
      </c>
      <c r="N13" s="282">
        <v>53</v>
      </c>
      <c r="O13" s="2">
        <v>52.3</v>
      </c>
      <c r="P13" s="191">
        <v>43361</v>
      </c>
      <c r="Q13" s="14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</row>
    <row r="14" spans="1:27" ht="15">
      <c r="A14" s="169" t="s">
        <v>448</v>
      </c>
      <c r="B14" s="169" t="s">
        <v>46</v>
      </c>
      <c r="C14" s="193"/>
      <c r="D14" s="193">
        <v>10</v>
      </c>
      <c r="E14" s="259">
        <v>124</v>
      </c>
      <c r="F14" s="259">
        <v>124</v>
      </c>
      <c r="G14" s="55">
        <v>25.2</v>
      </c>
      <c r="H14" s="261">
        <v>34.294370000000001</v>
      </c>
      <c r="I14">
        <f t="shared" si="0"/>
        <v>0.27208711443535205</v>
      </c>
      <c r="J14">
        <f t="shared" si="1"/>
        <v>-0.44475810680362499</v>
      </c>
      <c r="K14" s="261">
        <v>139.8193</v>
      </c>
      <c r="L14">
        <f t="shared" si="2"/>
        <v>0.45552430130736193</v>
      </c>
      <c r="M14">
        <f t="shared" si="3"/>
        <v>-0.64789085252993739</v>
      </c>
      <c r="N14" s="282">
        <v>49.6</v>
      </c>
      <c r="O14" s="2">
        <v>52.3</v>
      </c>
      <c r="P14" s="100">
        <v>17</v>
      </c>
      <c r="Q14" s="14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</row>
    <row r="15" spans="1:27" ht="15">
      <c r="A15" s="169" t="s">
        <v>449</v>
      </c>
      <c r="B15" s="169" t="s">
        <v>26</v>
      </c>
      <c r="C15" s="193"/>
      <c r="D15" s="193">
        <v>6</v>
      </c>
      <c r="E15" s="269">
        <v>76</v>
      </c>
      <c r="F15" s="259">
        <v>116</v>
      </c>
      <c r="G15" s="145">
        <v>19.100000000000001</v>
      </c>
      <c r="H15" s="261">
        <v>21.047129999999999</v>
      </c>
      <c r="I15">
        <f t="shared" si="0"/>
        <v>-0.54066795162283043</v>
      </c>
      <c r="J15">
        <f t="shared" si="1"/>
        <v>-1.5842846810422966</v>
      </c>
      <c r="K15" s="261">
        <v>117.0275</v>
      </c>
      <c r="L15">
        <f t="shared" si="2"/>
        <v>-0.23687263667982911</v>
      </c>
      <c r="M15">
        <f t="shared" si="3"/>
        <v>-1.5146382821925424</v>
      </c>
      <c r="N15" s="287"/>
      <c r="O15" s="2">
        <v>52.6</v>
      </c>
      <c r="P15" s="148"/>
      <c r="Q15" s="14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</row>
    <row r="16" spans="1:27" ht="15">
      <c r="A16" s="145" t="s">
        <v>503</v>
      </c>
      <c r="B16" s="145" t="s">
        <v>190</v>
      </c>
      <c r="C16" s="145"/>
      <c r="D16" s="145">
        <v>6</v>
      </c>
      <c r="E16" s="183">
        <v>72</v>
      </c>
      <c r="F16" s="183">
        <v>108</v>
      </c>
      <c r="G16" s="172">
        <v>21.1</v>
      </c>
      <c r="H16" s="261">
        <v>20.68056</v>
      </c>
      <c r="I16">
        <f t="shared" si="0"/>
        <v>-0.27419088078408199</v>
      </c>
      <c r="J16">
        <f t="shared" si="1"/>
        <v>-1.210669410800109</v>
      </c>
      <c r="K16" s="261">
        <v>115.39239999999999</v>
      </c>
      <c r="L16">
        <f t="shared" si="2"/>
        <v>-0.9292695746670202</v>
      </c>
      <c r="M16">
        <f t="shared" si="3"/>
        <v>-2.3813857118551471</v>
      </c>
      <c r="N16" s="288">
        <v>49.5</v>
      </c>
      <c r="O16" s="2">
        <v>51.1</v>
      </c>
      <c r="P16" s="289">
        <v>43327</v>
      </c>
      <c r="Q16" s="14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</row>
    <row r="17" spans="1:27" ht="15">
      <c r="A17" s="169" t="s">
        <v>437</v>
      </c>
      <c r="B17" s="169" t="s">
        <v>438</v>
      </c>
      <c r="C17" s="193"/>
      <c r="D17" s="193">
        <v>10</v>
      </c>
      <c r="E17" s="272">
        <v>123</v>
      </c>
      <c r="F17" s="272">
        <v>148</v>
      </c>
      <c r="G17" s="172">
        <v>53.5</v>
      </c>
      <c r="H17" s="261">
        <v>33.939509999999999</v>
      </c>
      <c r="I17">
        <f t="shared" si="0"/>
        <v>4.0427376668036423</v>
      </c>
      <c r="J17">
        <f t="shared" si="1"/>
        <v>4.8418979671233284</v>
      </c>
      <c r="K17" s="261">
        <v>139.34889999999999</v>
      </c>
      <c r="L17">
        <f t="shared" si="2"/>
        <v>2.5327151152689349</v>
      </c>
      <c r="M17">
        <f t="shared" si="3"/>
        <v>1.9523514364578773</v>
      </c>
      <c r="N17" s="273">
        <v>55.8</v>
      </c>
      <c r="O17" s="2">
        <v>52.6</v>
      </c>
      <c r="P17" s="276"/>
      <c r="Q17" s="14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</row>
    <row r="18" spans="1:27" ht="15">
      <c r="A18" s="169" t="s">
        <v>450</v>
      </c>
      <c r="B18" s="169" t="s">
        <v>375</v>
      </c>
      <c r="C18" s="269"/>
      <c r="D18" s="269">
        <v>8</v>
      </c>
      <c r="E18" s="259">
        <v>101</v>
      </c>
      <c r="F18" s="259">
        <v>126</v>
      </c>
      <c r="G18" s="193">
        <v>23.7</v>
      </c>
      <c r="H18" s="261">
        <v>26.963290000000001</v>
      </c>
      <c r="I18">
        <f t="shared" si="0"/>
        <v>7.2229311306290706E-2</v>
      </c>
      <c r="J18">
        <f t="shared" si="1"/>
        <v>-0.72496955948526565</v>
      </c>
      <c r="K18" s="261">
        <v>129.89179999999999</v>
      </c>
      <c r="L18">
        <f t="shared" si="2"/>
        <v>0.62862353580415975</v>
      </c>
      <c r="M18">
        <f t="shared" si="3"/>
        <v>-0.43120399511428614</v>
      </c>
      <c r="N18" s="193">
        <v>50.33</v>
      </c>
      <c r="O18" s="2">
        <v>51.8</v>
      </c>
      <c r="P18" s="193">
        <v>18.899999999999999</v>
      </c>
      <c r="R18" s="319"/>
      <c r="S18" s="319"/>
      <c r="T18" s="319"/>
      <c r="U18" s="319"/>
      <c r="V18" s="319"/>
      <c r="W18" s="319"/>
      <c r="X18" s="319"/>
      <c r="Y18" s="319"/>
      <c r="Z18" s="319"/>
      <c r="AA18" s="319"/>
    </row>
    <row r="19" spans="1:27" ht="15">
      <c r="A19" s="169" t="s">
        <v>451</v>
      </c>
      <c r="B19" s="169" t="s">
        <v>452</v>
      </c>
      <c r="C19" s="269"/>
      <c r="D19" s="269">
        <v>6</v>
      </c>
      <c r="E19" s="259">
        <v>82</v>
      </c>
      <c r="F19" s="259">
        <v>109</v>
      </c>
      <c r="G19" s="193">
        <v>18.100000000000001</v>
      </c>
      <c r="H19" s="261">
        <v>22.316469999999999</v>
      </c>
      <c r="I19">
        <f t="shared" si="0"/>
        <v>-0.67390648704220468</v>
      </c>
      <c r="J19">
        <f t="shared" si="1"/>
        <v>-1.7710923161633902</v>
      </c>
      <c r="K19" s="261">
        <v>120.4011</v>
      </c>
      <c r="L19">
        <f t="shared" si="2"/>
        <v>-0.84271995741862127</v>
      </c>
      <c r="M19">
        <f t="shared" si="3"/>
        <v>-2.2730422831473214</v>
      </c>
      <c r="N19" s="193">
        <v>49.96</v>
      </c>
      <c r="O19" s="2">
        <v>51.1</v>
      </c>
      <c r="P19" s="193">
        <v>16.260000000000002</v>
      </c>
      <c r="R19" s="319"/>
      <c r="S19" s="319"/>
      <c r="T19" s="319"/>
      <c r="U19" s="319"/>
      <c r="V19" s="319"/>
      <c r="W19" s="319"/>
      <c r="X19" s="319"/>
      <c r="Y19" s="319"/>
      <c r="Z19" s="319"/>
      <c r="AA19" s="319"/>
    </row>
    <row r="20" spans="1:27" ht="15">
      <c r="A20" s="183" t="s">
        <v>137</v>
      </c>
      <c r="B20" s="183" t="s">
        <v>138</v>
      </c>
      <c r="C20" s="183"/>
      <c r="D20" s="183">
        <v>10</v>
      </c>
      <c r="E20" s="170">
        <v>123</v>
      </c>
      <c r="F20" s="170">
        <v>131</v>
      </c>
      <c r="G20" s="100">
        <v>24.6</v>
      </c>
      <c r="H20" s="261">
        <v>32.86795</v>
      </c>
      <c r="I20">
        <f t="shared" si="0"/>
        <v>0.1921439931837278</v>
      </c>
      <c r="J20">
        <f t="shared" si="1"/>
        <v>-0.55684268787628088</v>
      </c>
      <c r="K20" s="261">
        <v>139.34889999999999</v>
      </c>
      <c r="L20">
        <f t="shared" si="2"/>
        <v>1.0613716220461542</v>
      </c>
      <c r="M20">
        <f t="shared" si="3"/>
        <v>0.11051314842484196</v>
      </c>
      <c r="N20" s="100">
        <v>50.16</v>
      </c>
      <c r="O20" s="2">
        <v>53.3</v>
      </c>
      <c r="P20" s="100">
        <v>17.5</v>
      </c>
      <c r="R20" s="319"/>
      <c r="S20" s="319"/>
      <c r="T20" s="319"/>
      <c r="U20" s="319"/>
      <c r="V20" s="319"/>
      <c r="W20" s="319"/>
      <c r="X20" s="319"/>
      <c r="Y20" s="319"/>
      <c r="Z20" s="319"/>
      <c r="AA20" s="319"/>
    </row>
    <row r="21" spans="1:27" ht="15">
      <c r="A21" s="183" t="s">
        <v>454</v>
      </c>
      <c r="B21" s="183" t="s">
        <v>177</v>
      </c>
      <c r="C21" s="194"/>
      <c r="D21" s="183">
        <v>6</v>
      </c>
      <c r="E21" s="170">
        <v>79</v>
      </c>
      <c r="F21" s="170">
        <v>104</v>
      </c>
      <c r="G21" s="100">
        <v>18.100000000000001</v>
      </c>
      <c r="H21" s="261">
        <v>22.05594</v>
      </c>
      <c r="I21">
        <f t="shared" si="0"/>
        <v>-0.67390648704220468</v>
      </c>
      <c r="J21">
        <f t="shared" si="1"/>
        <v>-1.7710923161633902</v>
      </c>
      <c r="K21" s="261">
        <v>118.73139999999999</v>
      </c>
      <c r="L21">
        <f t="shared" si="2"/>
        <v>-1.2754680436606156</v>
      </c>
      <c r="M21">
        <f t="shared" si="3"/>
        <v>-2.8147594266864497</v>
      </c>
      <c r="N21" s="100">
        <v>49.46</v>
      </c>
      <c r="O21" s="2">
        <v>52.1</v>
      </c>
      <c r="P21" s="100">
        <v>17.399999999999999</v>
      </c>
      <c r="R21" s="319"/>
      <c r="S21" s="319"/>
      <c r="T21" s="319"/>
      <c r="U21" s="319"/>
      <c r="V21" s="319"/>
      <c r="W21" s="319"/>
      <c r="X21" s="319"/>
      <c r="Y21" s="319"/>
      <c r="Z21" s="319"/>
      <c r="AA21" s="319"/>
    </row>
    <row r="22" spans="1:27" ht="15">
      <c r="A22" s="169" t="s">
        <v>455</v>
      </c>
      <c r="B22" s="169" t="s">
        <v>348</v>
      </c>
      <c r="C22" s="135"/>
      <c r="D22" s="135">
        <v>10</v>
      </c>
      <c r="E22" s="259">
        <v>130</v>
      </c>
      <c r="F22" s="259">
        <v>117</v>
      </c>
      <c r="G22" s="193">
        <v>24.6</v>
      </c>
      <c r="H22" s="261">
        <v>36.468440000000001</v>
      </c>
      <c r="I22">
        <f t="shared" si="0"/>
        <v>0.1921439931837278</v>
      </c>
      <c r="J22">
        <f t="shared" si="1"/>
        <v>-0.55684268787628088</v>
      </c>
      <c r="K22" s="261">
        <v>143.1404</v>
      </c>
      <c r="L22">
        <f t="shared" si="2"/>
        <v>-0.15032301943143023</v>
      </c>
      <c r="M22">
        <f t="shared" si="3"/>
        <v>-1.4062948534847166</v>
      </c>
      <c r="N22" s="193">
        <v>50.5</v>
      </c>
      <c r="O22" s="2">
        <v>52.6</v>
      </c>
      <c r="P22" s="193">
        <v>18</v>
      </c>
      <c r="R22" s="319"/>
      <c r="S22" s="319"/>
      <c r="T22" s="319"/>
      <c r="U22" s="319"/>
      <c r="V22" s="319"/>
      <c r="W22" s="319"/>
      <c r="X22" s="319"/>
      <c r="Y22" s="319"/>
      <c r="Z22" s="319"/>
      <c r="AA22" s="319"/>
    </row>
    <row r="23" spans="1:27" ht="15">
      <c r="A23" s="169" t="s">
        <v>456</v>
      </c>
      <c r="B23" s="169" t="s">
        <v>362</v>
      </c>
      <c r="C23" s="135"/>
      <c r="D23" s="135">
        <v>9</v>
      </c>
      <c r="E23" s="259">
        <v>118</v>
      </c>
      <c r="F23" s="259">
        <v>123</v>
      </c>
      <c r="G23" s="193">
        <v>22.5</v>
      </c>
      <c r="H23" s="261">
        <v>32.376489999999997</v>
      </c>
      <c r="I23">
        <f t="shared" si="0"/>
        <v>-8.7656931196958263E-2</v>
      </c>
      <c r="J23">
        <f t="shared" si="1"/>
        <v>-0.949138721630578</v>
      </c>
      <c r="K23" s="261">
        <v>137.1174</v>
      </c>
      <c r="L23">
        <f t="shared" si="2"/>
        <v>0.36897468405896305</v>
      </c>
      <c r="M23">
        <f t="shared" si="3"/>
        <v>-0.75623428123776293</v>
      </c>
      <c r="N23" s="193">
        <v>50</v>
      </c>
      <c r="O23" s="2">
        <v>52.1</v>
      </c>
      <c r="P23" s="193">
        <v>16</v>
      </c>
      <c r="R23" s="319"/>
      <c r="S23" s="319"/>
      <c r="T23" s="319"/>
      <c r="U23" s="319"/>
      <c r="V23" s="319"/>
      <c r="W23" s="319"/>
      <c r="X23" s="319"/>
      <c r="Y23" s="319"/>
      <c r="Z23" s="319"/>
      <c r="AA23" s="319"/>
    </row>
    <row r="24" spans="1:27" ht="15">
      <c r="A24" s="169" t="s">
        <v>457</v>
      </c>
      <c r="B24" s="169" t="s">
        <v>458</v>
      </c>
      <c r="C24" s="269"/>
      <c r="D24" s="269">
        <v>6</v>
      </c>
      <c r="E24" s="259">
        <v>81</v>
      </c>
      <c r="F24" s="259">
        <v>90</v>
      </c>
      <c r="G24" s="193">
        <v>14.7</v>
      </c>
      <c r="H24" s="261">
        <v>22.09985</v>
      </c>
      <c r="I24">
        <f t="shared" si="0"/>
        <v>-1.1269175074680773</v>
      </c>
      <c r="J24">
        <f t="shared" si="1"/>
        <v>-2.4062382755751095</v>
      </c>
      <c r="K24" s="261">
        <v>119.84869999999999</v>
      </c>
      <c r="L24">
        <f t="shared" si="2"/>
        <v>-2.4871626851382</v>
      </c>
      <c r="M24">
        <f t="shared" si="3"/>
        <v>-4.3315674285960082</v>
      </c>
      <c r="N24" s="193">
        <v>46.6</v>
      </c>
      <c r="O24" s="2">
        <v>51.1</v>
      </c>
      <c r="P24" s="193">
        <v>13.7</v>
      </c>
      <c r="R24" s="319"/>
      <c r="S24" s="319"/>
      <c r="T24" s="319"/>
      <c r="U24" s="319"/>
      <c r="V24" s="319"/>
      <c r="W24" s="319"/>
      <c r="X24" s="319"/>
      <c r="Y24" s="319"/>
      <c r="Z24" s="319"/>
      <c r="AA24" s="319"/>
    </row>
    <row r="25" spans="1:27" ht="15">
      <c r="A25" s="55" t="s">
        <v>199</v>
      </c>
      <c r="B25" s="55" t="s">
        <v>200</v>
      </c>
      <c r="C25" s="183"/>
      <c r="D25" s="183">
        <v>11</v>
      </c>
      <c r="E25" s="170">
        <v>132</v>
      </c>
      <c r="F25" s="170">
        <v>140</v>
      </c>
      <c r="G25" s="100">
        <v>46.5</v>
      </c>
      <c r="H25" s="261">
        <v>35.894240000000003</v>
      </c>
      <c r="I25">
        <f t="shared" si="0"/>
        <v>3.1100679188680229</v>
      </c>
      <c r="J25">
        <f t="shared" si="1"/>
        <v>3.5342445212756721</v>
      </c>
      <c r="K25" s="261">
        <v>143.52000000000001</v>
      </c>
      <c r="L25">
        <f t="shared" si="2"/>
        <v>1.8403181772817441</v>
      </c>
      <c r="M25">
        <f t="shared" si="3"/>
        <v>1.0856040067952726</v>
      </c>
      <c r="N25" s="100">
        <v>52.5</v>
      </c>
      <c r="O25" s="2">
        <v>53.6</v>
      </c>
      <c r="P25" s="100">
        <v>26.1</v>
      </c>
      <c r="R25" s="319"/>
      <c r="S25" s="319"/>
      <c r="T25" s="319"/>
      <c r="U25" s="319"/>
      <c r="V25" s="319"/>
      <c r="W25" s="319"/>
      <c r="X25" s="319"/>
      <c r="Y25" s="319"/>
      <c r="Z25" s="319"/>
      <c r="AA25" s="319"/>
    </row>
    <row r="26" spans="1:27" ht="15">
      <c r="A26" s="55" t="s">
        <v>523</v>
      </c>
      <c r="B26" s="55" t="s">
        <v>524</v>
      </c>
      <c r="C26" s="183"/>
      <c r="D26" s="183">
        <v>6</v>
      </c>
      <c r="E26" s="170">
        <v>94</v>
      </c>
      <c r="F26" s="170">
        <v>118</v>
      </c>
      <c r="G26" s="100">
        <v>20.7</v>
      </c>
      <c r="H26" s="261">
        <v>25.190629999999999</v>
      </c>
      <c r="I26">
        <f t="shared" si="0"/>
        <v>-0.32748629495183196</v>
      </c>
      <c r="J26">
        <f t="shared" si="1"/>
        <v>-1.2853924648485469</v>
      </c>
      <c r="K26" s="261">
        <v>126.8883</v>
      </c>
      <c r="L26">
        <f t="shared" si="2"/>
        <v>-6.3773402183031333E-2</v>
      </c>
      <c r="M26">
        <f t="shared" si="3"/>
        <v>-1.2979514247768911</v>
      </c>
      <c r="N26" s="55"/>
      <c r="O26" s="2">
        <v>52.1</v>
      </c>
      <c r="P26" s="100">
        <v>18.5</v>
      </c>
      <c r="R26" s="319"/>
      <c r="S26" s="319"/>
      <c r="T26" s="319"/>
      <c r="U26" s="319"/>
      <c r="V26" s="319"/>
      <c r="W26" s="319"/>
      <c r="X26" s="319"/>
      <c r="Y26" s="319"/>
      <c r="Z26" s="319"/>
      <c r="AA26" s="319"/>
    </row>
    <row r="27" spans="1:27" ht="15">
      <c r="A27" s="55" t="s">
        <v>459</v>
      </c>
      <c r="B27" s="55" t="s">
        <v>268</v>
      </c>
      <c r="C27" s="145"/>
      <c r="D27" s="145">
        <v>9</v>
      </c>
      <c r="E27" s="170">
        <v>108</v>
      </c>
      <c r="F27" s="170">
        <v>120</v>
      </c>
      <c r="G27" s="100">
        <v>21.5</v>
      </c>
      <c r="H27" s="261">
        <v>28.420639999999999</v>
      </c>
      <c r="I27">
        <f t="shared" si="0"/>
        <v>-0.2208954666163325</v>
      </c>
      <c r="J27">
        <f t="shared" si="1"/>
        <v>-1.1359463567516717</v>
      </c>
      <c r="K27" s="261">
        <v>133.51179999999999</v>
      </c>
      <c r="L27">
        <f t="shared" si="2"/>
        <v>0.10932583231376643</v>
      </c>
      <c r="M27">
        <f t="shared" si="3"/>
        <v>-1.0812645673612398</v>
      </c>
      <c r="N27" s="100">
        <v>50.8</v>
      </c>
      <c r="O27" s="2">
        <v>53.1</v>
      </c>
      <c r="P27" s="100">
        <v>20.3</v>
      </c>
      <c r="R27" s="319"/>
      <c r="S27" s="319"/>
      <c r="T27" s="319"/>
      <c r="U27" s="319"/>
      <c r="V27" s="319"/>
      <c r="W27" s="319"/>
      <c r="X27" s="319"/>
      <c r="Y27" s="319"/>
      <c r="Z27" s="319"/>
      <c r="AA27" s="319"/>
    </row>
    <row r="28" spans="1:27" ht="15">
      <c r="A28" s="55" t="s">
        <v>460</v>
      </c>
      <c r="B28" s="55" t="s">
        <v>75</v>
      </c>
      <c r="C28" s="145"/>
      <c r="D28" s="145">
        <v>8</v>
      </c>
      <c r="E28" s="170">
        <v>96</v>
      </c>
      <c r="F28" s="170">
        <v>112</v>
      </c>
      <c r="G28" s="100">
        <v>17.8</v>
      </c>
      <c r="H28" s="261">
        <v>25.639019999999999</v>
      </c>
      <c r="I28">
        <f t="shared" si="0"/>
        <v>-0.71387804766801699</v>
      </c>
      <c r="J28">
        <f t="shared" si="1"/>
        <v>-1.8271346066997185</v>
      </c>
      <c r="K28" s="261">
        <v>127.8783</v>
      </c>
      <c r="L28">
        <f t="shared" si="2"/>
        <v>-0.58307110567342457</v>
      </c>
      <c r="M28">
        <f t="shared" si="3"/>
        <v>-1.9480119970238448</v>
      </c>
      <c r="N28" s="100">
        <v>49</v>
      </c>
      <c r="O28" s="2">
        <v>52.6</v>
      </c>
      <c r="P28" s="100">
        <v>17.2</v>
      </c>
      <c r="R28" s="319"/>
      <c r="S28" s="319"/>
      <c r="T28" s="319"/>
      <c r="U28" s="319"/>
      <c r="V28" s="319"/>
      <c r="W28" s="319"/>
      <c r="X28" s="319"/>
      <c r="Y28" s="319"/>
      <c r="Z28" s="319"/>
      <c r="AA28" s="319"/>
    </row>
    <row r="29" spans="1:27" ht="15">
      <c r="A29" s="169" t="s">
        <v>461</v>
      </c>
      <c r="B29" s="169" t="s">
        <v>278</v>
      </c>
      <c r="C29" s="269"/>
      <c r="D29" s="269">
        <v>7</v>
      </c>
      <c r="E29" s="259">
        <v>80</v>
      </c>
      <c r="F29" s="259">
        <v>107</v>
      </c>
      <c r="G29" s="193">
        <v>17.600000000000001</v>
      </c>
      <c r="H29" s="261">
        <v>21.885370000000002</v>
      </c>
      <c r="I29">
        <f t="shared" si="0"/>
        <v>-0.74052575475189175</v>
      </c>
      <c r="J29">
        <f t="shared" si="1"/>
        <v>-1.8644961337239372</v>
      </c>
      <c r="K29" s="261">
        <v>119.2921</v>
      </c>
      <c r="L29">
        <f t="shared" si="2"/>
        <v>-1.0158191919154191</v>
      </c>
      <c r="M29">
        <f t="shared" si="3"/>
        <v>-2.4897291405629729</v>
      </c>
      <c r="N29" s="193">
        <v>49</v>
      </c>
      <c r="O29" s="2">
        <v>52.3</v>
      </c>
      <c r="P29" s="193">
        <v>18.7</v>
      </c>
      <c r="R29" s="319"/>
      <c r="S29" s="319"/>
      <c r="T29" s="319"/>
      <c r="U29" s="319"/>
      <c r="V29" s="319"/>
      <c r="W29" s="319"/>
      <c r="X29" s="319"/>
      <c r="Y29" s="319"/>
      <c r="Z29" s="319"/>
      <c r="AA29" s="319"/>
    </row>
    <row r="30" spans="1:27" ht="15">
      <c r="A30" s="169" t="s">
        <v>462</v>
      </c>
      <c r="B30" s="169" t="s">
        <v>330</v>
      </c>
      <c r="C30" s="193"/>
      <c r="D30" s="193">
        <v>11</v>
      </c>
      <c r="E30" s="193"/>
      <c r="F30" s="259">
        <v>124</v>
      </c>
      <c r="G30" s="193">
        <v>25.2</v>
      </c>
      <c r="H30" s="261">
        <v>37.205880000000001</v>
      </c>
      <c r="I30">
        <f t="shared" si="0"/>
        <v>0.27208711443535205</v>
      </c>
      <c r="J30">
        <f t="shared" si="1"/>
        <v>-0.44475810680362499</v>
      </c>
      <c r="K30" s="261">
        <v>143.52000000000001</v>
      </c>
      <c r="L30">
        <f t="shared" si="2"/>
        <v>0.45552430130736193</v>
      </c>
      <c r="M30">
        <f t="shared" si="3"/>
        <v>-0.64789085252993739</v>
      </c>
      <c r="N30" s="193">
        <v>51</v>
      </c>
      <c r="O30" s="2">
        <v>53.1</v>
      </c>
      <c r="P30" s="193">
        <v>20</v>
      </c>
      <c r="R30" s="319"/>
      <c r="S30" s="319"/>
      <c r="T30" s="319"/>
      <c r="U30" s="319"/>
      <c r="V30" s="319"/>
      <c r="W30" s="319"/>
      <c r="X30" s="319"/>
      <c r="Y30" s="319"/>
      <c r="Z30" s="319"/>
      <c r="AA30" s="319"/>
    </row>
    <row r="31" spans="1:27" ht="15">
      <c r="A31" s="169" t="s">
        <v>463</v>
      </c>
      <c r="B31" s="169" t="s">
        <v>339</v>
      </c>
      <c r="C31" s="193"/>
      <c r="D31" s="193">
        <v>9</v>
      </c>
      <c r="E31" s="259">
        <v>108</v>
      </c>
      <c r="F31" s="259">
        <v>122</v>
      </c>
      <c r="G31" s="193">
        <v>21.2</v>
      </c>
      <c r="H31" s="261">
        <v>28.9909</v>
      </c>
      <c r="I31">
        <f t="shared" si="0"/>
        <v>-0.26086702724214483</v>
      </c>
      <c r="J31">
        <f t="shared" si="1"/>
        <v>-1.1919886472879999</v>
      </c>
      <c r="K31" s="261">
        <v>137.33330000000001</v>
      </c>
      <c r="L31">
        <f t="shared" si="2"/>
        <v>0.28242506681056417</v>
      </c>
      <c r="M31">
        <f t="shared" si="3"/>
        <v>-0.86457770994558858</v>
      </c>
      <c r="N31" s="193">
        <v>51.8</v>
      </c>
      <c r="O31" s="2">
        <v>52.1</v>
      </c>
      <c r="P31" s="193">
        <v>18</v>
      </c>
      <c r="R31" s="319"/>
      <c r="S31" s="319"/>
      <c r="T31" s="319"/>
      <c r="U31" s="319"/>
      <c r="V31" s="319"/>
      <c r="W31" s="319"/>
      <c r="X31" s="319"/>
      <c r="Y31" s="319"/>
      <c r="Z31" s="319"/>
      <c r="AA31" s="319"/>
    </row>
    <row r="32" spans="1:27" ht="15">
      <c r="A32" s="169" t="s">
        <v>464</v>
      </c>
      <c r="B32" s="169" t="s">
        <v>104</v>
      </c>
      <c r="C32" s="193"/>
      <c r="D32" s="193">
        <v>7</v>
      </c>
      <c r="E32" s="259">
        <v>84</v>
      </c>
      <c r="F32" s="259">
        <v>102</v>
      </c>
      <c r="G32" s="193">
        <v>15.2</v>
      </c>
      <c r="H32" s="261">
        <v>22.756540000000001</v>
      </c>
      <c r="I32">
        <f t="shared" si="0"/>
        <v>-1.0602982397583902</v>
      </c>
      <c r="J32">
        <f t="shared" si="1"/>
        <v>-2.3128344580145623</v>
      </c>
      <c r="K32" s="261">
        <v>121.492</v>
      </c>
      <c r="L32">
        <f t="shared" si="2"/>
        <v>-1.4485672781574135</v>
      </c>
      <c r="M32">
        <f t="shared" si="3"/>
        <v>-3.0314462841021008</v>
      </c>
      <c r="N32" s="193">
        <v>48.2</v>
      </c>
      <c r="O32" s="2">
        <v>52.3</v>
      </c>
      <c r="P32" s="193">
        <v>16.2</v>
      </c>
      <c r="R32" s="319"/>
      <c r="S32" s="319"/>
      <c r="T32" s="319"/>
      <c r="U32" s="319"/>
      <c r="V32" s="319"/>
      <c r="W32" s="319"/>
      <c r="X32" s="319"/>
      <c r="Y32" s="319"/>
      <c r="Z32" s="319"/>
      <c r="AA32" s="319"/>
    </row>
    <row r="33" spans="1:27" ht="15">
      <c r="A33" s="55" t="s">
        <v>465</v>
      </c>
      <c r="B33" s="55" t="s">
        <v>96</v>
      </c>
      <c r="C33" s="100"/>
      <c r="D33" s="100">
        <v>10</v>
      </c>
      <c r="E33" s="170">
        <v>130</v>
      </c>
      <c r="F33" s="170">
        <v>134</v>
      </c>
      <c r="G33" s="100">
        <v>29.1</v>
      </c>
      <c r="H33" s="261">
        <v>35.191589999999998</v>
      </c>
      <c r="I33">
        <f t="shared" si="0"/>
        <v>0.79171740257091172</v>
      </c>
      <c r="J33">
        <f t="shared" si="1"/>
        <v>0.28379167016864104</v>
      </c>
      <c r="K33" s="261">
        <v>142.6883</v>
      </c>
      <c r="L33">
        <f t="shared" si="2"/>
        <v>1.3210204737913507</v>
      </c>
      <c r="M33">
        <f t="shared" si="3"/>
        <v>0.43554343454831879</v>
      </c>
      <c r="N33" s="100">
        <v>51.2</v>
      </c>
      <c r="O33" s="2">
        <v>53.3</v>
      </c>
      <c r="P33" s="100">
        <v>21</v>
      </c>
      <c r="R33" s="319"/>
      <c r="S33" s="319"/>
      <c r="T33" s="319"/>
      <c r="U33" s="319"/>
      <c r="V33" s="319"/>
      <c r="W33" s="319"/>
      <c r="X33" s="319"/>
      <c r="Y33" s="319"/>
      <c r="Z33" s="319"/>
      <c r="AA33" s="319"/>
    </row>
    <row r="34" spans="1:27" ht="15">
      <c r="A34" s="55" t="s">
        <v>466</v>
      </c>
      <c r="B34" s="55" t="s">
        <v>317</v>
      </c>
      <c r="C34" s="100"/>
      <c r="D34" s="100">
        <v>8</v>
      </c>
      <c r="E34" s="170">
        <v>96</v>
      </c>
      <c r="F34" s="170">
        <v>119</v>
      </c>
      <c r="G34" s="100">
        <v>19.7</v>
      </c>
      <c r="H34" s="261">
        <v>25.639019999999999</v>
      </c>
      <c r="I34">
        <f t="shared" si="0"/>
        <v>-0.46072483037120621</v>
      </c>
      <c r="J34">
        <f t="shared" si="1"/>
        <v>-1.4722000999696407</v>
      </c>
      <c r="K34" s="261">
        <v>127.8783</v>
      </c>
      <c r="L34">
        <f t="shared" si="2"/>
        <v>2.2776215065367544E-2</v>
      </c>
      <c r="M34">
        <f t="shared" si="3"/>
        <v>-1.1896079960690655</v>
      </c>
      <c r="N34" s="100">
        <v>50</v>
      </c>
      <c r="O34" s="2">
        <v>52.6</v>
      </c>
      <c r="P34" s="100">
        <v>17.399999999999999</v>
      </c>
      <c r="R34" s="319"/>
      <c r="S34" s="319"/>
      <c r="T34" s="319"/>
      <c r="U34" s="319"/>
      <c r="V34" s="319"/>
      <c r="W34" s="319"/>
      <c r="X34" s="319"/>
      <c r="Y34" s="319"/>
      <c r="Z34" s="319"/>
      <c r="AA34" s="319"/>
    </row>
    <row r="35" spans="1:27" ht="15">
      <c r="A35" s="176" t="s">
        <v>403</v>
      </c>
      <c r="B35" s="176" t="s">
        <v>404</v>
      </c>
      <c r="C35" s="170"/>
      <c r="D35" s="170">
        <v>9</v>
      </c>
      <c r="E35" s="170">
        <v>119</v>
      </c>
      <c r="F35" s="2">
        <v>126</v>
      </c>
      <c r="G35" s="208">
        <v>26.4</v>
      </c>
      <c r="H35" s="261">
        <v>31.632190000000001</v>
      </c>
      <c r="I35">
        <f t="shared" si="0"/>
        <v>0.43197335693860101</v>
      </c>
      <c r="J35">
        <f t="shared" si="1"/>
        <v>-0.22058894465831264</v>
      </c>
      <c r="K35" s="261">
        <v>137.5505</v>
      </c>
      <c r="L35">
        <f t="shared" si="2"/>
        <v>0.62862353580415975</v>
      </c>
      <c r="M35">
        <f t="shared" si="3"/>
        <v>-0.43120399511428614</v>
      </c>
      <c r="N35" s="100"/>
      <c r="O35" s="2"/>
      <c r="R35" s="319"/>
      <c r="S35" s="319"/>
      <c r="T35" s="319"/>
      <c r="U35" s="319"/>
      <c r="V35" s="319"/>
      <c r="W35" s="319"/>
      <c r="X35" s="319"/>
      <c r="Y35" s="319"/>
      <c r="Z35" s="319"/>
      <c r="AA35" s="319"/>
    </row>
    <row r="36" spans="1:27" ht="15">
      <c r="A36" s="2" t="s">
        <v>170</v>
      </c>
      <c r="B36" s="1" t="s">
        <v>171</v>
      </c>
      <c r="C36" s="170"/>
      <c r="D36" s="170">
        <v>7</v>
      </c>
      <c r="E36" s="170">
        <v>84</v>
      </c>
      <c r="F36" s="2">
        <v>109</v>
      </c>
      <c r="G36" s="290">
        <v>16.7</v>
      </c>
      <c r="H36" s="261">
        <v>22.756540000000001</v>
      </c>
      <c r="I36">
        <f t="shared" si="0"/>
        <v>-0.8604404366293289</v>
      </c>
      <c r="J36">
        <f t="shared" si="1"/>
        <v>-2.0326230053329217</v>
      </c>
      <c r="K36" s="261">
        <v>121.492</v>
      </c>
      <c r="L36">
        <f t="shared" si="2"/>
        <v>-0.84271995741862127</v>
      </c>
      <c r="M36">
        <f t="shared" si="3"/>
        <v>-2.2730422831473214</v>
      </c>
      <c r="N36" s="100"/>
      <c r="O36" s="2"/>
      <c r="R36" s="319"/>
      <c r="S36" s="319"/>
      <c r="T36" s="319"/>
      <c r="U36" s="319"/>
      <c r="V36" s="319"/>
      <c r="W36" s="319"/>
      <c r="X36" s="319"/>
      <c r="Y36" s="319"/>
      <c r="Z36" s="319"/>
      <c r="AA36" s="319"/>
    </row>
    <row r="37" spans="1:27" ht="15">
      <c r="A37" s="2" t="s">
        <v>84</v>
      </c>
      <c r="B37" s="214" t="s">
        <v>85</v>
      </c>
      <c r="C37" s="170"/>
      <c r="D37" s="170">
        <v>9</v>
      </c>
      <c r="E37" s="170">
        <v>116</v>
      </c>
      <c r="F37" s="235">
        <v>127</v>
      </c>
      <c r="G37" s="207">
        <v>27.7</v>
      </c>
      <c r="H37" s="261">
        <v>30.747229999999998</v>
      </c>
      <c r="I37">
        <f t="shared" si="0"/>
        <v>0.60518345298378762</v>
      </c>
      <c r="J37">
        <f t="shared" si="1"/>
        <v>2.2260980999109371E-2</v>
      </c>
      <c r="K37" s="261">
        <v>136.96530000000001</v>
      </c>
      <c r="L37">
        <f t="shared" si="2"/>
        <v>0.71517315305255857</v>
      </c>
      <c r="M37">
        <f t="shared" si="3"/>
        <v>-0.32286056640646049</v>
      </c>
      <c r="N37" s="100"/>
      <c r="O37" s="2"/>
      <c r="R37" s="319"/>
      <c r="S37" s="319"/>
      <c r="T37" s="319"/>
      <c r="U37" s="319"/>
      <c r="V37" s="319"/>
      <c r="W37" s="319"/>
      <c r="X37" s="319"/>
      <c r="Y37" s="319"/>
      <c r="Z37" s="319"/>
      <c r="AA37" s="319"/>
    </row>
    <row r="38" spans="1:27" ht="15">
      <c r="A38" s="55" t="s">
        <v>467</v>
      </c>
      <c r="B38" s="55" t="s">
        <v>116</v>
      </c>
      <c r="C38" s="170"/>
      <c r="D38" s="170">
        <v>10</v>
      </c>
      <c r="E38" s="170">
        <v>138</v>
      </c>
      <c r="F38" s="170">
        <v>127</v>
      </c>
      <c r="G38" s="170">
        <v>24.1</v>
      </c>
      <c r="H38" s="261">
        <v>38.106430000000003</v>
      </c>
      <c r="I38">
        <f t="shared" si="0"/>
        <v>0.12552472547404067</v>
      </c>
      <c r="J38">
        <f t="shared" si="1"/>
        <v>-0.65024650543682772</v>
      </c>
      <c r="K38" s="261">
        <v>146.1371</v>
      </c>
      <c r="L38">
        <f t="shared" si="2"/>
        <v>0.71517315305255857</v>
      </c>
      <c r="M38">
        <f t="shared" si="3"/>
        <v>-0.32286056640646049</v>
      </c>
      <c r="N38" s="100">
        <v>54.2</v>
      </c>
      <c r="O38" s="2">
        <v>53.3</v>
      </c>
      <c r="R38" s="319"/>
      <c r="S38" s="319"/>
      <c r="T38" s="319"/>
      <c r="U38" s="319"/>
      <c r="V38" s="319"/>
      <c r="W38" s="319"/>
      <c r="X38" s="319"/>
      <c r="Y38" s="319"/>
      <c r="Z38" s="319"/>
      <c r="AA38" s="319"/>
    </row>
    <row r="39" spans="1:27" ht="15">
      <c r="A39" s="55" t="s">
        <v>468</v>
      </c>
      <c r="B39" s="213" t="s">
        <v>290</v>
      </c>
      <c r="D39" s="2">
        <v>10</v>
      </c>
      <c r="E39" s="2">
        <v>120</v>
      </c>
      <c r="F39" s="2">
        <v>126</v>
      </c>
      <c r="G39" s="207">
        <v>23</v>
      </c>
      <c r="H39" s="261">
        <v>31.93505</v>
      </c>
      <c r="I39">
        <f t="shared" si="0"/>
        <v>-2.1037663487271159E-2</v>
      </c>
      <c r="J39">
        <f t="shared" si="1"/>
        <v>-0.85573490407003117</v>
      </c>
      <c r="K39" s="261">
        <v>138.82339999999999</v>
      </c>
      <c r="L39">
        <f t="shared" si="2"/>
        <v>0.62862353580415975</v>
      </c>
      <c r="M39">
        <f t="shared" si="3"/>
        <v>-0.43120399511428614</v>
      </c>
      <c r="N39">
        <f>AVERAGE(N18:N25,N27:N38)</f>
        <v>50.277058823529416</v>
      </c>
      <c r="R39" s="319"/>
      <c r="S39" s="319"/>
      <c r="T39" s="319"/>
      <c r="U39" s="319"/>
      <c r="V39" s="319"/>
      <c r="W39" s="319"/>
      <c r="X39" s="319"/>
      <c r="Y39" s="319"/>
      <c r="Z39" s="319"/>
      <c r="AA39" s="319"/>
    </row>
    <row r="40" spans="1:27" ht="15">
      <c r="A40" s="55" t="s">
        <v>469</v>
      </c>
      <c r="B40" s="55" t="s">
        <v>303</v>
      </c>
      <c r="D40" s="2">
        <v>8</v>
      </c>
      <c r="E40" s="2">
        <v>96</v>
      </c>
      <c r="F40" s="2">
        <v>119</v>
      </c>
      <c r="G40" s="208">
        <v>20.399999999999999</v>
      </c>
      <c r="H40" s="261">
        <v>25.627469999999999</v>
      </c>
      <c r="I40">
        <f t="shared" si="0"/>
        <v>-0.36745785557764432</v>
      </c>
      <c r="J40">
        <f t="shared" si="1"/>
        <v>-1.3414347553848751</v>
      </c>
      <c r="K40" s="261">
        <v>127.5899</v>
      </c>
      <c r="L40">
        <f t="shared" si="2"/>
        <v>2.2776215065367544E-2</v>
      </c>
      <c r="M40">
        <f t="shared" si="3"/>
        <v>-1.1896079960690655</v>
      </c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</row>
    <row r="41" spans="1:27" ht="15">
      <c r="A41" s="36"/>
      <c r="B41" s="36"/>
      <c r="C41" s="291"/>
      <c r="D41" s="36"/>
      <c r="E41" s="183" t="s">
        <v>589</v>
      </c>
      <c r="F41">
        <f t="shared" ref="F41:H41" si="4">AVERAGE(F3:F40)</f>
        <v>118.73684210526316</v>
      </c>
      <c r="G41">
        <f t="shared" si="4"/>
        <v>23.157894736842117</v>
      </c>
      <c r="H41" s="292">
        <f t="shared" si="4"/>
        <v>27.580834736842103</v>
      </c>
      <c r="K41">
        <f>AVERAGE(K3:K40)</f>
        <v>129.97997368421053</v>
      </c>
      <c r="L41" s="2"/>
      <c r="M41" s="2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  <c r="AA41" s="319"/>
    </row>
    <row r="42" spans="1:27" ht="15">
      <c r="A42" s="36"/>
      <c r="B42" s="36"/>
      <c r="C42" s="291"/>
      <c r="D42" s="36"/>
      <c r="E42" s="183" t="s">
        <v>583</v>
      </c>
      <c r="F42">
        <f t="shared" ref="F42:H42" si="5">VAR(F3:F40)</f>
        <v>133.49644381223325</v>
      </c>
      <c r="G42">
        <f t="shared" si="5"/>
        <v>56.33007112375482</v>
      </c>
      <c r="H42">
        <f t="shared" si="5"/>
        <v>28.65568238577691</v>
      </c>
      <c r="K42">
        <f>VAR(K3:K40)</f>
        <v>85.191222240369868</v>
      </c>
      <c r="L42" s="2"/>
      <c r="M42" s="2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319"/>
    </row>
    <row r="43" spans="1:27" ht="15">
      <c r="A43" s="36"/>
      <c r="B43" s="36"/>
      <c r="C43" s="291"/>
      <c r="D43" s="36"/>
      <c r="E43" s="183" t="s">
        <v>569</v>
      </c>
      <c r="F43">
        <f t="shared" ref="F43:H43" si="6">SQRT(F42)</f>
        <v>11.554066115971176</v>
      </c>
      <c r="G43">
        <f t="shared" si="6"/>
        <v>7.5053361765982753</v>
      </c>
      <c r="H43">
        <f t="shared" si="6"/>
        <v>5.3531002592681665</v>
      </c>
      <c r="K43">
        <f>SQRT(K42)</f>
        <v>9.2299091133320417</v>
      </c>
      <c r="L43" s="2"/>
      <c r="M43" s="2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</row>
    <row r="44" spans="1:27" ht="15.75" customHeight="1">
      <c r="R44" s="319"/>
      <c r="S44" s="319"/>
      <c r="T44" s="319"/>
      <c r="U44" s="319"/>
      <c r="V44" s="319"/>
      <c r="W44" s="319"/>
      <c r="X44" s="319"/>
      <c r="Y44" s="319"/>
      <c r="Z44" s="319"/>
      <c r="AA44" s="319"/>
    </row>
    <row r="45" spans="1:27" ht="15.75" customHeight="1">
      <c r="R45" s="319"/>
      <c r="S45" s="319"/>
      <c r="T45" s="319"/>
      <c r="U45" s="319"/>
      <c r="V45" s="319"/>
      <c r="W45" s="319"/>
      <c r="X45" s="319"/>
      <c r="Y45" s="319"/>
      <c r="Z45" s="319"/>
      <c r="AA45" s="319"/>
    </row>
    <row r="46" spans="1:27" ht="15.75" customHeight="1">
      <c r="R46" s="319"/>
      <c r="S46" s="319"/>
      <c r="T46" s="319"/>
      <c r="U46" s="319"/>
      <c r="V46" s="319"/>
      <c r="W46" s="319"/>
      <c r="X46" s="319"/>
      <c r="Y46" s="319"/>
      <c r="Z46" s="319"/>
      <c r="AA46" s="319"/>
    </row>
    <row r="47" spans="1:27" ht="15.75" customHeight="1">
      <c r="R47" s="319"/>
      <c r="S47" s="319"/>
      <c r="T47" s="319"/>
      <c r="U47" s="319"/>
      <c r="V47" s="319"/>
      <c r="W47" s="319"/>
      <c r="X47" s="319"/>
      <c r="Y47" s="319"/>
      <c r="Z47" s="319"/>
      <c r="AA47" s="319"/>
    </row>
    <row r="48" spans="1:27" ht="15.75" customHeight="1">
      <c r="R48" s="319"/>
      <c r="S48" s="319"/>
      <c r="T48" s="319"/>
      <c r="U48" s="319"/>
      <c r="V48" s="319"/>
      <c r="W48" s="319"/>
      <c r="X48" s="319"/>
      <c r="Y48" s="319"/>
      <c r="Z48" s="319"/>
      <c r="AA48" s="319"/>
    </row>
    <row r="49" spans="18:27" ht="15.75" customHeight="1">
      <c r="R49" s="319"/>
      <c r="S49" s="319"/>
      <c r="T49" s="319"/>
      <c r="U49" s="319"/>
      <c r="V49" s="319"/>
      <c r="W49" s="319"/>
      <c r="X49" s="319"/>
      <c r="Y49" s="319"/>
      <c r="Z49" s="319"/>
      <c r="AA49" s="319"/>
    </row>
    <row r="50" spans="18:27" s="319" customFormat="1" ht="13"/>
    <row r="51" spans="18:27" s="319" customFormat="1" ht="13"/>
    <row r="52" spans="18:27" s="319" customFormat="1" ht="13"/>
    <row r="53" spans="18:27" s="319" customFormat="1" ht="13"/>
    <row r="54" spans="18:27" s="319" customFormat="1" ht="13"/>
    <row r="55" spans="18:27" s="319" customFormat="1" ht="13"/>
    <row r="56" spans="18:27" s="319" customFormat="1" ht="13"/>
    <row r="57" spans="18:27" s="319" customFormat="1" ht="13"/>
    <row r="58" spans="18:27" s="319" customFormat="1" ht="13"/>
    <row r="59" spans="18:27" s="319" customFormat="1" ht="13"/>
    <row r="60" spans="18:27" s="319" customFormat="1" ht="13"/>
    <row r="61" spans="18:27" s="319" customFormat="1" ht="13"/>
    <row r="62" spans="18:27" s="319" customFormat="1" ht="13"/>
    <row r="63" spans="18:27" s="319" customFormat="1" ht="13"/>
    <row r="64" spans="18:27" s="319" customFormat="1" ht="13"/>
    <row r="65" s="319" customFormat="1" ht="13"/>
    <row r="66" s="319" customFormat="1" ht="13"/>
    <row r="67" s="319" customFormat="1" ht="13"/>
    <row r="68" s="319" customFormat="1" ht="15.75" customHeight="1"/>
    <row r="69" s="319" customFormat="1" ht="15.75" customHeight="1"/>
    <row r="70" s="319" customFormat="1" ht="13"/>
    <row r="71" s="319" customFormat="1" ht="13"/>
    <row r="72" s="319" customFormat="1" ht="13"/>
    <row r="73" s="319" customFormat="1" ht="13"/>
    <row r="74" s="319" customFormat="1" ht="13"/>
    <row r="75" s="319" customFormat="1" ht="13"/>
    <row r="76" s="319" customFormat="1" ht="13"/>
    <row r="77" s="319" customFormat="1" ht="13"/>
    <row r="78" s="319" customFormat="1" ht="13"/>
    <row r="79" s="319" customFormat="1" ht="13"/>
    <row r="80" s="319" customFormat="1" ht="13"/>
    <row r="81" s="319" customFormat="1" ht="13"/>
    <row r="82" s="319" customFormat="1" ht="13"/>
    <row r="83" s="319" customFormat="1" ht="13"/>
    <row r="84" s="319" customFormat="1" ht="13"/>
    <row r="85" s="319" customFormat="1" ht="13"/>
    <row r="86" s="319" customFormat="1" ht="13"/>
    <row r="87" s="319" customFormat="1" ht="13"/>
    <row r="88" s="319" customFormat="1" ht="13"/>
    <row r="89" s="319" customFormat="1" ht="13"/>
    <row r="90" s="319" customFormat="1" ht="13"/>
    <row r="91" s="319" customFormat="1" ht="13"/>
    <row r="92" s="319" customFormat="1" ht="13"/>
    <row r="93" s="319" customFormat="1" ht="13"/>
    <row r="94" s="319" customFormat="1" ht="13"/>
    <row r="95" s="319" customFormat="1" ht="13"/>
    <row r="96" s="319" customFormat="1" ht="13"/>
    <row r="97" s="319" customFormat="1" ht="13"/>
    <row r="98" s="319" customFormat="1" ht="13"/>
    <row r="99" s="319" customFormat="1" ht="13"/>
    <row r="100" s="319" customFormat="1" ht="13"/>
    <row r="101" s="319" customFormat="1" ht="13"/>
    <row r="102" s="319" customFormat="1" ht="13"/>
    <row r="103" s="319" customFormat="1" ht="13"/>
    <row r="104" s="319" customFormat="1" ht="13"/>
    <row r="105" s="319" customFormat="1" ht="13"/>
    <row r="106" s="319" customFormat="1" ht="13"/>
    <row r="107" s="319" customFormat="1" ht="13"/>
    <row r="108" s="319" customFormat="1" ht="13"/>
    <row r="109" s="319" customFormat="1" ht="13"/>
    <row r="110" s="319" customFormat="1" ht="13"/>
    <row r="111" s="319" customFormat="1" ht="13"/>
    <row r="112" s="319" customFormat="1" ht="13"/>
    <row r="113" s="319" customFormat="1" ht="13"/>
    <row r="114" s="319" customFormat="1" ht="13"/>
    <row r="115" s="319" customFormat="1" ht="13"/>
    <row r="116" s="319" customFormat="1" ht="13"/>
    <row r="117" s="319" customFormat="1" ht="13"/>
    <row r="118" s="319" customFormat="1" ht="13"/>
    <row r="119" s="319" customFormat="1" ht="15.75" customHeight="1"/>
    <row r="120" s="319" customFormat="1" ht="15.75" customHeight="1"/>
    <row r="121" s="319" customFormat="1" ht="15.75" customHeight="1"/>
    <row r="122" s="319" customFormat="1" ht="15.75" customHeight="1"/>
    <row r="123" s="319" customFormat="1" ht="15.75" customHeight="1"/>
    <row r="124" s="319" customFormat="1" ht="15.75" customHeight="1"/>
    <row r="125" s="319" customFormat="1" ht="15.75" customHeight="1"/>
    <row r="126" s="319" customFormat="1" ht="15.75" customHeight="1"/>
    <row r="127" s="319" customFormat="1" ht="15.75" customHeight="1"/>
    <row r="128" s="319" customFormat="1" ht="15.75" customHeight="1"/>
    <row r="129" s="319" customFormat="1" ht="15.75" customHeight="1"/>
    <row r="130" s="319" customFormat="1" ht="15.75" customHeight="1"/>
    <row r="131" s="319" customFormat="1" ht="15.75" customHeight="1"/>
    <row r="132" s="319" customFormat="1" ht="15.75" customHeight="1"/>
    <row r="133" s="319" customFormat="1" ht="15.75" customHeight="1"/>
    <row r="134" s="319" customFormat="1" ht="15.75" customHeight="1"/>
    <row r="135" s="319" customFormat="1" ht="15.75" customHeight="1"/>
    <row r="136" s="319" customFormat="1" ht="15.75" customHeight="1"/>
    <row r="137" s="319" customFormat="1" ht="15.75" customHeight="1"/>
    <row r="138" s="319" customFormat="1" ht="15.75" customHeight="1"/>
    <row r="139" s="319" customFormat="1" ht="15.75" customHeight="1"/>
    <row r="140" s="319" customFormat="1" ht="15.75" customHeight="1"/>
    <row r="141" s="319" customFormat="1" ht="15.75" customHeight="1"/>
    <row r="142" s="319" customFormat="1" ht="15.75" customHeight="1"/>
    <row r="143" s="319" customFormat="1" ht="15.75" customHeight="1"/>
    <row r="144" s="319" customFormat="1" ht="15.75" customHeight="1"/>
    <row r="145" s="319" customFormat="1" ht="15.75" customHeight="1"/>
    <row r="146" s="319" customFormat="1" ht="15.75" customHeight="1"/>
    <row r="147" s="319" customFormat="1" ht="15.75" customHeight="1"/>
    <row r="148" s="319" customFormat="1" ht="15.75" customHeight="1"/>
    <row r="149" s="319" customFormat="1" ht="15.75" customHeight="1"/>
    <row r="150" s="319" customFormat="1" ht="15.75" customHeight="1"/>
    <row r="151" s="319" customFormat="1" ht="15.75" customHeight="1"/>
    <row r="152" s="319" customFormat="1" ht="15.75" customHeight="1"/>
    <row r="153" s="319" customFormat="1" ht="15.75" customHeight="1"/>
    <row r="154" s="319" customFormat="1" ht="15.75" customHeight="1"/>
    <row r="155" s="319" customFormat="1" ht="15.75" customHeight="1"/>
    <row r="156" s="319" customFormat="1" ht="15.75" customHeight="1"/>
    <row r="157" s="319" customFormat="1" ht="15.75" customHeight="1"/>
    <row r="158" s="319" customFormat="1" ht="15.75" customHeight="1"/>
    <row r="159" s="319" customFormat="1" ht="15.75" customHeight="1"/>
    <row r="160" s="319" customFormat="1" ht="15.75" customHeight="1"/>
    <row r="161" s="319" customFormat="1" ht="15.75" customHeight="1"/>
    <row r="162" s="319" customFormat="1" ht="15.75" customHeight="1"/>
    <row r="163" s="319" customFormat="1" ht="15.75" customHeight="1"/>
    <row r="164" s="319" customFormat="1" ht="15.75" customHeight="1"/>
    <row r="165" s="319" customFormat="1" ht="15.75" customHeight="1"/>
    <row r="166" s="319" customFormat="1" ht="15.75" customHeight="1"/>
    <row r="167" s="319" customFormat="1" ht="15.75" customHeight="1"/>
    <row r="168" s="319" customFormat="1" ht="15.75" customHeight="1"/>
    <row r="169" s="319" customFormat="1" ht="15.75" customHeight="1"/>
    <row r="170" s="319" customFormat="1" ht="15.75" customHeight="1"/>
    <row r="171" s="319" customFormat="1" ht="15.75" customHeight="1"/>
    <row r="172" s="319" customFormat="1" ht="15.75" customHeight="1"/>
    <row r="262" spans="8:13" ht="13">
      <c r="H262" s="296"/>
      <c r="I262" s="296"/>
      <c r="J262" s="296"/>
      <c r="K262" s="296"/>
      <c r="L262" s="296"/>
      <c r="M262" s="296"/>
    </row>
    <row r="263" spans="8:13" ht="13">
      <c r="H263" s="296"/>
      <c r="I263" s="296"/>
      <c r="J263" s="296"/>
      <c r="K263" s="296"/>
      <c r="L263" s="296"/>
      <c r="M263" s="296"/>
    </row>
    <row r="264" spans="8:13" ht="13">
      <c r="H264" s="296"/>
      <c r="I264" s="296"/>
      <c r="J264" s="296"/>
      <c r="K264" s="296"/>
      <c r="L264" s="296"/>
      <c r="M264" s="296"/>
    </row>
    <row r="265" spans="8:13" ht="13">
      <c r="H265" s="296"/>
      <c r="I265" s="296"/>
      <c r="J265" s="296"/>
      <c r="K265" s="296"/>
      <c r="L265" s="296"/>
      <c r="M265" s="296"/>
    </row>
    <row r="266" spans="8:13" ht="13">
      <c r="H266" s="296"/>
      <c r="I266" s="296"/>
      <c r="J266" s="296"/>
      <c r="K266" s="296"/>
      <c r="L266" s="296"/>
      <c r="M266" s="296"/>
    </row>
    <row r="267" spans="8:13" ht="13">
      <c r="H267" s="296"/>
      <c r="I267" s="296"/>
      <c r="J267" s="296"/>
      <c r="K267" s="296"/>
      <c r="L267" s="296"/>
      <c r="M267" s="296"/>
    </row>
    <row r="268" spans="8:13" ht="13">
      <c r="H268" s="296"/>
      <c r="I268" s="296"/>
      <c r="J268" s="296"/>
      <c r="K268" s="296"/>
      <c r="L268" s="296"/>
      <c r="M268" s="296"/>
    </row>
    <row r="269" spans="8:13" ht="13">
      <c r="H269" s="296"/>
      <c r="I269" s="296"/>
      <c r="J269" s="296"/>
      <c r="K269" s="296"/>
      <c r="L269" s="296"/>
      <c r="M269" s="296"/>
    </row>
    <row r="270" spans="8:13" ht="13">
      <c r="H270" s="296"/>
      <c r="I270" s="296"/>
      <c r="J270" s="296"/>
      <c r="K270" s="296"/>
      <c r="L270" s="296"/>
      <c r="M270" s="296"/>
    </row>
    <row r="271" spans="8:13" ht="13">
      <c r="H271" s="296"/>
      <c r="I271" s="296"/>
      <c r="J271" s="296"/>
      <c r="K271" s="296"/>
      <c r="L271" s="296"/>
      <c r="M271" s="296"/>
    </row>
    <row r="272" spans="8:13" ht="13">
      <c r="H272" s="296"/>
      <c r="I272" s="296"/>
      <c r="J272" s="296"/>
      <c r="K272" s="296"/>
      <c r="L272" s="296"/>
      <c r="M272" s="296"/>
    </row>
    <row r="273" spans="8:13" ht="13">
      <c r="H273" s="296"/>
      <c r="I273" s="296"/>
      <c r="J273" s="296"/>
      <c r="K273" s="296"/>
      <c r="L273" s="296"/>
      <c r="M273" s="296"/>
    </row>
    <row r="274" spans="8:13" ht="13">
      <c r="H274" s="296"/>
      <c r="I274" s="296"/>
      <c r="J274" s="296"/>
      <c r="K274" s="296"/>
      <c r="L274" s="296"/>
      <c r="M274" s="296"/>
    </row>
    <row r="275" spans="8:13" ht="13">
      <c r="H275" s="296"/>
      <c r="I275" s="296"/>
      <c r="J275" s="296"/>
      <c r="K275" s="296"/>
      <c r="L275" s="296"/>
      <c r="M275" s="296"/>
    </row>
    <row r="276" spans="8:13" ht="13">
      <c r="H276" s="296"/>
      <c r="I276" s="296"/>
      <c r="J276" s="296"/>
      <c r="K276" s="296"/>
      <c r="L276" s="296"/>
      <c r="M276" s="296"/>
    </row>
    <row r="277" spans="8:13" ht="13">
      <c r="H277" s="296"/>
      <c r="I277" s="296"/>
      <c r="J277" s="296"/>
      <c r="K277" s="296"/>
      <c r="L277" s="296"/>
      <c r="M277" s="296"/>
    </row>
    <row r="278" spans="8:13" ht="13">
      <c r="H278" s="296"/>
      <c r="I278" s="296"/>
      <c r="J278" s="296"/>
      <c r="K278" s="296"/>
      <c r="L278" s="296"/>
      <c r="M278" s="296"/>
    </row>
    <row r="279" spans="8:13" ht="13">
      <c r="H279" s="296"/>
      <c r="I279" s="296"/>
      <c r="J279" s="296"/>
      <c r="K279" s="296"/>
      <c r="L279" s="296"/>
      <c r="M279" s="296"/>
    </row>
    <row r="280" spans="8:13" ht="13">
      <c r="H280" s="296"/>
      <c r="I280" s="296"/>
      <c r="J280" s="296"/>
      <c r="K280" s="296"/>
      <c r="L280" s="296"/>
      <c r="M280" s="296"/>
    </row>
    <row r="281" spans="8:13" ht="13">
      <c r="H281" s="296"/>
      <c r="I281" s="296"/>
      <c r="J281" s="296"/>
      <c r="K281" s="296"/>
      <c r="L281" s="296"/>
      <c r="M281" s="296"/>
    </row>
    <row r="282" spans="8:13" ht="13">
      <c r="H282" s="296"/>
      <c r="I282" s="296"/>
      <c r="J282" s="296"/>
      <c r="K282" s="296"/>
      <c r="L282" s="296"/>
      <c r="M282" s="296"/>
    </row>
    <row r="283" spans="8:13" ht="13">
      <c r="H283" s="296"/>
      <c r="I283" s="296"/>
      <c r="J283" s="296"/>
      <c r="K283" s="296"/>
      <c r="L283" s="296"/>
      <c r="M283" s="296"/>
    </row>
    <row r="284" spans="8:13" ht="13">
      <c r="H284" s="296"/>
      <c r="I284" s="296"/>
      <c r="J284" s="296"/>
      <c r="K284" s="296"/>
      <c r="L284" s="296"/>
      <c r="M284" s="296"/>
    </row>
    <row r="285" spans="8:13" ht="13">
      <c r="H285" s="296"/>
      <c r="I285" s="296"/>
      <c r="J285" s="296"/>
      <c r="K285" s="296"/>
      <c r="L285" s="296"/>
      <c r="M285" s="296"/>
    </row>
    <row r="286" spans="8:13" ht="13">
      <c r="H286" s="296"/>
      <c r="I286" s="296"/>
      <c r="J286" s="296"/>
      <c r="K286" s="296"/>
      <c r="L286" s="296"/>
      <c r="M286" s="296"/>
    </row>
    <row r="287" spans="8:13" ht="13">
      <c r="H287" s="296"/>
      <c r="I287" s="296"/>
      <c r="J287" s="296"/>
      <c r="K287" s="296"/>
      <c r="L287" s="296"/>
      <c r="M287" s="296"/>
    </row>
    <row r="288" spans="8:13" ht="13">
      <c r="H288" s="296"/>
      <c r="I288" s="296"/>
      <c r="J288" s="296"/>
      <c r="K288" s="296"/>
      <c r="L288" s="296"/>
      <c r="M288" s="296"/>
    </row>
    <row r="289" spans="8:13" ht="13">
      <c r="H289" s="296"/>
      <c r="I289" s="296"/>
      <c r="J289" s="296"/>
      <c r="K289" s="296"/>
      <c r="L289" s="296"/>
      <c r="M289" s="296"/>
    </row>
    <row r="290" spans="8:13" ht="13">
      <c r="H290" s="296"/>
      <c r="I290" s="296"/>
      <c r="J290" s="296"/>
      <c r="K290" s="296"/>
      <c r="L290" s="296"/>
      <c r="M290" s="296"/>
    </row>
    <row r="291" spans="8:13" ht="13">
      <c r="H291" s="296"/>
      <c r="I291" s="296"/>
      <c r="J291" s="296"/>
      <c r="K291" s="296"/>
      <c r="L291" s="296"/>
      <c r="M291" s="296"/>
    </row>
    <row r="292" spans="8:13" ht="13">
      <c r="H292" s="296"/>
      <c r="I292" s="296"/>
      <c r="J292" s="296"/>
      <c r="K292" s="296"/>
      <c r="L292" s="296"/>
      <c r="M292" s="296"/>
    </row>
    <row r="293" spans="8:13" ht="13">
      <c r="H293" s="296"/>
      <c r="I293" s="296"/>
      <c r="J293" s="296"/>
      <c r="K293" s="296"/>
      <c r="L293" s="296"/>
      <c r="M293" s="296"/>
    </row>
    <row r="294" spans="8:13" ht="13">
      <c r="H294" s="296"/>
      <c r="I294" s="296"/>
      <c r="J294" s="296"/>
      <c r="K294" s="296"/>
      <c r="L294" s="296"/>
      <c r="M294" s="296"/>
    </row>
    <row r="295" spans="8:13" ht="13">
      <c r="H295" s="296"/>
      <c r="I295" s="296"/>
      <c r="J295" s="296"/>
      <c r="K295" s="296"/>
      <c r="L295" s="296"/>
      <c r="M295" s="296"/>
    </row>
    <row r="296" spans="8:13" ht="13">
      <c r="H296" s="296"/>
      <c r="I296" s="296"/>
      <c r="J296" s="296"/>
      <c r="K296" s="296"/>
      <c r="L296" s="296"/>
      <c r="M296" s="296"/>
    </row>
    <row r="297" spans="8:13" ht="13">
      <c r="H297" s="296"/>
      <c r="I297" s="296"/>
      <c r="J297" s="296"/>
      <c r="K297" s="296"/>
      <c r="L297" s="296"/>
      <c r="M297" s="296"/>
    </row>
    <row r="298" spans="8:13" ht="13">
      <c r="H298" s="296"/>
      <c r="I298" s="296"/>
      <c r="J298" s="296"/>
      <c r="K298" s="296"/>
      <c r="L298" s="296"/>
      <c r="M298" s="296"/>
    </row>
    <row r="299" spans="8:13" ht="13">
      <c r="H299" s="296"/>
      <c r="I299" s="296"/>
      <c r="J299" s="296"/>
      <c r="K299" s="296"/>
      <c r="L299" s="296"/>
      <c r="M299" s="296"/>
    </row>
    <row r="300" spans="8:13" ht="13">
      <c r="H300" s="296"/>
      <c r="I300" s="296"/>
      <c r="J300" s="296"/>
      <c r="K300" s="296"/>
      <c r="L300" s="296"/>
      <c r="M300" s="296"/>
    </row>
    <row r="301" spans="8:13" ht="13">
      <c r="H301" s="296"/>
      <c r="I301" s="296"/>
      <c r="J301" s="296"/>
      <c r="K301" s="296"/>
      <c r="L301" s="296"/>
      <c r="M301" s="296"/>
    </row>
    <row r="302" spans="8:13" ht="13">
      <c r="H302" s="296"/>
      <c r="I302" s="296"/>
      <c r="J302" s="296"/>
      <c r="K302" s="296"/>
      <c r="L302" s="296"/>
      <c r="M302" s="296"/>
    </row>
    <row r="303" spans="8:13" ht="13">
      <c r="H303" s="296"/>
      <c r="I303" s="296"/>
      <c r="J303" s="296"/>
      <c r="K303" s="296"/>
      <c r="L303" s="296"/>
      <c r="M303" s="296"/>
    </row>
    <row r="304" spans="8:13" ht="13">
      <c r="H304" s="296"/>
      <c r="I304" s="296"/>
      <c r="J304" s="296"/>
      <c r="K304" s="296"/>
      <c r="L304" s="296"/>
      <c r="M304" s="296"/>
    </row>
    <row r="305" spans="8:13" ht="13">
      <c r="H305" s="296"/>
      <c r="I305" s="296"/>
      <c r="J305" s="296"/>
      <c r="K305" s="296"/>
      <c r="L305" s="296"/>
      <c r="M305" s="296"/>
    </row>
    <row r="306" spans="8:13" ht="13">
      <c r="H306" s="296"/>
      <c r="I306" s="296"/>
      <c r="J306" s="296"/>
      <c r="K306" s="296"/>
      <c r="L306" s="296"/>
      <c r="M306" s="296"/>
    </row>
    <row r="307" spans="8:13" ht="13">
      <c r="H307" s="296"/>
      <c r="I307" s="296"/>
      <c r="J307" s="296"/>
      <c r="K307" s="296"/>
      <c r="L307" s="296"/>
      <c r="M307" s="296"/>
    </row>
    <row r="308" spans="8:13" ht="13">
      <c r="H308" s="296"/>
      <c r="I308" s="296"/>
      <c r="J308" s="296"/>
      <c r="K308" s="296"/>
      <c r="L308" s="296"/>
      <c r="M308" s="296"/>
    </row>
    <row r="309" spans="8:13" ht="13">
      <c r="H309" s="296"/>
      <c r="I309" s="296"/>
      <c r="J309" s="296"/>
      <c r="K309" s="296"/>
      <c r="L309" s="296"/>
      <c r="M309" s="296"/>
    </row>
    <row r="310" spans="8:13" ht="13">
      <c r="H310" s="296"/>
      <c r="I310" s="296"/>
      <c r="J310" s="296"/>
      <c r="K310" s="296"/>
      <c r="L310" s="296"/>
      <c r="M310" s="296"/>
    </row>
    <row r="311" spans="8:13" ht="13">
      <c r="H311" s="296"/>
      <c r="I311" s="296"/>
      <c r="J311" s="296"/>
      <c r="K311" s="296"/>
      <c r="L311" s="296"/>
      <c r="M311" s="296"/>
    </row>
    <row r="312" spans="8:13" ht="13">
      <c r="H312" s="296"/>
      <c r="I312" s="296"/>
      <c r="J312" s="296"/>
      <c r="K312" s="296"/>
      <c r="L312" s="296"/>
      <c r="M312" s="296"/>
    </row>
    <row r="313" spans="8:13" ht="13">
      <c r="H313" s="296"/>
      <c r="I313" s="296"/>
      <c r="J313" s="296"/>
      <c r="K313" s="296"/>
      <c r="L313" s="296"/>
      <c r="M313" s="296"/>
    </row>
    <row r="314" spans="8:13" ht="13">
      <c r="H314" s="296"/>
      <c r="I314" s="296"/>
      <c r="J314" s="296"/>
      <c r="K314" s="296"/>
      <c r="L314" s="296"/>
      <c r="M314" s="296"/>
    </row>
    <row r="315" spans="8:13" ht="13">
      <c r="H315" s="296"/>
      <c r="I315" s="296"/>
      <c r="J315" s="296"/>
      <c r="K315" s="296"/>
      <c r="L315" s="296"/>
      <c r="M315" s="296"/>
    </row>
    <row r="316" spans="8:13" ht="13">
      <c r="H316" s="296"/>
      <c r="I316" s="296"/>
      <c r="J316" s="296"/>
      <c r="K316" s="296"/>
      <c r="L316" s="296"/>
      <c r="M316" s="296"/>
    </row>
    <row r="317" spans="8:13" ht="13">
      <c r="H317" s="296"/>
      <c r="I317" s="296"/>
      <c r="J317" s="296"/>
      <c r="K317" s="296"/>
      <c r="L317" s="296"/>
      <c r="M317" s="296"/>
    </row>
    <row r="318" spans="8:13" ht="13">
      <c r="H318" s="296"/>
      <c r="I318" s="296"/>
      <c r="J318" s="296"/>
      <c r="K318" s="296"/>
      <c r="L318" s="296"/>
      <c r="M318" s="296"/>
    </row>
    <row r="319" spans="8:13" ht="13">
      <c r="H319" s="296"/>
      <c r="I319" s="296"/>
      <c r="J319" s="296"/>
      <c r="K319" s="296"/>
      <c r="L319" s="296"/>
      <c r="M319" s="296"/>
    </row>
    <row r="320" spans="8:13" ht="13">
      <c r="H320" s="296"/>
      <c r="I320" s="296"/>
      <c r="J320" s="296"/>
      <c r="K320" s="296"/>
      <c r="L320" s="296"/>
      <c r="M320" s="296"/>
    </row>
    <row r="321" spans="8:13" ht="13">
      <c r="H321" s="296"/>
      <c r="I321" s="296"/>
      <c r="J321" s="296"/>
      <c r="K321" s="296"/>
      <c r="L321" s="296"/>
      <c r="M321" s="296"/>
    </row>
    <row r="322" spans="8:13" ht="13">
      <c r="H322" s="296"/>
      <c r="I322" s="296"/>
      <c r="J322" s="296"/>
      <c r="K322" s="296"/>
      <c r="L322" s="296"/>
      <c r="M322" s="296"/>
    </row>
    <row r="323" spans="8:13" ht="13">
      <c r="H323" s="296"/>
      <c r="I323" s="296"/>
      <c r="J323" s="296"/>
      <c r="K323" s="296"/>
      <c r="L323" s="296"/>
      <c r="M323" s="296"/>
    </row>
    <row r="324" spans="8:13" ht="13">
      <c r="H324" s="296"/>
      <c r="I324" s="296"/>
      <c r="J324" s="296"/>
      <c r="K324" s="296"/>
      <c r="L324" s="296"/>
      <c r="M324" s="296"/>
    </row>
    <row r="325" spans="8:13" ht="13">
      <c r="H325" s="296"/>
      <c r="I325" s="296"/>
      <c r="J325" s="296"/>
      <c r="K325" s="296"/>
      <c r="L325" s="296"/>
      <c r="M325" s="296"/>
    </row>
    <row r="326" spans="8:13" ht="13">
      <c r="H326" s="296"/>
      <c r="I326" s="296"/>
      <c r="J326" s="296"/>
      <c r="K326" s="296"/>
      <c r="L326" s="296"/>
      <c r="M326" s="296"/>
    </row>
    <row r="327" spans="8:13" ht="13">
      <c r="H327" s="296"/>
      <c r="I327" s="296"/>
      <c r="J327" s="296"/>
      <c r="K327" s="296"/>
      <c r="L327" s="296"/>
      <c r="M327" s="296"/>
    </row>
    <row r="328" spans="8:13" ht="13">
      <c r="H328" s="296"/>
      <c r="I328" s="296"/>
      <c r="J328" s="296"/>
      <c r="K328" s="296"/>
      <c r="L328" s="296"/>
      <c r="M328" s="296"/>
    </row>
    <row r="329" spans="8:13" ht="13">
      <c r="H329" s="296"/>
      <c r="I329" s="296"/>
      <c r="J329" s="296"/>
      <c r="K329" s="296"/>
      <c r="L329" s="296"/>
      <c r="M329" s="296"/>
    </row>
    <row r="330" spans="8:13" ht="13">
      <c r="H330" s="296"/>
      <c r="I330" s="296"/>
      <c r="J330" s="296"/>
      <c r="K330" s="296"/>
      <c r="L330" s="296"/>
      <c r="M330" s="296"/>
    </row>
    <row r="331" spans="8:13" ht="13">
      <c r="H331" s="296"/>
      <c r="I331" s="296"/>
      <c r="J331" s="296"/>
      <c r="K331" s="296"/>
      <c r="L331" s="296"/>
      <c r="M331" s="296"/>
    </row>
    <row r="332" spans="8:13" ht="13">
      <c r="H332" s="296"/>
      <c r="I332" s="296"/>
      <c r="J332" s="296"/>
      <c r="K332" s="296"/>
      <c r="L332" s="296"/>
      <c r="M332" s="296"/>
    </row>
    <row r="333" spans="8:13" ht="13">
      <c r="H333" s="296"/>
      <c r="I333" s="296"/>
      <c r="J333" s="296"/>
      <c r="K333" s="296"/>
      <c r="L333" s="296"/>
      <c r="M333" s="296"/>
    </row>
    <row r="334" spans="8:13" ht="13">
      <c r="H334" s="296"/>
      <c r="I334" s="296"/>
      <c r="J334" s="296"/>
      <c r="K334" s="296"/>
      <c r="L334" s="296"/>
      <c r="M334" s="296"/>
    </row>
    <row r="335" spans="8:13" ht="13">
      <c r="H335" s="296"/>
      <c r="I335" s="296"/>
      <c r="J335" s="296"/>
      <c r="K335" s="296"/>
      <c r="L335" s="296"/>
      <c r="M335" s="296"/>
    </row>
    <row r="336" spans="8:13" ht="13">
      <c r="H336" s="296"/>
      <c r="I336" s="296"/>
      <c r="J336" s="296"/>
      <c r="K336" s="296"/>
      <c r="L336" s="296"/>
      <c r="M336" s="296"/>
    </row>
    <row r="337" spans="8:13" ht="13">
      <c r="H337" s="296"/>
      <c r="I337" s="296"/>
      <c r="J337" s="296"/>
      <c r="K337" s="296"/>
      <c r="L337" s="296"/>
      <c r="M337" s="296"/>
    </row>
    <row r="338" spans="8:13" ht="13">
      <c r="H338" s="296"/>
      <c r="I338" s="296"/>
      <c r="J338" s="296"/>
      <c r="K338" s="296"/>
      <c r="L338" s="296"/>
      <c r="M338" s="296"/>
    </row>
    <row r="339" spans="8:13" ht="13">
      <c r="H339" s="296"/>
      <c r="I339" s="296"/>
      <c r="J339" s="296"/>
      <c r="K339" s="296"/>
      <c r="L339" s="296"/>
      <c r="M339" s="296"/>
    </row>
    <row r="340" spans="8:13" ht="13">
      <c r="H340" s="296"/>
      <c r="I340" s="296"/>
      <c r="J340" s="296"/>
      <c r="K340" s="296"/>
      <c r="L340" s="296"/>
      <c r="M340" s="296"/>
    </row>
    <row r="341" spans="8:13" ht="13">
      <c r="H341" s="296"/>
      <c r="I341" s="296"/>
      <c r="J341" s="296"/>
      <c r="K341" s="296"/>
      <c r="L341" s="296"/>
      <c r="M341" s="296"/>
    </row>
    <row r="342" spans="8:13" ht="13">
      <c r="H342" s="296"/>
      <c r="I342" s="296"/>
      <c r="J342" s="296"/>
      <c r="K342" s="296"/>
      <c r="L342" s="296"/>
      <c r="M342" s="296"/>
    </row>
    <row r="343" spans="8:13" ht="13">
      <c r="H343" s="296"/>
      <c r="I343" s="296"/>
      <c r="J343" s="296"/>
      <c r="K343" s="296"/>
      <c r="L343" s="296"/>
      <c r="M343" s="296"/>
    </row>
    <row r="344" spans="8:13" ht="13">
      <c r="H344" s="296"/>
      <c r="I344" s="296"/>
      <c r="J344" s="296"/>
      <c r="K344" s="296"/>
      <c r="L344" s="296"/>
      <c r="M344" s="296"/>
    </row>
    <row r="345" spans="8:13" ht="13">
      <c r="H345" s="296"/>
      <c r="I345" s="296"/>
      <c r="J345" s="296"/>
      <c r="K345" s="296"/>
      <c r="L345" s="296"/>
      <c r="M345" s="296"/>
    </row>
    <row r="346" spans="8:13" ht="13">
      <c r="H346" s="296"/>
      <c r="I346" s="296"/>
      <c r="J346" s="296"/>
      <c r="K346" s="296"/>
      <c r="L346" s="296"/>
      <c r="M346" s="296"/>
    </row>
    <row r="347" spans="8:13" ht="13">
      <c r="H347" s="296"/>
      <c r="I347" s="296"/>
      <c r="J347" s="296"/>
      <c r="K347" s="296"/>
      <c r="L347" s="296"/>
      <c r="M347" s="296"/>
    </row>
    <row r="348" spans="8:13" ht="13">
      <c r="H348" s="296"/>
      <c r="I348" s="296"/>
      <c r="J348" s="296"/>
      <c r="K348" s="296"/>
      <c r="L348" s="296"/>
      <c r="M348" s="296"/>
    </row>
    <row r="349" spans="8:13" ht="13">
      <c r="H349" s="296"/>
      <c r="I349" s="296"/>
      <c r="J349" s="296"/>
      <c r="K349" s="296"/>
      <c r="L349" s="296"/>
      <c r="M349" s="296"/>
    </row>
    <row r="350" spans="8:13" ht="13">
      <c r="H350" s="296"/>
      <c r="I350" s="296"/>
      <c r="J350" s="296"/>
      <c r="K350" s="296"/>
      <c r="L350" s="296"/>
      <c r="M350" s="296"/>
    </row>
    <row r="351" spans="8:13" ht="13">
      <c r="H351" s="296"/>
      <c r="I351" s="296"/>
      <c r="J351" s="296"/>
      <c r="K351" s="296"/>
      <c r="L351" s="296"/>
      <c r="M351" s="296"/>
    </row>
    <row r="352" spans="8:13" ht="13">
      <c r="H352" s="296"/>
      <c r="I352" s="296"/>
      <c r="J352" s="296"/>
      <c r="K352" s="296"/>
      <c r="L352" s="296"/>
      <c r="M352" s="296"/>
    </row>
    <row r="353" spans="8:13" ht="13">
      <c r="H353" s="296"/>
      <c r="I353" s="296"/>
      <c r="J353" s="296"/>
      <c r="K353" s="296"/>
      <c r="L353" s="296"/>
      <c r="M353" s="296"/>
    </row>
    <row r="354" spans="8:13" ht="13">
      <c r="H354" s="296"/>
      <c r="I354" s="296"/>
      <c r="J354" s="296"/>
      <c r="K354" s="296"/>
      <c r="L354" s="296"/>
      <c r="M354" s="296"/>
    </row>
    <row r="355" spans="8:13" ht="13">
      <c r="H355" s="296"/>
      <c r="I355" s="296"/>
      <c r="J355" s="296"/>
      <c r="K355" s="296"/>
      <c r="L355" s="296"/>
      <c r="M355" s="296"/>
    </row>
    <row r="356" spans="8:13" ht="13">
      <c r="H356" s="296"/>
      <c r="I356" s="296"/>
      <c r="J356" s="296"/>
      <c r="K356" s="296"/>
      <c r="L356" s="296"/>
      <c r="M356" s="296"/>
    </row>
    <row r="357" spans="8:13" ht="13">
      <c r="H357" s="296"/>
      <c r="I357" s="296"/>
      <c r="J357" s="296"/>
      <c r="K357" s="296"/>
      <c r="L357" s="296"/>
      <c r="M357" s="296"/>
    </row>
    <row r="358" spans="8:13" ht="13">
      <c r="H358" s="296"/>
      <c r="I358" s="296"/>
      <c r="J358" s="296"/>
      <c r="K358" s="296"/>
      <c r="L358" s="296"/>
      <c r="M358" s="296"/>
    </row>
    <row r="359" spans="8:13" ht="13">
      <c r="H359" s="296"/>
      <c r="I359" s="296"/>
      <c r="J359" s="296"/>
      <c r="K359" s="296"/>
      <c r="L359" s="296"/>
      <c r="M359" s="296"/>
    </row>
    <row r="360" spans="8:13" ht="13">
      <c r="H360" s="296"/>
      <c r="I360" s="296"/>
      <c r="J360" s="296"/>
      <c r="K360" s="296"/>
      <c r="L360" s="296"/>
      <c r="M360" s="296"/>
    </row>
    <row r="361" spans="8:13" ht="13">
      <c r="H361" s="296"/>
      <c r="I361" s="296"/>
      <c r="J361" s="296"/>
      <c r="K361" s="296"/>
      <c r="L361" s="296"/>
      <c r="M361" s="296"/>
    </row>
    <row r="362" spans="8:13" ht="13">
      <c r="H362" s="296"/>
      <c r="I362" s="296"/>
      <c r="J362" s="296"/>
      <c r="K362" s="296"/>
      <c r="L362" s="296"/>
      <c r="M362" s="296"/>
    </row>
    <row r="363" spans="8:13" ht="13">
      <c r="H363" s="296"/>
      <c r="I363" s="296"/>
      <c r="J363" s="296"/>
      <c r="K363" s="296"/>
      <c r="L363" s="296"/>
      <c r="M363" s="296"/>
    </row>
    <row r="364" spans="8:13" ht="13">
      <c r="H364" s="296"/>
      <c r="I364" s="296"/>
      <c r="J364" s="296"/>
      <c r="K364" s="296"/>
      <c r="L364" s="296"/>
      <c r="M364" s="296"/>
    </row>
    <row r="365" spans="8:13" ht="13">
      <c r="H365" s="296"/>
      <c r="I365" s="296"/>
      <c r="J365" s="296"/>
      <c r="K365" s="296"/>
      <c r="L365" s="296"/>
      <c r="M365" s="296"/>
    </row>
    <row r="366" spans="8:13" ht="13">
      <c r="H366" s="296"/>
      <c r="I366" s="296"/>
      <c r="J366" s="296"/>
      <c r="K366" s="296"/>
      <c r="L366" s="296"/>
      <c r="M366" s="296"/>
    </row>
    <row r="367" spans="8:13" ht="13">
      <c r="H367" s="296"/>
      <c r="I367" s="296"/>
      <c r="J367" s="296"/>
      <c r="K367" s="296"/>
      <c r="L367" s="296"/>
      <c r="M367" s="296"/>
    </row>
    <row r="368" spans="8:13" ht="13">
      <c r="H368" s="296"/>
      <c r="I368" s="296"/>
      <c r="J368" s="296"/>
      <c r="K368" s="296"/>
      <c r="L368" s="296"/>
      <c r="M368" s="296"/>
    </row>
    <row r="369" spans="8:13" ht="13">
      <c r="H369" s="296"/>
      <c r="I369" s="296"/>
      <c r="J369" s="296"/>
      <c r="K369" s="296"/>
      <c r="L369" s="296"/>
      <c r="M369" s="296"/>
    </row>
    <row r="370" spans="8:13" ht="13">
      <c r="H370" s="296"/>
      <c r="I370" s="296"/>
      <c r="J370" s="296"/>
      <c r="K370" s="296"/>
      <c r="L370" s="296"/>
      <c r="M370" s="296"/>
    </row>
    <row r="371" spans="8:13" ht="13">
      <c r="H371" s="296"/>
      <c r="I371" s="296"/>
      <c r="J371" s="296"/>
      <c r="K371" s="296"/>
      <c r="L371" s="296"/>
      <c r="M371" s="296"/>
    </row>
    <row r="372" spans="8:13" ht="13">
      <c r="H372" s="296"/>
      <c r="I372" s="296"/>
      <c r="J372" s="296"/>
      <c r="K372" s="296"/>
      <c r="L372" s="296"/>
      <c r="M372" s="296"/>
    </row>
    <row r="373" spans="8:13" ht="13">
      <c r="H373" s="296"/>
      <c r="I373" s="296"/>
      <c r="J373" s="296"/>
      <c r="K373" s="296"/>
      <c r="L373" s="296"/>
      <c r="M373" s="296"/>
    </row>
    <row r="374" spans="8:13" ht="13">
      <c r="H374" s="296"/>
      <c r="I374" s="296"/>
      <c r="J374" s="296"/>
      <c r="K374" s="296"/>
      <c r="L374" s="296"/>
      <c r="M374" s="296"/>
    </row>
    <row r="375" spans="8:13" ht="13">
      <c r="H375" s="296"/>
      <c r="I375" s="296"/>
      <c r="J375" s="296"/>
      <c r="K375" s="296"/>
      <c r="L375" s="296"/>
      <c r="M375" s="296"/>
    </row>
    <row r="376" spans="8:13" ht="13">
      <c r="H376" s="296"/>
      <c r="I376" s="296"/>
      <c r="J376" s="296"/>
      <c r="K376" s="296"/>
      <c r="L376" s="296"/>
      <c r="M376" s="296"/>
    </row>
    <row r="377" spans="8:13" ht="13">
      <c r="H377" s="296"/>
      <c r="I377" s="296"/>
      <c r="J377" s="296"/>
      <c r="K377" s="296"/>
      <c r="L377" s="296"/>
      <c r="M377" s="296"/>
    </row>
    <row r="378" spans="8:13" ht="13">
      <c r="H378" s="296"/>
      <c r="I378" s="296"/>
      <c r="J378" s="296"/>
      <c r="K378" s="296"/>
      <c r="L378" s="296"/>
      <c r="M378" s="296"/>
    </row>
    <row r="379" spans="8:13" ht="13">
      <c r="H379" s="296"/>
      <c r="I379" s="296"/>
      <c r="J379" s="296"/>
      <c r="K379" s="296"/>
      <c r="L379" s="296"/>
      <c r="M379" s="296"/>
    </row>
    <row r="380" spans="8:13" ht="13">
      <c r="H380" s="296"/>
      <c r="I380" s="296"/>
      <c r="J380" s="296"/>
      <c r="K380" s="296"/>
      <c r="L380" s="296"/>
      <c r="M380" s="296"/>
    </row>
    <row r="381" spans="8:13" ht="13">
      <c r="H381" s="296"/>
      <c r="I381" s="296"/>
      <c r="J381" s="296"/>
      <c r="K381" s="296"/>
      <c r="L381" s="296"/>
      <c r="M381" s="296"/>
    </row>
    <row r="382" spans="8:13" ht="13">
      <c r="H382" s="296"/>
      <c r="I382" s="296"/>
      <c r="J382" s="296"/>
      <c r="K382" s="296"/>
      <c r="L382" s="296"/>
      <c r="M382" s="296"/>
    </row>
    <row r="383" spans="8:13" ht="13">
      <c r="H383" s="296"/>
      <c r="I383" s="296"/>
      <c r="J383" s="296"/>
      <c r="K383" s="296"/>
      <c r="L383" s="296"/>
      <c r="M383" s="296"/>
    </row>
    <row r="384" spans="8:13" ht="13">
      <c r="H384" s="296"/>
      <c r="I384" s="296"/>
      <c r="J384" s="296"/>
      <c r="K384" s="296"/>
      <c r="L384" s="296"/>
      <c r="M384" s="296"/>
    </row>
    <row r="385" spans="8:13" ht="13">
      <c r="H385" s="296"/>
      <c r="I385" s="296"/>
      <c r="J385" s="296"/>
      <c r="K385" s="296"/>
      <c r="L385" s="296"/>
      <c r="M385" s="296"/>
    </row>
    <row r="386" spans="8:13" ht="13">
      <c r="H386" s="296"/>
      <c r="I386" s="296"/>
      <c r="J386" s="296"/>
      <c r="K386" s="296"/>
      <c r="L386" s="296"/>
      <c r="M386" s="296"/>
    </row>
    <row r="387" spans="8:13" ht="13">
      <c r="H387" s="296"/>
      <c r="I387" s="296"/>
      <c r="J387" s="296"/>
      <c r="K387" s="296"/>
      <c r="L387" s="296"/>
      <c r="M387" s="296"/>
    </row>
    <row r="388" spans="8:13" ht="13">
      <c r="H388" s="296"/>
      <c r="I388" s="296"/>
      <c r="J388" s="296"/>
      <c r="K388" s="296"/>
      <c r="L388" s="296"/>
      <c r="M388" s="296"/>
    </row>
    <row r="389" spans="8:13" ht="13">
      <c r="H389" s="296"/>
      <c r="I389" s="296"/>
      <c r="J389" s="296"/>
      <c r="K389" s="296"/>
      <c r="L389" s="296"/>
      <c r="M389" s="296"/>
    </row>
    <row r="390" spans="8:13" ht="13">
      <c r="H390" s="296"/>
      <c r="I390" s="296"/>
      <c r="J390" s="296"/>
      <c r="K390" s="296"/>
      <c r="L390" s="296"/>
      <c r="M390" s="296"/>
    </row>
    <row r="391" spans="8:13" ht="13">
      <c r="H391" s="296"/>
      <c r="I391" s="296"/>
      <c r="J391" s="296"/>
      <c r="K391" s="296"/>
      <c r="L391" s="296"/>
      <c r="M391" s="296"/>
    </row>
    <row r="392" spans="8:13" ht="13">
      <c r="H392" s="296"/>
      <c r="I392" s="296"/>
      <c r="J392" s="296"/>
      <c r="K392" s="296"/>
      <c r="L392" s="296"/>
      <c r="M392" s="296"/>
    </row>
    <row r="393" spans="8:13" ht="13">
      <c r="H393" s="296"/>
      <c r="I393" s="296"/>
      <c r="J393" s="296"/>
      <c r="K393" s="296"/>
      <c r="L393" s="296"/>
      <c r="M393" s="296"/>
    </row>
    <row r="394" spans="8:13" ht="13">
      <c r="H394" s="296"/>
      <c r="I394" s="296"/>
      <c r="J394" s="296"/>
      <c r="K394" s="296"/>
      <c r="L394" s="296"/>
      <c r="M394" s="296"/>
    </row>
    <row r="395" spans="8:13" ht="13">
      <c r="H395" s="296"/>
      <c r="I395" s="296"/>
      <c r="J395" s="296"/>
      <c r="K395" s="296"/>
      <c r="L395" s="296"/>
      <c r="M395" s="296"/>
    </row>
    <row r="396" spans="8:13" ht="13">
      <c r="H396" s="296"/>
      <c r="I396" s="296"/>
      <c r="J396" s="296"/>
      <c r="K396" s="296"/>
      <c r="L396" s="296"/>
      <c r="M396" s="296"/>
    </row>
    <row r="397" spans="8:13" ht="13">
      <c r="H397" s="296"/>
      <c r="I397" s="296"/>
      <c r="J397" s="296"/>
      <c r="K397" s="296"/>
      <c r="L397" s="296"/>
      <c r="M397" s="296"/>
    </row>
    <row r="398" spans="8:13" ht="13">
      <c r="H398" s="296"/>
      <c r="I398" s="296"/>
      <c r="J398" s="296"/>
      <c r="K398" s="296"/>
      <c r="L398" s="296"/>
      <c r="M398" s="296"/>
    </row>
    <row r="399" spans="8:13" ht="13">
      <c r="H399" s="296"/>
      <c r="I399" s="296"/>
      <c r="J399" s="296"/>
      <c r="K399" s="296"/>
      <c r="L399" s="296"/>
      <c r="M399" s="296"/>
    </row>
    <row r="400" spans="8:13" ht="13">
      <c r="H400" s="296"/>
      <c r="I400" s="296"/>
      <c r="J400" s="296"/>
      <c r="K400" s="296"/>
      <c r="L400" s="296"/>
      <c r="M400" s="296"/>
    </row>
    <row r="401" spans="8:13" ht="13">
      <c r="H401" s="296"/>
      <c r="I401" s="296"/>
      <c r="J401" s="296"/>
      <c r="K401" s="296"/>
      <c r="L401" s="296"/>
      <c r="M401" s="296"/>
    </row>
    <row r="402" spans="8:13" ht="13">
      <c r="H402" s="296"/>
      <c r="I402" s="296"/>
      <c r="J402" s="296"/>
      <c r="K402" s="296"/>
      <c r="L402" s="296"/>
      <c r="M402" s="296"/>
    </row>
    <row r="403" spans="8:13" ht="13">
      <c r="H403" s="296"/>
      <c r="I403" s="296"/>
      <c r="J403" s="296"/>
      <c r="K403" s="296"/>
      <c r="L403" s="296"/>
      <c r="M403" s="296"/>
    </row>
    <row r="404" spans="8:13" ht="13">
      <c r="H404" s="296"/>
      <c r="I404" s="296"/>
      <c r="J404" s="296"/>
      <c r="K404" s="296"/>
      <c r="L404" s="296"/>
      <c r="M404" s="296"/>
    </row>
    <row r="405" spans="8:13" ht="13">
      <c r="H405" s="296"/>
      <c r="I405" s="296"/>
      <c r="J405" s="296"/>
      <c r="K405" s="296"/>
      <c r="L405" s="296"/>
      <c r="M405" s="296"/>
    </row>
    <row r="406" spans="8:13" ht="13">
      <c r="H406" s="296"/>
      <c r="I406" s="296"/>
      <c r="J406" s="296"/>
      <c r="K406" s="296"/>
      <c r="L406" s="296"/>
      <c r="M406" s="296"/>
    </row>
    <row r="407" spans="8:13" ht="13">
      <c r="H407" s="296"/>
      <c r="I407" s="296"/>
      <c r="J407" s="296"/>
      <c r="K407" s="296"/>
      <c r="L407" s="296"/>
      <c r="M407" s="296"/>
    </row>
    <row r="408" spans="8:13" ht="13">
      <c r="H408" s="296"/>
      <c r="I408" s="296"/>
      <c r="J408" s="296"/>
      <c r="K408" s="296"/>
      <c r="L408" s="296"/>
      <c r="M408" s="296"/>
    </row>
    <row r="409" spans="8:13" ht="13">
      <c r="H409" s="296"/>
      <c r="I409" s="296"/>
      <c r="J409" s="296"/>
      <c r="K409" s="296"/>
      <c r="L409" s="296"/>
      <c r="M409" s="296"/>
    </row>
    <row r="410" spans="8:13" ht="13">
      <c r="H410" s="296"/>
      <c r="I410" s="296"/>
      <c r="J410" s="296"/>
      <c r="K410" s="296"/>
      <c r="L410" s="296"/>
      <c r="M410" s="296"/>
    </row>
    <row r="411" spans="8:13" ht="13">
      <c r="H411" s="296"/>
      <c r="I411" s="296"/>
      <c r="J411" s="296"/>
      <c r="K411" s="296"/>
      <c r="L411" s="296"/>
      <c r="M411" s="296"/>
    </row>
    <row r="412" spans="8:13" ht="13">
      <c r="H412" s="296"/>
      <c r="I412" s="296"/>
      <c r="J412" s="296"/>
      <c r="K412" s="296"/>
      <c r="L412" s="296"/>
      <c r="M412" s="296"/>
    </row>
    <row r="413" spans="8:13" ht="13">
      <c r="H413" s="296"/>
      <c r="I413" s="296"/>
      <c r="J413" s="296"/>
      <c r="K413" s="296"/>
      <c r="L413" s="296"/>
      <c r="M413" s="296"/>
    </row>
    <row r="414" spans="8:13" ht="13">
      <c r="H414" s="296"/>
      <c r="I414" s="296"/>
      <c r="J414" s="296"/>
      <c r="K414" s="296"/>
      <c r="L414" s="296"/>
      <c r="M414" s="296"/>
    </row>
    <row r="415" spans="8:13" ht="13">
      <c r="H415" s="296"/>
      <c r="I415" s="296"/>
      <c r="J415" s="296"/>
      <c r="K415" s="296"/>
      <c r="L415" s="296"/>
      <c r="M415" s="296"/>
    </row>
    <row r="416" spans="8:13" ht="13">
      <c r="H416" s="296"/>
      <c r="I416" s="296"/>
      <c r="J416" s="296"/>
      <c r="K416" s="296"/>
      <c r="L416" s="296"/>
      <c r="M416" s="296"/>
    </row>
    <row r="417" spans="8:13" ht="13">
      <c r="H417" s="296"/>
      <c r="I417" s="296"/>
      <c r="J417" s="296"/>
      <c r="K417" s="296"/>
      <c r="L417" s="296"/>
      <c r="M417" s="296"/>
    </row>
    <row r="418" spans="8:13" ht="13">
      <c r="H418" s="296"/>
      <c r="I418" s="296"/>
      <c r="J418" s="296"/>
      <c r="K418" s="296"/>
      <c r="L418" s="296"/>
      <c r="M418" s="296"/>
    </row>
    <row r="419" spans="8:13" ht="13">
      <c r="H419" s="296"/>
      <c r="I419" s="296"/>
      <c r="J419" s="296"/>
      <c r="K419" s="296"/>
      <c r="L419" s="296"/>
      <c r="M419" s="296"/>
    </row>
    <row r="420" spans="8:13" ht="13">
      <c r="H420" s="296"/>
      <c r="I420" s="296"/>
      <c r="J420" s="296"/>
      <c r="K420" s="296"/>
      <c r="L420" s="296"/>
      <c r="M420" s="296"/>
    </row>
    <row r="421" spans="8:13" ht="13">
      <c r="H421" s="296"/>
      <c r="I421" s="296"/>
      <c r="J421" s="296"/>
      <c r="K421" s="296"/>
      <c r="L421" s="296"/>
      <c r="M421" s="296"/>
    </row>
    <row r="422" spans="8:13" ht="13">
      <c r="H422" s="296"/>
      <c r="I422" s="296"/>
      <c r="J422" s="296"/>
      <c r="K422" s="296"/>
      <c r="L422" s="296"/>
      <c r="M422" s="296"/>
    </row>
    <row r="423" spans="8:13" ht="13">
      <c r="H423" s="296"/>
      <c r="I423" s="296"/>
      <c r="J423" s="296"/>
      <c r="K423" s="296"/>
      <c r="L423" s="296"/>
      <c r="M423" s="296"/>
    </row>
    <row r="424" spans="8:13" ht="13">
      <c r="H424" s="296"/>
      <c r="I424" s="296"/>
      <c r="J424" s="296"/>
      <c r="K424" s="296"/>
      <c r="L424" s="296"/>
      <c r="M424" s="296"/>
    </row>
    <row r="425" spans="8:13" ht="13">
      <c r="H425" s="296"/>
      <c r="I425" s="296"/>
      <c r="J425" s="296"/>
      <c r="K425" s="296"/>
      <c r="L425" s="296"/>
      <c r="M425" s="296"/>
    </row>
    <row r="426" spans="8:13" ht="13">
      <c r="H426" s="296"/>
      <c r="I426" s="296"/>
      <c r="J426" s="296"/>
      <c r="K426" s="296"/>
      <c r="L426" s="296"/>
      <c r="M426" s="296"/>
    </row>
    <row r="427" spans="8:13" ht="13">
      <c r="H427" s="296"/>
      <c r="I427" s="296"/>
      <c r="J427" s="296"/>
      <c r="K427" s="296"/>
      <c r="L427" s="296"/>
      <c r="M427" s="296"/>
    </row>
    <row r="428" spans="8:13" ht="13">
      <c r="H428" s="296"/>
      <c r="I428" s="296"/>
      <c r="J428" s="296"/>
      <c r="K428" s="296"/>
      <c r="L428" s="296"/>
      <c r="M428" s="296"/>
    </row>
    <row r="429" spans="8:13" ht="13">
      <c r="H429" s="296"/>
      <c r="I429" s="296"/>
      <c r="J429" s="296"/>
      <c r="K429" s="296"/>
      <c r="L429" s="296"/>
      <c r="M429" s="296"/>
    </row>
    <row r="430" spans="8:13" ht="13">
      <c r="H430" s="296"/>
      <c r="I430" s="296"/>
      <c r="J430" s="296"/>
      <c r="K430" s="296"/>
      <c r="L430" s="296"/>
      <c r="M430" s="296"/>
    </row>
    <row r="431" spans="8:13" ht="13">
      <c r="H431" s="296"/>
      <c r="I431" s="296"/>
      <c r="J431" s="296"/>
      <c r="K431" s="296"/>
      <c r="L431" s="296"/>
      <c r="M431" s="296"/>
    </row>
    <row r="432" spans="8:13" ht="13">
      <c r="H432" s="296"/>
      <c r="I432" s="296"/>
      <c r="J432" s="296"/>
      <c r="K432" s="296"/>
      <c r="L432" s="296"/>
      <c r="M432" s="296"/>
    </row>
    <row r="433" spans="8:13" ht="13">
      <c r="H433" s="296"/>
      <c r="I433" s="296"/>
      <c r="J433" s="296"/>
      <c r="K433" s="296"/>
      <c r="L433" s="296"/>
      <c r="M433" s="296"/>
    </row>
    <row r="434" spans="8:13" ht="13">
      <c r="H434" s="296"/>
      <c r="I434" s="296"/>
      <c r="J434" s="296"/>
      <c r="K434" s="296"/>
      <c r="L434" s="296"/>
      <c r="M434" s="296"/>
    </row>
    <row r="435" spans="8:13" ht="13">
      <c r="H435" s="296"/>
      <c r="I435" s="296"/>
      <c r="J435" s="296"/>
      <c r="K435" s="296"/>
      <c r="L435" s="296"/>
      <c r="M435" s="296"/>
    </row>
    <row r="436" spans="8:13" ht="13">
      <c r="H436" s="296"/>
      <c r="I436" s="296"/>
      <c r="J436" s="296"/>
      <c r="K436" s="296"/>
      <c r="L436" s="296"/>
      <c r="M436" s="296"/>
    </row>
    <row r="437" spans="8:13" ht="13">
      <c r="H437" s="296"/>
      <c r="I437" s="296"/>
      <c r="J437" s="296"/>
      <c r="K437" s="296"/>
      <c r="L437" s="296"/>
      <c r="M437" s="296"/>
    </row>
    <row r="438" spans="8:13" ht="13">
      <c r="H438" s="296"/>
      <c r="I438" s="296"/>
      <c r="J438" s="296"/>
      <c r="K438" s="296"/>
      <c r="L438" s="296"/>
      <c r="M438" s="296"/>
    </row>
    <row r="439" spans="8:13" ht="13">
      <c r="H439" s="296"/>
      <c r="I439" s="296"/>
      <c r="J439" s="296"/>
      <c r="K439" s="296"/>
      <c r="L439" s="296"/>
      <c r="M439" s="296"/>
    </row>
    <row r="440" spans="8:13" ht="13">
      <c r="H440" s="296"/>
      <c r="I440" s="296"/>
      <c r="J440" s="296"/>
      <c r="K440" s="296"/>
      <c r="L440" s="296"/>
      <c r="M440" s="296"/>
    </row>
    <row r="441" spans="8:13" ht="13">
      <c r="H441" s="296"/>
      <c r="I441" s="296"/>
      <c r="J441" s="296"/>
      <c r="K441" s="296"/>
      <c r="L441" s="296"/>
      <c r="M441" s="296"/>
    </row>
    <row r="442" spans="8:13" ht="13">
      <c r="H442" s="296"/>
      <c r="I442" s="296"/>
      <c r="J442" s="296"/>
      <c r="K442" s="296"/>
      <c r="L442" s="296"/>
      <c r="M442" s="296"/>
    </row>
    <row r="443" spans="8:13" ht="13">
      <c r="H443" s="296"/>
      <c r="I443" s="296"/>
      <c r="J443" s="296"/>
      <c r="K443" s="296"/>
      <c r="L443" s="296"/>
      <c r="M443" s="296"/>
    </row>
    <row r="444" spans="8:13" ht="13">
      <c r="H444" s="296"/>
      <c r="I444" s="296"/>
      <c r="J444" s="296"/>
      <c r="K444" s="296"/>
      <c r="L444" s="296"/>
      <c r="M444" s="296"/>
    </row>
    <row r="445" spans="8:13" ht="13">
      <c r="H445" s="296"/>
      <c r="I445" s="296"/>
      <c r="J445" s="296"/>
      <c r="K445" s="296"/>
      <c r="L445" s="296"/>
      <c r="M445" s="296"/>
    </row>
    <row r="446" spans="8:13" ht="13">
      <c r="H446" s="296"/>
      <c r="I446" s="296"/>
      <c r="J446" s="296"/>
      <c r="K446" s="296"/>
      <c r="L446" s="296"/>
      <c r="M446" s="296"/>
    </row>
    <row r="447" spans="8:13" ht="13">
      <c r="H447" s="296"/>
      <c r="I447" s="296"/>
      <c r="J447" s="296"/>
      <c r="K447" s="296"/>
      <c r="L447" s="296"/>
      <c r="M447" s="296"/>
    </row>
    <row r="448" spans="8:13" ht="13">
      <c r="H448" s="296"/>
      <c r="I448" s="296"/>
      <c r="J448" s="296"/>
      <c r="K448" s="296"/>
      <c r="L448" s="296"/>
      <c r="M448" s="296"/>
    </row>
    <row r="449" spans="8:13" ht="13">
      <c r="H449" s="296"/>
      <c r="I449" s="296"/>
      <c r="J449" s="296"/>
      <c r="K449" s="296"/>
      <c r="L449" s="296"/>
      <c r="M449" s="296"/>
    </row>
    <row r="450" spans="8:13" ht="13">
      <c r="H450" s="296"/>
      <c r="I450" s="296"/>
      <c r="J450" s="296"/>
      <c r="K450" s="296"/>
      <c r="L450" s="296"/>
      <c r="M450" s="296"/>
    </row>
    <row r="451" spans="8:13" ht="13">
      <c r="H451" s="296"/>
      <c r="I451" s="296"/>
      <c r="J451" s="296"/>
      <c r="K451" s="296"/>
      <c r="L451" s="296"/>
      <c r="M451" s="296"/>
    </row>
    <row r="452" spans="8:13" ht="13">
      <c r="H452" s="296"/>
      <c r="I452" s="296"/>
      <c r="J452" s="296"/>
      <c r="K452" s="296"/>
      <c r="L452" s="296"/>
      <c r="M452" s="296"/>
    </row>
    <row r="453" spans="8:13" ht="13">
      <c r="H453" s="296"/>
      <c r="I453" s="296"/>
      <c r="J453" s="296"/>
      <c r="K453" s="296"/>
      <c r="L453" s="296"/>
      <c r="M453" s="296"/>
    </row>
    <row r="454" spans="8:13" ht="13">
      <c r="H454" s="296"/>
      <c r="I454" s="296"/>
      <c r="J454" s="296"/>
      <c r="K454" s="296"/>
      <c r="L454" s="296"/>
      <c r="M454" s="296"/>
    </row>
    <row r="455" spans="8:13" ht="13">
      <c r="H455" s="296"/>
      <c r="I455" s="296"/>
      <c r="J455" s="296"/>
      <c r="K455" s="296"/>
      <c r="L455" s="296"/>
      <c r="M455" s="296"/>
    </row>
    <row r="456" spans="8:13" ht="13">
      <c r="H456" s="296"/>
      <c r="I456" s="296"/>
      <c r="J456" s="296"/>
      <c r="K456" s="296"/>
      <c r="L456" s="296"/>
      <c r="M456" s="296"/>
    </row>
    <row r="457" spans="8:13" ht="13">
      <c r="H457" s="296"/>
      <c r="I457" s="296"/>
      <c r="J457" s="296"/>
      <c r="K457" s="296"/>
      <c r="L457" s="296"/>
      <c r="M457" s="296"/>
    </row>
    <row r="458" spans="8:13" ht="13">
      <c r="H458" s="296"/>
      <c r="I458" s="296"/>
      <c r="J458" s="296"/>
      <c r="K458" s="296"/>
      <c r="L458" s="296"/>
      <c r="M458" s="296"/>
    </row>
    <row r="459" spans="8:13" ht="13">
      <c r="H459" s="296"/>
      <c r="I459" s="296"/>
      <c r="J459" s="296"/>
      <c r="K459" s="296"/>
      <c r="L459" s="296"/>
      <c r="M459" s="296"/>
    </row>
    <row r="460" spans="8:13" ht="13">
      <c r="H460" s="296"/>
      <c r="I460" s="296"/>
      <c r="J460" s="296"/>
      <c r="K460" s="296"/>
      <c r="L460" s="296"/>
      <c r="M460" s="296"/>
    </row>
    <row r="461" spans="8:13" ht="13">
      <c r="H461" s="296"/>
      <c r="I461" s="296"/>
      <c r="J461" s="296"/>
      <c r="K461" s="296"/>
      <c r="L461" s="296"/>
      <c r="M461" s="296"/>
    </row>
    <row r="462" spans="8:13" ht="13">
      <c r="H462" s="296"/>
      <c r="I462" s="296"/>
      <c r="J462" s="296"/>
      <c r="K462" s="296"/>
      <c r="L462" s="296"/>
      <c r="M462" s="296"/>
    </row>
    <row r="463" spans="8:13" ht="13">
      <c r="H463" s="296"/>
      <c r="I463" s="296"/>
      <c r="J463" s="296"/>
      <c r="K463" s="296"/>
      <c r="L463" s="296"/>
      <c r="M463" s="296"/>
    </row>
    <row r="464" spans="8:13" ht="13">
      <c r="H464" s="296"/>
      <c r="I464" s="296"/>
      <c r="J464" s="296"/>
      <c r="K464" s="296"/>
      <c r="L464" s="296"/>
      <c r="M464" s="296"/>
    </row>
    <row r="465" spans="8:13" ht="13">
      <c r="H465" s="296"/>
      <c r="I465" s="296"/>
      <c r="J465" s="296"/>
      <c r="K465" s="296"/>
      <c r="L465" s="296"/>
      <c r="M465" s="296"/>
    </row>
    <row r="466" spans="8:13" ht="13">
      <c r="H466" s="296"/>
      <c r="I466" s="296"/>
      <c r="J466" s="296"/>
      <c r="K466" s="296"/>
      <c r="L466" s="296"/>
      <c r="M466" s="296"/>
    </row>
    <row r="467" spans="8:13" ht="13">
      <c r="H467" s="296"/>
      <c r="I467" s="296"/>
      <c r="J467" s="296"/>
      <c r="K467" s="296"/>
      <c r="L467" s="296"/>
      <c r="M467" s="296"/>
    </row>
    <row r="468" spans="8:13" ht="13">
      <c r="H468" s="296"/>
      <c r="I468" s="296"/>
      <c r="J468" s="296"/>
      <c r="K468" s="296"/>
      <c r="L468" s="296"/>
      <c r="M468" s="296"/>
    </row>
    <row r="469" spans="8:13" ht="13">
      <c r="H469" s="296"/>
      <c r="I469" s="296"/>
      <c r="J469" s="296"/>
      <c r="K469" s="296"/>
      <c r="L469" s="296"/>
      <c r="M469" s="296"/>
    </row>
    <row r="470" spans="8:13" ht="13">
      <c r="H470" s="296"/>
      <c r="I470" s="296"/>
      <c r="J470" s="296"/>
      <c r="K470" s="296"/>
      <c r="L470" s="296"/>
      <c r="M470" s="296"/>
    </row>
    <row r="471" spans="8:13" ht="13">
      <c r="H471" s="296"/>
      <c r="I471" s="296"/>
      <c r="J471" s="296"/>
      <c r="K471" s="296"/>
      <c r="L471" s="296"/>
      <c r="M471" s="296"/>
    </row>
    <row r="472" spans="8:13" ht="13">
      <c r="H472" s="296"/>
      <c r="I472" s="296"/>
      <c r="J472" s="296"/>
      <c r="K472" s="296"/>
      <c r="L472" s="296"/>
      <c r="M472" s="296"/>
    </row>
    <row r="473" spans="8:13" ht="13">
      <c r="H473" s="296"/>
      <c r="I473" s="296"/>
      <c r="J473" s="296"/>
      <c r="K473" s="296"/>
      <c r="L473" s="296"/>
      <c r="M473" s="296"/>
    </row>
    <row r="474" spans="8:13" ht="13">
      <c r="H474" s="296"/>
      <c r="I474" s="296"/>
      <c r="J474" s="296"/>
      <c r="K474" s="296"/>
      <c r="L474" s="296"/>
      <c r="M474" s="296"/>
    </row>
    <row r="475" spans="8:13" ht="13">
      <c r="H475" s="296"/>
      <c r="I475" s="296"/>
      <c r="J475" s="296"/>
      <c r="K475" s="296"/>
      <c r="L475" s="296"/>
      <c r="M475" s="296"/>
    </row>
    <row r="476" spans="8:13" ht="13">
      <c r="H476" s="296"/>
      <c r="I476" s="296"/>
      <c r="J476" s="296"/>
      <c r="K476" s="296"/>
      <c r="L476" s="296"/>
      <c r="M476" s="296"/>
    </row>
    <row r="477" spans="8:13" ht="13">
      <c r="H477" s="296"/>
      <c r="I477" s="296"/>
      <c r="J477" s="296"/>
      <c r="K477" s="296"/>
      <c r="L477" s="296"/>
      <c r="M477" s="296"/>
    </row>
    <row r="478" spans="8:13" ht="13">
      <c r="H478" s="296"/>
      <c r="I478" s="296"/>
      <c r="J478" s="296"/>
      <c r="K478" s="296"/>
      <c r="L478" s="296"/>
      <c r="M478" s="296"/>
    </row>
    <row r="479" spans="8:13" ht="13">
      <c r="H479" s="296"/>
      <c r="I479" s="296"/>
      <c r="J479" s="296"/>
      <c r="K479" s="296"/>
      <c r="L479" s="296"/>
      <c r="M479" s="296"/>
    </row>
    <row r="480" spans="8:13" ht="13">
      <c r="H480" s="296"/>
      <c r="I480" s="296"/>
      <c r="J480" s="296"/>
      <c r="K480" s="296"/>
      <c r="L480" s="296"/>
      <c r="M480" s="296"/>
    </row>
    <row r="481" spans="8:13" ht="13">
      <c r="H481" s="296"/>
      <c r="I481" s="296"/>
      <c r="J481" s="296"/>
      <c r="K481" s="296"/>
      <c r="L481" s="296"/>
      <c r="M481" s="296"/>
    </row>
    <row r="482" spans="8:13" ht="13">
      <c r="H482" s="296"/>
      <c r="I482" s="296"/>
      <c r="J482" s="296"/>
      <c r="K482" s="296"/>
      <c r="L482" s="296"/>
      <c r="M482" s="296"/>
    </row>
    <row r="483" spans="8:13" ht="13">
      <c r="H483" s="296"/>
      <c r="I483" s="296"/>
      <c r="J483" s="296"/>
      <c r="K483" s="296"/>
      <c r="L483" s="296"/>
      <c r="M483" s="296"/>
    </row>
    <row r="484" spans="8:13" ht="13">
      <c r="H484" s="296"/>
      <c r="I484" s="296"/>
      <c r="J484" s="296"/>
      <c r="K484" s="296"/>
      <c r="L484" s="296"/>
      <c r="M484" s="296"/>
    </row>
    <row r="485" spans="8:13" ht="13">
      <c r="H485" s="296"/>
      <c r="I485" s="296"/>
      <c r="J485" s="296"/>
      <c r="K485" s="296"/>
      <c r="L485" s="296"/>
      <c r="M485" s="296"/>
    </row>
    <row r="486" spans="8:13" ht="13">
      <c r="H486" s="296"/>
      <c r="I486" s="296"/>
      <c r="J486" s="296"/>
      <c r="K486" s="296"/>
      <c r="L486" s="296"/>
      <c r="M486" s="296"/>
    </row>
    <row r="487" spans="8:13" ht="13">
      <c r="H487" s="296"/>
      <c r="I487" s="296"/>
      <c r="J487" s="296"/>
      <c r="K487" s="296"/>
      <c r="L487" s="296"/>
      <c r="M487" s="296"/>
    </row>
    <row r="488" spans="8:13" ht="13">
      <c r="H488" s="296"/>
      <c r="I488" s="296"/>
      <c r="J488" s="296"/>
      <c r="K488" s="296"/>
      <c r="L488" s="296"/>
      <c r="M488" s="296"/>
    </row>
    <row r="489" spans="8:13" ht="13">
      <c r="H489" s="296"/>
      <c r="I489" s="296"/>
      <c r="J489" s="296"/>
      <c r="K489" s="296"/>
      <c r="L489" s="296"/>
      <c r="M489" s="296"/>
    </row>
    <row r="490" spans="8:13" ht="13">
      <c r="H490" s="296"/>
      <c r="I490" s="296"/>
      <c r="J490" s="296"/>
      <c r="K490" s="296"/>
      <c r="L490" s="296"/>
      <c r="M490" s="296"/>
    </row>
    <row r="491" spans="8:13" ht="13">
      <c r="H491" s="296"/>
      <c r="I491" s="296"/>
      <c r="J491" s="296"/>
      <c r="K491" s="296"/>
      <c r="L491" s="296"/>
      <c r="M491" s="296"/>
    </row>
    <row r="492" spans="8:13" ht="13">
      <c r="H492" s="296"/>
      <c r="I492" s="296"/>
      <c r="J492" s="296"/>
      <c r="K492" s="296"/>
      <c r="L492" s="296"/>
      <c r="M492" s="296"/>
    </row>
    <row r="493" spans="8:13" ht="13">
      <c r="H493" s="296"/>
      <c r="I493" s="296"/>
      <c r="J493" s="296"/>
      <c r="K493" s="296"/>
      <c r="L493" s="296"/>
      <c r="M493" s="296"/>
    </row>
    <row r="494" spans="8:13" ht="13">
      <c r="H494" s="296"/>
      <c r="I494" s="296"/>
      <c r="J494" s="296"/>
      <c r="K494" s="296"/>
      <c r="L494" s="296"/>
      <c r="M494" s="296"/>
    </row>
    <row r="495" spans="8:13" ht="13">
      <c r="H495" s="296"/>
      <c r="I495" s="296"/>
      <c r="J495" s="296"/>
      <c r="K495" s="296"/>
      <c r="L495" s="296"/>
      <c r="M495" s="296"/>
    </row>
    <row r="496" spans="8:13" ht="13">
      <c r="H496" s="296"/>
      <c r="I496" s="296"/>
      <c r="J496" s="296"/>
      <c r="K496" s="296"/>
      <c r="L496" s="296"/>
      <c r="M496" s="296"/>
    </row>
    <row r="497" spans="8:13" ht="13">
      <c r="H497" s="296"/>
      <c r="I497" s="296"/>
      <c r="J497" s="296"/>
      <c r="K497" s="296"/>
      <c r="L497" s="296"/>
      <c r="M497" s="296"/>
    </row>
    <row r="498" spans="8:13" ht="13">
      <c r="H498" s="296"/>
      <c r="I498" s="296"/>
      <c r="J498" s="296"/>
      <c r="K498" s="296"/>
      <c r="L498" s="296"/>
      <c r="M498" s="296"/>
    </row>
    <row r="499" spans="8:13" ht="13">
      <c r="H499" s="296"/>
      <c r="I499" s="296"/>
      <c r="J499" s="296"/>
      <c r="K499" s="296"/>
      <c r="L499" s="296"/>
      <c r="M499" s="296"/>
    </row>
    <row r="500" spans="8:13" ht="13">
      <c r="H500" s="296"/>
      <c r="I500" s="296"/>
      <c r="J500" s="296"/>
      <c r="K500" s="296"/>
      <c r="L500" s="296"/>
      <c r="M500" s="296"/>
    </row>
    <row r="501" spans="8:13" ht="13">
      <c r="H501" s="296"/>
      <c r="I501" s="296"/>
      <c r="J501" s="296"/>
      <c r="K501" s="296"/>
      <c r="L501" s="296"/>
      <c r="M501" s="296"/>
    </row>
    <row r="502" spans="8:13" ht="13">
      <c r="H502" s="296"/>
      <c r="I502" s="296"/>
      <c r="J502" s="296"/>
      <c r="K502" s="296"/>
      <c r="L502" s="296"/>
      <c r="M502" s="296"/>
    </row>
    <row r="503" spans="8:13" ht="13">
      <c r="H503" s="296"/>
      <c r="I503" s="296"/>
      <c r="J503" s="296"/>
      <c r="K503" s="296"/>
      <c r="L503" s="296"/>
      <c r="M503" s="296"/>
    </row>
    <row r="504" spans="8:13" ht="13">
      <c r="H504" s="296"/>
      <c r="I504" s="296"/>
      <c r="J504" s="296"/>
      <c r="K504" s="296"/>
      <c r="L504" s="296"/>
      <c r="M504" s="296"/>
    </row>
    <row r="505" spans="8:13" ht="13">
      <c r="H505" s="296"/>
      <c r="I505" s="296"/>
      <c r="J505" s="296"/>
      <c r="K505" s="296"/>
      <c r="L505" s="296"/>
      <c r="M505" s="296"/>
    </row>
    <row r="506" spans="8:13" ht="13">
      <c r="H506" s="296"/>
      <c r="I506" s="296"/>
      <c r="J506" s="296"/>
      <c r="K506" s="296"/>
      <c r="L506" s="296"/>
      <c r="M506" s="296"/>
    </row>
    <row r="507" spans="8:13" ht="13">
      <c r="H507" s="296"/>
      <c r="I507" s="296"/>
      <c r="J507" s="296"/>
      <c r="K507" s="296"/>
      <c r="L507" s="296"/>
      <c r="M507" s="296"/>
    </row>
    <row r="508" spans="8:13" ht="13">
      <c r="H508" s="296"/>
      <c r="I508" s="296"/>
      <c r="J508" s="296"/>
      <c r="K508" s="296"/>
      <c r="L508" s="296"/>
      <c r="M508" s="296"/>
    </row>
    <row r="509" spans="8:13" ht="13">
      <c r="H509" s="296"/>
      <c r="I509" s="296"/>
      <c r="J509" s="296"/>
      <c r="K509" s="296"/>
      <c r="L509" s="296"/>
      <c r="M509" s="296"/>
    </row>
    <row r="510" spans="8:13" ht="13">
      <c r="H510" s="296"/>
      <c r="I510" s="296"/>
      <c r="J510" s="296"/>
      <c r="K510" s="296"/>
      <c r="L510" s="296"/>
      <c r="M510" s="296"/>
    </row>
    <row r="511" spans="8:13" ht="13">
      <c r="H511" s="296"/>
      <c r="I511" s="296"/>
      <c r="J511" s="296"/>
      <c r="K511" s="296"/>
      <c r="L511" s="296"/>
      <c r="M511" s="296"/>
    </row>
    <row r="512" spans="8:13" ht="13">
      <c r="H512" s="296"/>
      <c r="I512" s="296"/>
      <c r="J512" s="296"/>
      <c r="K512" s="296"/>
      <c r="L512" s="296"/>
      <c r="M512" s="296"/>
    </row>
    <row r="513" spans="8:13" ht="13">
      <c r="H513" s="296"/>
      <c r="I513" s="296"/>
      <c r="J513" s="296"/>
      <c r="K513" s="296"/>
      <c r="L513" s="296"/>
      <c r="M513" s="296"/>
    </row>
    <row r="514" spans="8:13" ht="13">
      <c r="H514" s="296"/>
      <c r="I514" s="296"/>
      <c r="J514" s="296"/>
      <c r="K514" s="296"/>
      <c r="L514" s="296"/>
      <c r="M514" s="296"/>
    </row>
    <row r="515" spans="8:13" ht="13">
      <c r="H515" s="296"/>
      <c r="I515" s="296"/>
      <c r="J515" s="296"/>
      <c r="K515" s="296"/>
      <c r="L515" s="296"/>
      <c r="M515" s="296"/>
    </row>
    <row r="516" spans="8:13" ht="13">
      <c r="H516" s="296"/>
      <c r="I516" s="296"/>
      <c r="J516" s="296"/>
      <c r="K516" s="296"/>
      <c r="L516" s="296"/>
      <c r="M516" s="296"/>
    </row>
    <row r="517" spans="8:13" ht="13">
      <c r="H517" s="296"/>
      <c r="I517" s="296"/>
      <c r="J517" s="296"/>
      <c r="K517" s="296"/>
      <c r="L517" s="296"/>
      <c r="M517" s="296"/>
    </row>
    <row r="518" spans="8:13" ht="13">
      <c r="H518" s="296"/>
      <c r="I518" s="296"/>
      <c r="J518" s="296"/>
      <c r="K518" s="296"/>
      <c r="L518" s="296"/>
      <c r="M518" s="296"/>
    </row>
    <row r="519" spans="8:13" ht="13">
      <c r="H519" s="296"/>
      <c r="I519" s="296"/>
      <c r="J519" s="296"/>
      <c r="K519" s="296"/>
      <c r="L519" s="296"/>
      <c r="M519" s="296"/>
    </row>
    <row r="520" spans="8:13" ht="13">
      <c r="H520" s="296"/>
      <c r="I520" s="296"/>
      <c r="J520" s="296"/>
      <c r="K520" s="296"/>
      <c r="L520" s="296"/>
      <c r="M520" s="296"/>
    </row>
    <row r="521" spans="8:13" ht="13">
      <c r="H521" s="296"/>
      <c r="I521" s="296"/>
      <c r="J521" s="296"/>
      <c r="K521" s="296"/>
      <c r="L521" s="296"/>
      <c r="M521" s="296"/>
    </row>
    <row r="522" spans="8:13" ht="13">
      <c r="H522" s="296"/>
      <c r="I522" s="296"/>
      <c r="J522" s="296"/>
      <c r="K522" s="296"/>
      <c r="L522" s="296"/>
      <c r="M522" s="296"/>
    </row>
    <row r="523" spans="8:13" ht="13">
      <c r="H523" s="296"/>
      <c r="I523" s="296"/>
      <c r="J523" s="296"/>
      <c r="K523" s="296"/>
      <c r="L523" s="296"/>
      <c r="M523" s="296"/>
    </row>
    <row r="524" spans="8:13" ht="13">
      <c r="H524" s="296"/>
      <c r="I524" s="296"/>
      <c r="J524" s="296"/>
      <c r="K524" s="296"/>
      <c r="L524" s="296"/>
      <c r="M524" s="296"/>
    </row>
    <row r="525" spans="8:13" ht="13">
      <c r="H525" s="296"/>
      <c r="I525" s="296"/>
      <c r="J525" s="296"/>
      <c r="K525" s="296"/>
      <c r="L525" s="296"/>
      <c r="M525" s="296"/>
    </row>
    <row r="526" spans="8:13" ht="13">
      <c r="H526" s="296"/>
      <c r="I526" s="296"/>
      <c r="J526" s="296"/>
      <c r="K526" s="296"/>
      <c r="L526" s="296"/>
      <c r="M526" s="296"/>
    </row>
    <row r="527" spans="8:13" ht="13">
      <c r="H527" s="296"/>
      <c r="I527" s="296"/>
      <c r="J527" s="296"/>
      <c r="K527" s="296"/>
      <c r="L527" s="296"/>
      <c r="M527" s="296"/>
    </row>
    <row r="528" spans="8:13" ht="13">
      <c r="H528" s="296"/>
      <c r="I528" s="296"/>
      <c r="J528" s="296"/>
      <c r="K528" s="296"/>
      <c r="L528" s="296"/>
      <c r="M528" s="296"/>
    </row>
    <row r="529" spans="8:13" ht="13">
      <c r="H529" s="296"/>
      <c r="I529" s="296"/>
      <c r="J529" s="296"/>
      <c r="K529" s="296"/>
      <c r="L529" s="296"/>
      <c r="M529" s="296"/>
    </row>
    <row r="530" spans="8:13" ht="13">
      <c r="H530" s="296"/>
      <c r="I530" s="296"/>
      <c r="J530" s="296"/>
      <c r="K530" s="296"/>
      <c r="L530" s="296"/>
      <c r="M530" s="296"/>
    </row>
    <row r="531" spans="8:13" ht="13">
      <c r="H531" s="296"/>
      <c r="I531" s="296"/>
      <c r="J531" s="296"/>
      <c r="K531" s="296"/>
      <c r="L531" s="296"/>
      <c r="M531" s="296"/>
    </row>
    <row r="532" spans="8:13" ht="13">
      <c r="H532" s="296"/>
      <c r="I532" s="296"/>
      <c r="J532" s="296"/>
      <c r="K532" s="296"/>
      <c r="L532" s="296"/>
      <c r="M532" s="296"/>
    </row>
    <row r="533" spans="8:13" ht="13">
      <c r="H533" s="296"/>
      <c r="I533" s="296"/>
      <c r="J533" s="296"/>
      <c r="K533" s="296"/>
      <c r="L533" s="296"/>
      <c r="M533" s="296"/>
    </row>
    <row r="534" spans="8:13" ht="13">
      <c r="H534" s="296"/>
      <c r="I534" s="296"/>
      <c r="J534" s="296"/>
      <c r="K534" s="296"/>
      <c r="L534" s="296"/>
      <c r="M534" s="296"/>
    </row>
    <row r="535" spans="8:13" ht="13">
      <c r="H535" s="296"/>
      <c r="I535" s="296"/>
      <c r="J535" s="296"/>
      <c r="K535" s="296"/>
      <c r="L535" s="296"/>
      <c r="M535" s="296"/>
    </row>
    <row r="536" spans="8:13" ht="13">
      <c r="H536" s="296"/>
      <c r="I536" s="296"/>
      <c r="J536" s="296"/>
      <c r="K536" s="296"/>
      <c r="L536" s="296"/>
      <c r="M536" s="296"/>
    </row>
    <row r="537" spans="8:13" ht="13">
      <c r="H537" s="296"/>
      <c r="I537" s="296"/>
      <c r="J537" s="296"/>
      <c r="K537" s="296"/>
      <c r="L537" s="296"/>
      <c r="M537" s="296"/>
    </row>
    <row r="538" spans="8:13" ht="13">
      <c r="H538" s="296"/>
      <c r="I538" s="296"/>
      <c r="J538" s="296"/>
      <c r="K538" s="296"/>
      <c r="L538" s="296"/>
      <c r="M538" s="296"/>
    </row>
    <row r="539" spans="8:13" ht="13">
      <c r="H539" s="296"/>
      <c r="I539" s="296"/>
      <c r="J539" s="296"/>
      <c r="K539" s="296"/>
      <c r="L539" s="296"/>
      <c r="M539" s="296"/>
    </row>
    <row r="540" spans="8:13" ht="13">
      <c r="H540" s="296"/>
      <c r="I540" s="296"/>
      <c r="J540" s="296"/>
      <c r="K540" s="296"/>
      <c r="L540" s="296"/>
      <c r="M540" s="296"/>
    </row>
    <row r="541" spans="8:13" ht="13">
      <c r="H541" s="296"/>
      <c r="I541" s="296"/>
      <c r="J541" s="296"/>
      <c r="K541" s="296"/>
      <c r="L541" s="296"/>
      <c r="M541" s="296"/>
    </row>
    <row r="542" spans="8:13" ht="13">
      <c r="H542" s="296"/>
      <c r="I542" s="296"/>
      <c r="J542" s="296"/>
      <c r="K542" s="296"/>
      <c r="L542" s="296"/>
      <c r="M542" s="296"/>
    </row>
    <row r="543" spans="8:13" ht="13">
      <c r="H543" s="296"/>
      <c r="I543" s="296"/>
      <c r="J543" s="296"/>
      <c r="K543" s="296"/>
      <c r="L543" s="296"/>
      <c r="M543" s="296"/>
    </row>
    <row r="544" spans="8:13" ht="13">
      <c r="H544" s="296"/>
      <c r="I544" s="296"/>
      <c r="J544" s="296"/>
      <c r="K544" s="296"/>
      <c r="L544" s="296"/>
      <c r="M544" s="296"/>
    </row>
    <row r="545" spans="8:13" ht="13">
      <c r="H545" s="296"/>
      <c r="I545" s="296"/>
      <c r="J545" s="296"/>
      <c r="K545" s="296"/>
      <c r="L545" s="296"/>
      <c r="M545" s="296"/>
    </row>
    <row r="546" spans="8:13" ht="13">
      <c r="H546" s="296"/>
      <c r="I546" s="296"/>
      <c r="J546" s="296"/>
      <c r="K546" s="296"/>
      <c r="L546" s="296"/>
      <c r="M546" s="296"/>
    </row>
    <row r="547" spans="8:13" ht="13">
      <c r="H547" s="296"/>
      <c r="I547" s="296"/>
      <c r="J547" s="296"/>
      <c r="K547" s="296"/>
      <c r="L547" s="296"/>
      <c r="M547" s="296"/>
    </row>
    <row r="548" spans="8:13" ht="13">
      <c r="H548" s="296"/>
      <c r="I548" s="296"/>
      <c r="J548" s="296"/>
      <c r="K548" s="296"/>
      <c r="L548" s="296"/>
      <c r="M548" s="296"/>
    </row>
    <row r="549" spans="8:13" ht="13">
      <c r="H549" s="296"/>
      <c r="I549" s="296"/>
      <c r="J549" s="296"/>
      <c r="K549" s="296"/>
      <c r="L549" s="296"/>
      <c r="M549" s="296"/>
    </row>
    <row r="550" spans="8:13" ht="13">
      <c r="H550" s="296"/>
      <c r="I550" s="296"/>
      <c r="J550" s="296"/>
      <c r="K550" s="296"/>
      <c r="L550" s="296"/>
      <c r="M550" s="296"/>
    </row>
    <row r="551" spans="8:13" ht="13">
      <c r="H551" s="296"/>
      <c r="I551" s="296"/>
      <c r="J551" s="296"/>
      <c r="K551" s="296"/>
      <c r="L551" s="296"/>
      <c r="M551" s="296"/>
    </row>
    <row r="552" spans="8:13" ht="13">
      <c r="H552" s="296"/>
      <c r="I552" s="296"/>
      <c r="J552" s="296"/>
      <c r="K552" s="296"/>
      <c r="L552" s="296"/>
      <c r="M552" s="296"/>
    </row>
    <row r="553" spans="8:13" ht="13">
      <c r="H553" s="296"/>
      <c r="I553" s="296"/>
      <c r="J553" s="296"/>
      <c r="K553" s="296"/>
      <c r="L553" s="296"/>
      <c r="M553" s="296"/>
    </row>
    <row r="554" spans="8:13" ht="13">
      <c r="H554" s="296"/>
      <c r="I554" s="296"/>
      <c r="J554" s="296"/>
      <c r="K554" s="296"/>
      <c r="L554" s="296"/>
      <c r="M554" s="296"/>
    </row>
    <row r="555" spans="8:13" ht="13">
      <c r="H555" s="296"/>
      <c r="I555" s="296"/>
      <c r="J555" s="296"/>
      <c r="K555" s="296"/>
      <c r="L555" s="296"/>
      <c r="M555" s="296"/>
    </row>
    <row r="556" spans="8:13" ht="13">
      <c r="H556" s="296"/>
      <c r="I556" s="296"/>
      <c r="J556" s="296"/>
      <c r="K556" s="296"/>
      <c r="L556" s="296"/>
      <c r="M556" s="296"/>
    </row>
    <row r="557" spans="8:13" ht="13">
      <c r="H557" s="296"/>
      <c r="I557" s="296"/>
      <c r="J557" s="296"/>
      <c r="K557" s="296"/>
      <c r="L557" s="296"/>
      <c r="M557" s="296"/>
    </row>
    <row r="558" spans="8:13" ht="13">
      <c r="H558" s="296"/>
      <c r="I558" s="296"/>
      <c r="J558" s="296"/>
      <c r="K558" s="296"/>
      <c r="L558" s="296"/>
      <c r="M558" s="296"/>
    </row>
    <row r="559" spans="8:13" ht="13">
      <c r="H559" s="296"/>
      <c r="I559" s="296"/>
      <c r="J559" s="296"/>
      <c r="K559" s="296"/>
      <c r="L559" s="296"/>
      <c r="M559" s="296"/>
    </row>
    <row r="560" spans="8:13" ht="13">
      <c r="H560" s="296"/>
      <c r="I560" s="296"/>
      <c r="J560" s="296"/>
      <c r="K560" s="296"/>
      <c r="L560" s="296"/>
      <c r="M560" s="296"/>
    </row>
    <row r="561" spans="8:13" ht="13">
      <c r="H561" s="296"/>
      <c r="I561" s="296"/>
      <c r="J561" s="296"/>
      <c r="K561" s="296"/>
      <c r="L561" s="296"/>
      <c r="M561" s="296"/>
    </row>
    <row r="562" spans="8:13" ht="13">
      <c r="H562" s="296"/>
      <c r="I562" s="296"/>
      <c r="J562" s="296"/>
      <c r="K562" s="296"/>
      <c r="L562" s="296"/>
      <c r="M562" s="296"/>
    </row>
    <row r="563" spans="8:13" ht="13">
      <c r="H563" s="296"/>
      <c r="I563" s="296"/>
      <c r="J563" s="296"/>
      <c r="K563" s="296"/>
      <c r="L563" s="296"/>
      <c r="M563" s="296"/>
    </row>
    <row r="564" spans="8:13" ht="13">
      <c r="H564" s="296"/>
      <c r="I564" s="296"/>
      <c r="J564" s="296"/>
      <c r="K564" s="296"/>
      <c r="L564" s="296"/>
      <c r="M564" s="296"/>
    </row>
    <row r="565" spans="8:13" ht="13">
      <c r="H565" s="296"/>
      <c r="I565" s="296"/>
      <c r="J565" s="296"/>
      <c r="K565" s="296"/>
      <c r="L565" s="296"/>
      <c r="M565" s="296"/>
    </row>
    <row r="566" spans="8:13" ht="13">
      <c r="H566" s="296"/>
      <c r="I566" s="296"/>
      <c r="J566" s="296"/>
      <c r="K566" s="296"/>
      <c r="L566" s="296"/>
      <c r="M566" s="296"/>
    </row>
    <row r="567" spans="8:13" ht="13">
      <c r="H567" s="296"/>
      <c r="I567" s="296"/>
      <c r="J567" s="296"/>
      <c r="K567" s="296"/>
      <c r="L567" s="296"/>
      <c r="M567" s="296"/>
    </row>
    <row r="568" spans="8:13" ht="13">
      <c r="H568" s="296"/>
      <c r="I568" s="296"/>
      <c r="J568" s="296"/>
      <c r="K568" s="296"/>
      <c r="L568" s="296"/>
      <c r="M568" s="296"/>
    </row>
    <row r="569" spans="8:13" ht="13">
      <c r="H569" s="296"/>
      <c r="I569" s="296"/>
      <c r="J569" s="296"/>
      <c r="K569" s="296"/>
      <c r="L569" s="296"/>
      <c r="M569" s="296"/>
    </row>
    <row r="570" spans="8:13" ht="13">
      <c r="H570" s="296"/>
      <c r="I570" s="296"/>
      <c r="J570" s="296"/>
      <c r="K570" s="296"/>
      <c r="L570" s="296"/>
      <c r="M570" s="296"/>
    </row>
    <row r="571" spans="8:13" ht="13">
      <c r="H571" s="296"/>
      <c r="I571" s="296"/>
      <c r="J571" s="296"/>
      <c r="K571" s="296"/>
      <c r="L571" s="296"/>
      <c r="M571" s="296"/>
    </row>
    <row r="572" spans="8:13" ht="13">
      <c r="H572" s="296"/>
      <c r="I572" s="296"/>
      <c r="J572" s="296"/>
      <c r="K572" s="296"/>
      <c r="L572" s="296"/>
      <c r="M572" s="296"/>
    </row>
    <row r="573" spans="8:13" ht="13">
      <c r="H573" s="296"/>
      <c r="I573" s="296"/>
      <c r="J573" s="296"/>
      <c r="K573" s="296"/>
      <c r="L573" s="296"/>
      <c r="M573" s="296"/>
    </row>
    <row r="574" spans="8:13" ht="13">
      <c r="H574" s="296"/>
      <c r="I574" s="296"/>
      <c r="J574" s="296"/>
      <c r="K574" s="296"/>
      <c r="L574" s="296"/>
      <c r="M574" s="296"/>
    </row>
    <row r="575" spans="8:13" ht="13">
      <c r="H575" s="296"/>
      <c r="I575" s="296"/>
      <c r="J575" s="296"/>
      <c r="K575" s="296"/>
      <c r="L575" s="296"/>
      <c r="M575" s="296"/>
    </row>
    <row r="576" spans="8:13" ht="13">
      <c r="H576" s="296"/>
      <c r="I576" s="296"/>
      <c r="J576" s="296"/>
      <c r="K576" s="296"/>
      <c r="L576" s="296"/>
      <c r="M576" s="296"/>
    </row>
    <row r="577" spans="8:13" ht="13">
      <c r="H577" s="296"/>
      <c r="I577" s="296"/>
      <c r="J577" s="296"/>
      <c r="K577" s="296"/>
      <c r="L577" s="296"/>
      <c r="M577" s="296"/>
    </row>
    <row r="578" spans="8:13" ht="13">
      <c r="H578" s="296"/>
      <c r="I578" s="296"/>
      <c r="J578" s="296"/>
      <c r="K578" s="296"/>
      <c r="L578" s="296"/>
      <c r="M578" s="296"/>
    </row>
    <row r="579" spans="8:13" ht="13">
      <c r="H579" s="296"/>
      <c r="I579" s="296"/>
      <c r="J579" s="296"/>
      <c r="K579" s="296"/>
      <c r="L579" s="296"/>
      <c r="M579" s="296"/>
    </row>
    <row r="580" spans="8:13" ht="13">
      <c r="H580" s="296"/>
      <c r="I580" s="296"/>
      <c r="J580" s="296"/>
      <c r="K580" s="296"/>
      <c r="L580" s="296"/>
      <c r="M580" s="296"/>
    </row>
    <row r="581" spans="8:13" ht="13">
      <c r="H581" s="296"/>
      <c r="I581" s="296"/>
      <c r="J581" s="296"/>
      <c r="K581" s="296"/>
      <c r="L581" s="296"/>
      <c r="M581" s="296"/>
    </row>
    <row r="582" spans="8:13" ht="13">
      <c r="H582" s="296"/>
      <c r="I582" s="296"/>
      <c r="J582" s="296"/>
      <c r="K582" s="296"/>
      <c r="L582" s="296"/>
      <c r="M582" s="296"/>
    </row>
    <row r="583" spans="8:13" ht="13">
      <c r="H583" s="296"/>
      <c r="I583" s="296"/>
      <c r="J583" s="296"/>
      <c r="K583" s="296"/>
      <c r="L583" s="296"/>
      <c r="M583" s="296"/>
    </row>
    <row r="584" spans="8:13" ht="13">
      <c r="H584" s="296"/>
      <c r="I584" s="296"/>
      <c r="J584" s="296"/>
      <c r="K584" s="296"/>
      <c r="L584" s="296"/>
      <c r="M584" s="296"/>
    </row>
    <row r="585" spans="8:13" ht="13">
      <c r="H585" s="296"/>
      <c r="I585" s="296"/>
      <c r="J585" s="296"/>
      <c r="K585" s="296"/>
      <c r="L585" s="296"/>
      <c r="M585" s="296"/>
    </row>
    <row r="586" spans="8:13" ht="13">
      <c r="H586" s="296"/>
      <c r="I586" s="296"/>
      <c r="J586" s="296"/>
      <c r="K586" s="296"/>
      <c r="L586" s="296"/>
      <c r="M586" s="296"/>
    </row>
    <row r="587" spans="8:13" ht="13">
      <c r="H587" s="296"/>
      <c r="I587" s="296"/>
      <c r="J587" s="296"/>
      <c r="K587" s="296"/>
      <c r="L587" s="296"/>
      <c r="M587" s="296"/>
    </row>
    <row r="588" spans="8:13" ht="13">
      <c r="H588" s="296"/>
      <c r="I588" s="296"/>
      <c r="J588" s="296"/>
      <c r="K588" s="296"/>
      <c r="L588" s="296"/>
      <c r="M588" s="296"/>
    </row>
    <row r="589" spans="8:13" ht="13">
      <c r="H589" s="296"/>
      <c r="I589" s="296"/>
      <c r="J589" s="296"/>
      <c r="K589" s="296"/>
      <c r="L589" s="296"/>
      <c r="M589" s="296"/>
    </row>
    <row r="590" spans="8:13" ht="13">
      <c r="H590" s="296"/>
      <c r="I590" s="296"/>
      <c r="J590" s="296"/>
      <c r="K590" s="296"/>
      <c r="L590" s="296"/>
      <c r="M590" s="296"/>
    </row>
    <row r="591" spans="8:13" ht="13">
      <c r="H591" s="296"/>
      <c r="I591" s="296"/>
      <c r="J591" s="296"/>
      <c r="K591" s="296"/>
      <c r="L591" s="296"/>
      <c r="M591" s="296"/>
    </row>
    <row r="592" spans="8:13" ht="13">
      <c r="H592" s="296"/>
      <c r="I592" s="296"/>
      <c r="J592" s="296"/>
      <c r="K592" s="296"/>
      <c r="L592" s="296"/>
      <c r="M592" s="296"/>
    </row>
    <row r="593" spans="8:13" ht="13">
      <c r="H593" s="296"/>
      <c r="I593" s="296"/>
      <c r="J593" s="296"/>
      <c r="K593" s="296"/>
      <c r="L593" s="296"/>
      <c r="M593" s="296"/>
    </row>
    <row r="594" spans="8:13" ht="13">
      <c r="H594" s="296"/>
      <c r="I594" s="296"/>
      <c r="J594" s="296"/>
      <c r="K594" s="296"/>
      <c r="L594" s="296"/>
      <c r="M594" s="296"/>
    </row>
    <row r="595" spans="8:13" ht="13">
      <c r="H595" s="296"/>
      <c r="I595" s="296"/>
      <c r="J595" s="296"/>
      <c r="K595" s="296"/>
      <c r="L595" s="296"/>
      <c r="M595" s="296"/>
    </row>
    <row r="596" spans="8:13" ht="13">
      <c r="H596" s="296"/>
      <c r="I596" s="296"/>
      <c r="J596" s="296"/>
      <c r="K596" s="296"/>
      <c r="L596" s="296"/>
      <c r="M596" s="296"/>
    </row>
    <row r="597" spans="8:13" ht="13">
      <c r="H597" s="296"/>
      <c r="I597" s="296"/>
      <c r="J597" s="296"/>
      <c r="K597" s="296"/>
      <c r="L597" s="296"/>
      <c r="M597" s="296"/>
    </row>
    <row r="598" spans="8:13" ht="13">
      <c r="H598" s="296"/>
      <c r="I598" s="296"/>
      <c r="J598" s="296"/>
      <c r="K598" s="296"/>
      <c r="L598" s="296"/>
      <c r="M598" s="296"/>
    </row>
    <row r="599" spans="8:13" ht="13">
      <c r="H599" s="296"/>
      <c r="I599" s="296"/>
      <c r="J599" s="296"/>
      <c r="K599" s="296"/>
      <c r="L599" s="296"/>
      <c r="M599" s="296"/>
    </row>
    <row r="600" spans="8:13" ht="13">
      <c r="H600" s="296"/>
      <c r="I600" s="296"/>
      <c r="J600" s="296"/>
      <c r="K600" s="296"/>
      <c r="L600" s="296"/>
      <c r="M600" s="296"/>
    </row>
    <row r="601" spans="8:13" ht="13">
      <c r="H601" s="296"/>
      <c r="I601" s="296"/>
      <c r="J601" s="296"/>
      <c r="K601" s="296"/>
      <c r="L601" s="296"/>
      <c r="M601" s="296"/>
    </row>
    <row r="602" spans="8:13" ht="13">
      <c r="H602" s="296"/>
      <c r="I602" s="296"/>
      <c r="J602" s="296"/>
      <c r="K602" s="296"/>
      <c r="L602" s="296"/>
      <c r="M602" s="296"/>
    </row>
    <row r="603" spans="8:13" ht="13">
      <c r="H603" s="296"/>
      <c r="I603" s="296"/>
      <c r="J603" s="296"/>
      <c r="K603" s="296"/>
      <c r="L603" s="296"/>
      <c r="M603" s="296"/>
    </row>
    <row r="604" spans="8:13" ht="13">
      <c r="H604" s="296"/>
      <c r="I604" s="296"/>
      <c r="J604" s="296"/>
      <c r="K604" s="296"/>
      <c r="L604" s="296"/>
      <c r="M604" s="296"/>
    </row>
    <row r="605" spans="8:13" ht="13">
      <c r="H605" s="296"/>
      <c r="I605" s="296"/>
      <c r="J605" s="296"/>
      <c r="K605" s="296"/>
      <c r="L605" s="296"/>
      <c r="M605" s="296"/>
    </row>
    <row r="606" spans="8:13" ht="13">
      <c r="H606" s="296"/>
      <c r="I606" s="296"/>
      <c r="J606" s="296"/>
      <c r="K606" s="296"/>
      <c r="L606" s="296"/>
      <c r="M606" s="296"/>
    </row>
    <row r="607" spans="8:13" ht="13">
      <c r="H607" s="296"/>
      <c r="I607" s="296"/>
      <c r="J607" s="296"/>
      <c r="K607" s="296"/>
      <c r="L607" s="296"/>
      <c r="M607" s="296"/>
    </row>
    <row r="608" spans="8:13" ht="13">
      <c r="H608" s="296"/>
      <c r="I608" s="296"/>
      <c r="J608" s="296"/>
      <c r="K608" s="296"/>
      <c r="L608" s="296"/>
      <c r="M608" s="296"/>
    </row>
    <row r="609" spans="8:13" ht="13">
      <c r="H609" s="296"/>
      <c r="I609" s="296"/>
      <c r="J609" s="296"/>
      <c r="K609" s="296"/>
      <c r="L609" s="296"/>
      <c r="M609" s="296"/>
    </row>
    <row r="610" spans="8:13" ht="13">
      <c r="H610" s="296"/>
      <c r="I610" s="296"/>
      <c r="J610" s="296"/>
      <c r="K610" s="296"/>
      <c r="L610" s="296"/>
      <c r="M610" s="296"/>
    </row>
    <row r="611" spans="8:13" ht="13">
      <c r="H611" s="296"/>
      <c r="I611" s="296"/>
      <c r="J611" s="296"/>
      <c r="K611" s="296"/>
      <c r="L611" s="296"/>
      <c r="M611" s="296"/>
    </row>
    <row r="612" spans="8:13" ht="13">
      <c r="H612" s="296"/>
      <c r="I612" s="296"/>
      <c r="J612" s="296"/>
      <c r="K612" s="296"/>
      <c r="L612" s="296"/>
      <c r="M612" s="296"/>
    </row>
    <row r="613" spans="8:13" ht="13">
      <c r="H613" s="296"/>
      <c r="I613" s="296"/>
      <c r="J613" s="296"/>
      <c r="K613" s="296"/>
      <c r="L613" s="296"/>
      <c r="M613" s="296"/>
    </row>
    <row r="614" spans="8:13" ht="13">
      <c r="H614" s="296"/>
      <c r="I614" s="296"/>
      <c r="J614" s="296"/>
      <c r="K614" s="296"/>
      <c r="L614" s="296"/>
      <c r="M614" s="296"/>
    </row>
    <row r="615" spans="8:13" ht="13">
      <c r="H615" s="296"/>
      <c r="I615" s="296"/>
      <c r="J615" s="296"/>
      <c r="K615" s="296"/>
      <c r="L615" s="296"/>
      <c r="M615" s="296"/>
    </row>
    <row r="616" spans="8:13" ht="13">
      <c r="H616" s="296"/>
      <c r="I616" s="296"/>
      <c r="J616" s="296"/>
      <c r="K616" s="296"/>
      <c r="L616" s="296"/>
      <c r="M616" s="296"/>
    </row>
    <row r="617" spans="8:13" ht="13">
      <c r="H617" s="296"/>
      <c r="I617" s="296"/>
      <c r="J617" s="296"/>
      <c r="K617" s="296"/>
      <c r="L617" s="296"/>
      <c r="M617" s="296"/>
    </row>
    <row r="618" spans="8:13" ht="13">
      <c r="H618" s="296"/>
      <c r="I618" s="296"/>
      <c r="J618" s="296"/>
      <c r="K618" s="296"/>
      <c r="L618" s="296"/>
      <c r="M618" s="296"/>
    </row>
    <row r="619" spans="8:13" ht="13">
      <c r="H619" s="296"/>
      <c r="I619" s="296"/>
      <c r="J619" s="296"/>
      <c r="K619" s="296"/>
      <c r="L619" s="296"/>
      <c r="M619" s="296"/>
    </row>
    <row r="620" spans="8:13" ht="13">
      <c r="H620" s="296"/>
      <c r="I620" s="296"/>
      <c r="J620" s="296"/>
      <c r="K620" s="296"/>
      <c r="L620" s="296"/>
      <c r="M620" s="296"/>
    </row>
    <row r="621" spans="8:13" ht="13">
      <c r="H621" s="296"/>
      <c r="I621" s="296"/>
      <c r="J621" s="296"/>
      <c r="K621" s="296"/>
      <c r="L621" s="296"/>
      <c r="M621" s="296"/>
    </row>
    <row r="622" spans="8:13" ht="13">
      <c r="H622" s="296"/>
      <c r="I622" s="296"/>
      <c r="J622" s="296"/>
      <c r="K622" s="296"/>
      <c r="L622" s="296"/>
      <c r="M622" s="296"/>
    </row>
    <row r="623" spans="8:13" ht="13">
      <c r="H623" s="296"/>
      <c r="I623" s="296"/>
      <c r="J623" s="296"/>
      <c r="K623" s="296"/>
      <c r="L623" s="296"/>
      <c r="M623" s="296"/>
    </row>
    <row r="624" spans="8:13" ht="13">
      <c r="H624" s="296"/>
      <c r="I624" s="296"/>
      <c r="J624" s="296"/>
      <c r="K624" s="296"/>
      <c r="L624" s="296"/>
      <c r="M624" s="296"/>
    </row>
    <row r="625" spans="8:13" ht="13">
      <c r="H625" s="296"/>
      <c r="I625" s="296"/>
      <c r="J625" s="296"/>
      <c r="K625" s="296"/>
      <c r="L625" s="296"/>
      <c r="M625" s="296"/>
    </row>
    <row r="626" spans="8:13" ht="13">
      <c r="H626" s="296"/>
      <c r="I626" s="296"/>
      <c r="J626" s="296"/>
      <c r="K626" s="296"/>
      <c r="L626" s="296"/>
      <c r="M626" s="296"/>
    </row>
    <row r="627" spans="8:13" ht="13">
      <c r="H627" s="296"/>
      <c r="I627" s="296"/>
      <c r="J627" s="296"/>
      <c r="K627" s="296"/>
      <c r="L627" s="296"/>
      <c r="M627" s="296"/>
    </row>
    <row r="628" spans="8:13" ht="13">
      <c r="H628" s="296"/>
      <c r="I628" s="296"/>
      <c r="J628" s="296"/>
      <c r="K628" s="296"/>
      <c r="L628" s="296"/>
      <c r="M628" s="296"/>
    </row>
    <row r="629" spans="8:13" ht="13">
      <c r="H629" s="296"/>
      <c r="I629" s="296"/>
      <c r="J629" s="296"/>
      <c r="K629" s="296"/>
      <c r="L629" s="296"/>
      <c r="M629" s="296"/>
    </row>
    <row r="630" spans="8:13" ht="13">
      <c r="H630" s="296"/>
      <c r="I630" s="296"/>
      <c r="J630" s="296"/>
      <c r="K630" s="296"/>
      <c r="L630" s="296"/>
      <c r="M630" s="296"/>
    </row>
    <row r="631" spans="8:13" ht="13">
      <c r="H631" s="296"/>
      <c r="I631" s="296"/>
      <c r="J631" s="296"/>
      <c r="K631" s="296"/>
      <c r="L631" s="296"/>
      <c r="M631" s="296"/>
    </row>
    <row r="632" spans="8:13" ht="13">
      <c r="H632" s="296"/>
      <c r="I632" s="296"/>
      <c r="J632" s="296"/>
      <c r="K632" s="296"/>
      <c r="L632" s="296"/>
      <c r="M632" s="296"/>
    </row>
    <row r="633" spans="8:13" ht="13">
      <c r="H633" s="296"/>
      <c r="I633" s="296"/>
      <c r="J633" s="296"/>
      <c r="K633" s="296"/>
      <c r="L633" s="296"/>
      <c r="M633" s="296"/>
    </row>
    <row r="634" spans="8:13" ht="13">
      <c r="H634" s="296"/>
      <c r="I634" s="296"/>
      <c r="J634" s="296"/>
      <c r="K634" s="296"/>
      <c r="L634" s="296"/>
      <c r="M634" s="296"/>
    </row>
    <row r="635" spans="8:13" ht="13">
      <c r="H635" s="296"/>
      <c r="I635" s="296"/>
      <c r="J635" s="296"/>
      <c r="K635" s="296"/>
      <c r="L635" s="296"/>
      <c r="M635" s="296"/>
    </row>
    <row r="636" spans="8:13" ht="13">
      <c r="H636" s="296"/>
      <c r="I636" s="296"/>
      <c r="J636" s="296"/>
      <c r="K636" s="296"/>
      <c r="L636" s="296"/>
      <c r="M636" s="296"/>
    </row>
    <row r="637" spans="8:13" ht="13">
      <c r="H637" s="296"/>
      <c r="I637" s="296"/>
      <c r="J637" s="296"/>
      <c r="K637" s="296"/>
      <c r="L637" s="296"/>
      <c r="M637" s="296"/>
    </row>
    <row r="638" spans="8:13" ht="13">
      <c r="H638" s="296"/>
      <c r="I638" s="296"/>
      <c r="J638" s="296"/>
      <c r="K638" s="296"/>
      <c r="L638" s="296"/>
      <c r="M638" s="296"/>
    </row>
    <row r="639" spans="8:13" ht="13">
      <c r="H639" s="296"/>
      <c r="I639" s="296"/>
      <c r="J639" s="296"/>
      <c r="K639" s="296"/>
      <c r="L639" s="296"/>
      <c r="M639" s="296"/>
    </row>
    <row r="640" spans="8:13" ht="13">
      <c r="H640" s="296"/>
      <c r="I640" s="296"/>
      <c r="J640" s="296"/>
      <c r="K640" s="296"/>
      <c r="L640" s="296"/>
      <c r="M640" s="296"/>
    </row>
    <row r="641" spans="8:13" ht="13">
      <c r="H641" s="296"/>
      <c r="I641" s="296"/>
      <c r="J641" s="296"/>
      <c r="K641" s="296"/>
      <c r="L641" s="296"/>
      <c r="M641" s="296"/>
    </row>
    <row r="642" spans="8:13" ht="13">
      <c r="H642" s="296"/>
      <c r="I642" s="296"/>
      <c r="J642" s="296"/>
      <c r="K642" s="296"/>
      <c r="L642" s="296"/>
      <c r="M642" s="296"/>
    </row>
    <row r="643" spans="8:13" ht="13">
      <c r="H643" s="296"/>
      <c r="I643" s="296"/>
      <c r="J643" s="296"/>
      <c r="K643" s="296"/>
      <c r="L643" s="296"/>
      <c r="M643" s="296"/>
    </row>
    <row r="644" spans="8:13" ht="13">
      <c r="H644" s="296"/>
      <c r="I644" s="296"/>
      <c r="J644" s="296"/>
      <c r="K644" s="296"/>
      <c r="L644" s="296"/>
      <c r="M644" s="296"/>
    </row>
    <row r="645" spans="8:13" ht="13">
      <c r="H645" s="296"/>
      <c r="I645" s="296"/>
      <c r="J645" s="296"/>
      <c r="K645" s="296"/>
      <c r="L645" s="296"/>
      <c r="M645" s="296"/>
    </row>
    <row r="646" spans="8:13" ht="13">
      <c r="H646" s="296"/>
      <c r="I646" s="296"/>
      <c r="J646" s="296"/>
      <c r="K646" s="296"/>
      <c r="L646" s="296"/>
      <c r="M646" s="296"/>
    </row>
    <row r="647" spans="8:13" ht="13">
      <c r="H647" s="296"/>
      <c r="I647" s="296"/>
      <c r="J647" s="296"/>
      <c r="K647" s="296"/>
      <c r="L647" s="296"/>
      <c r="M647" s="296"/>
    </row>
    <row r="648" spans="8:13" ht="13">
      <c r="H648" s="296"/>
      <c r="I648" s="296"/>
      <c r="J648" s="296"/>
      <c r="K648" s="296"/>
      <c r="L648" s="296"/>
      <c r="M648" s="296"/>
    </row>
    <row r="649" spans="8:13" ht="13">
      <c r="H649" s="296"/>
      <c r="I649" s="296"/>
      <c r="J649" s="296"/>
      <c r="K649" s="296"/>
      <c r="L649" s="296"/>
      <c r="M649" s="296"/>
    </row>
    <row r="650" spans="8:13" ht="13">
      <c r="H650" s="296"/>
      <c r="I650" s="296"/>
      <c r="J650" s="296"/>
      <c r="K650" s="296"/>
      <c r="L650" s="296"/>
      <c r="M650" s="296"/>
    </row>
    <row r="651" spans="8:13" ht="13">
      <c r="H651" s="296"/>
      <c r="I651" s="296"/>
      <c r="J651" s="296"/>
      <c r="K651" s="296"/>
      <c r="L651" s="296"/>
      <c r="M651" s="296"/>
    </row>
    <row r="652" spans="8:13" ht="13">
      <c r="H652" s="296"/>
      <c r="I652" s="296"/>
      <c r="J652" s="296"/>
      <c r="K652" s="296"/>
      <c r="L652" s="296"/>
      <c r="M652" s="296"/>
    </row>
    <row r="653" spans="8:13" ht="13">
      <c r="H653" s="296"/>
      <c r="I653" s="296"/>
      <c r="J653" s="296"/>
      <c r="K653" s="296"/>
      <c r="L653" s="296"/>
      <c r="M653" s="296"/>
    </row>
    <row r="654" spans="8:13" ht="13">
      <c r="H654" s="296"/>
      <c r="I654" s="296"/>
      <c r="J654" s="296"/>
      <c r="K654" s="296"/>
      <c r="L654" s="296"/>
      <c r="M654" s="296"/>
    </row>
    <row r="655" spans="8:13" ht="13">
      <c r="H655" s="296"/>
      <c r="I655" s="296"/>
      <c r="J655" s="296"/>
      <c r="K655" s="296"/>
      <c r="L655" s="296"/>
      <c r="M655" s="296"/>
    </row>
    <row r="656" spans="8:13" ht="13">
      <c r="H656" s="296"/>
      <c r="I656" s="296"/>
      <c r="J656" s="296"/>
      <c r="K656" s="296"/>
      <c r="L656" s="296"/>
      <c r="M656" s="296"/>
    </row>
    <row r="657" spans="8:13" ht="13">
      <c r="H657" s="296"/>
      <c r="I657" s="296"/>
      <c r="J657" s="296"/>
      <c r="K657" s="296"/>
      <c r="L657" s="296"/>
      <c r="M657" s="296"/>
    </row>
    <row r="658" spans="8:13" ht="13">
      <c r="H658" s="296"/>
      <c r="I658" s="296"/>
      <c r="J658" s="296"/>
      <c r="K658" s="296"/>
      <c r="L658" s="296"/>
      <c r="M658" s="296"/>
    </row>
    <row r="659" spans="8:13" ht="13">
      <c r="H659" s="296"/>
      <c r="I659" s="296"/>
      <c r="J659" s="296"/>
      <c r="K659" s="296"/>
      <c r="L659" s="296"/>
      <c r="M659" s="296"/>
    </row>
    <row r="660" spans="8:13" ht="13">
      <c r="H660" s="296"/>
      <c r="I660" s="296"/>
      <c r="J660" s="296"/>
      <c r="K660" s="296"/>
      <c r="L660" s="296"/>
      <c r="M660" s="296"/>
    </row>
    <row r="661" spans="8:13" ht="13">
      <c r="H661" s="296"/>
      <c r="I661" s="296"/>
      <c r="J661" s="296"/>
      <c r="K661" s="296"/>
      <c r="L661" s="296"/>
      <c r="M661" s="296"/>
    </row>
    <row r="662" spans="8:13" ht="13">
      <c r="H662" s="296"/>
      <c r="I662" s="296"/>
      <c r="J662" s="296"/>
      <c r="K662" s="296"/>
      <c r="L662" s="296"/>
      <c r="M662" s="296"/>
    </row>
    <row r="663" spans="8:13" ht="13">
      <c r="H663" s="296"/>
      <c r="I663" s="296"/>
      <c r="J663" s="296"/>
      <c r="K663" s="296"/>
      <c r="L663" s="296"/>
      <c r="M663" s="296"/>
    </row>
    <row r="664" spans="8:13" ht="13">
      <c r="H664" s="296"/>
      <c r="I664" s="296"/>
      <c r="J664" s="296"/>
      <c r="K664" s="296"/>
      <c r="L664" s="296"/>
      <c r="M664" s="296"/>
    </row>
    <row r="665" spans="8:13" ht="13">
      <c r="H665" s="296"/>
      <c r="I665" s="296"/>
      <c r="J665" s="296"/>
      <c r="K665" s="296"/>
      <c r="L665" s="296"/>
      <c r="M665" s="296"/>
    </row>
    <row r="666" spans="8:13" ht="13">
      <c r="H666" s="296"/>
      <c r="I666" s="296"/>
      <c r="J666" s="296"/>
      <c r="K666" s="296"/>
      <c r="L666" s="296"/>
      <c r="M666" s="296"/>
    </row>
    <row r="667" spans="8:13" ht="13">
      <c r="H667" s="296"/>
      <c r="I667" s="296"/>
      <c r="J667" s="296"/>
      <c r="K667" s="296"/>
      <c r="L667" s="296"/>
      <c r="M667" s="296"/>
    </row>
    <row r="668" spans="8:13" ht="13">
      <c r="H668" s="296"/>
      <c r="I668" s="296"/>
      <c r="J668" s="296"/>
      <c r="K668" s="296"/>
      <c r="L668" s="296"/>
      <c r="M668" s="296"/>
    </row>
    <row r="669" spans="8:13" ht="13">
      <c r="H669" s="296"/>
      <c r="I669" s="296"/>
      <c r="J669" s="296"/>
      <c r="K669" s="296"/>
      <c r="L669" s="296"/>
      <c r="M669" s="296"/>
    </row>
    <row r="670" spans="8:13" ht="13">
      <c r="H670" s="296"/>
      <c r="I670" s="296"/>
      <c r="J670" s="296"/>
      <c r="K670" s="296"/>
      <c r="L670" s="296"/>
      <c r="M670" s="296"/>
    </row>
    <row r="671" spans="8:13" ht="13">
      <c r="H671" s="296"/>
      <c r="I671" s="296"/>
      <c r="J671" s="296"/>
      <c r="K671" s="296"/>
      <c r="L671" s="296"/>
      <c r="M671" s="296"/>
    </row>
    <row r="672" spans="8:13" ht="13">
      <c r="H672" s="296"/>
      <c r="I672" s="296"/>
      <c r="J672" s="296"/>
      <c r="K672" s="296"/>
      <c r="L672" s="296"/>
      <c r="M672" s="296"/>
    </row>
    <row r="673" spans="8:13" ht="13">
      <c r="H673" s="296"/>
      <c r="I673" s="296"/>
      <c r="J673" s="296"/>
      <c r="K673" s="296"/>
      <c r="L673" s="296"/>
      <c r="M673" s="296"/>
    </row>
    <row r="674" spans="8:13" ht="13">
      <c r="H674" s="296"/>
      <c r="I674" s="296"/>
      <c r="J674" s="296"/>
      <c r="K674" s="296"/>
      <c r="L674" s="296"/>
      <c r="M674" s="296"/>
    </row>
    <row r="675" spans="8:13" ht="13">
      <c r="H675" s="296"/>
      <c r="I675" s="296"/>
      <c r="J675" s="296"/>
      <c r="K675" s="296"/>
      <c r="L675" s="296"/>
      <c r="M675" s="296"/>
    </row>
    <row r="676" spans="8:13" ht="13">
      <c r="H676" s="296"/>
      <c r="I676" s="296"/>
      <c r="J676" s="296"/>
      <c r="K676" s="296"/>
      <c r="L676" s="296"/>
      <c r="M676" s="296"/>
    </row>
    <row r="677" spans="8:13" ht="13">
      <c r="H677" s="296"/>
      <c r="I677" s="296"/>
      <c r="J677" s="296"/>
      <c r="K677" s="296"/>
      <c r="L677" s="296"/>
      <c r="M677" s="296"/>
    </row>
    <row r="678" spans="8:13" ht="13">
      <c r="H678" s="296"/>
      <c r="I678" s="296"/>
      <c r="J678" s="296"/>
      <c r="K678" s="296"/>
      <c r="L678" s="296"/>
      <c r="M678" s="296"/>
    </row>
    <row r="679" spans="8:13" ht="13">
      <c r="H679" s="296"/>
      <c r="I679" s="296"/>
      <c r="J679" s="296"/>
      <c r="K679" s="296"/>
      <c r="L679" s="296"/>
      <c r="M679" s="296"/>
    </row>
    <row r="680" spans="8:13" ht="13">
      <c r="H680" s="296"/>
      <c r="I680" s="296"/>
      <c r="J680" s="296"/>
      <c r="K680" s="296"/>
      <c r="L680" s="296"/>
      <c r="M680" s="296"/>
    </row>
    <row r="681" spans="8:13" ht="13">
      <c r="H681" s="296"/>
      <c r="I681" s="296"/>
      <c r="J681" s="296"/>
      <c r="K681" s="296"/>
      <c r="L681" s="296"/>
      <c r="M681" s="296"/>
    </row>
    <row r="682" spans="8:13" ht="13">
      <c r="H682" s="296"/>
      <c r="I682" s="296"/>
      <c r="J682" s="296"/>
      <c r="K682" s="296"/>
      <c r="L682" s="296"/>
      <c r="M682" s="296"/>
    </row>
    <row r="683" spans="8:13" ht="13">
      <c r="H683" s="296"/>
      <c r="I683" s="296"/>
      <c r="J683" s="296"/>
      <c r="K683" s="296"/>
      <c r="L683" s="296"/>
      <c r="M683" s="296"/>
    </row>
    <row r="684" spans="8:13" ht="13">
      <c r="H684" s="296"/>
      <c r="I684" s="296"/>
      <c r="J684" s="296"/>
      <c r="K684" s="296"/>
      <c r="L684" s="296"/>
      <c r="M684" s="296"/>
    </row>
    <row r="685" spans="8:13" ht="13">
      <c r="H685" s="296"/>
      <c r="I685" s="296"/>
      <c r="J685" s="296"/>
      <c r="K685" s="296"/>
      <c r="L685" s="296"/>
      <c r="M685" s="296"/>
    </row>
    <row r="686" spans="8:13" ht="13">
      <c r="H686" s="296"/>
      <c r="I686" s="296"/>
      <c r="J686" s="296"/>
      <c r="K686" s="296"/>
      <c r="L686" s="296"/>
      <c r="M686" s="296"/>
    </row>
    <row r="687" spans="8:13" ht="13">
      <c r="H687" s="296"/>
      <c r="I687" s="296"/>
      <c r="J687" s="296"/>
      <c r="K687" s="296"/>
      <c r="L687" s="296"/>
      <c r="M687" s="296"/>
    </row>
    <row r="688" spans="8:13" ht="13">
      <c r="H688" s="296"/>
      <c r="I688" s="296"/>
      <c r="J688" s="296"/>
      <c r="K688" s="296"/>
      <c r="L688" s="296"/>
      <c r="M688" s="296"/>
    </row>
    <row r="689" spans="8:13" ht="13">
      <c r="H689" s="296"/>
      <c r="I689" s="296"/>
      <c r="J689" s="296"/>
      <c r="K689" s="296"/>
      <c r="L689" s="296"/>
      <c r="M689" s="296"/>
    </row>
    <row r="690" spans="8:13" ht="13">
      <c r="H690" s="296"/>
      <c r="I690" s="296"/>
      <c r="J690" s="296"/>
      <c r="K690" s="296"/>
      <c r="L690" s="296"/>
      <c r="M690" s="296"/>
    </row>
    <row r="691" spans="8:13" ht="13">
      <c r="H691" s="296"/>
      <c r="I691" s="296"/>
      <c r="J691" s="296"/>
      <c r="K691" s="296"/>
      <c r="L691" s="296"/>
      <c r="M691" s="296"/>
    </row>
    <row r="692" spans="8:13" ht="13">
      <c r="H692" s="296"/>
      <c r="I692" s="296"/>
      <c r="J692" s="296"/>
      <c r="K692" s="296"/>
      <c r="L692" s="296"/>
      <c r="M692" s="296"/>
    </row>
    <row r="693" spans="8:13" ht="13">
      <c r="H693" s="296"/>
      <c r="I693" s="296"/>
      <c r="J693" s="296"/>
      <c r="K693" s="296"/>
      <c r="L693" s="296"/>
      <c r="M693" s="296"/>
    </row>
    <row r="694" spans="8:13" ht="13">
      <c r="H694" s="296"/>
      <c r="I694" s="296"/>
      <c r="J694" s="296"/>
      <c r="K694" s="296"/>
      <c r="L694" s="296"/>
      <c r="M694" s="296"/>
    </row>
    <row r="695" spans="8:13" ht="13">
      <c r="H695" s="296"/>
      <c r="I695" s="296"/>
      <c r="J695" s="296"/>
      <c r="K695" s="296"/>
      <c r="L695" s="296"/>
      <c r="M695" s="296"/>
    </row>
    <row r="696" spans="8:13" ht="13">
      <c r="H696" s="296"/>
      <c r="I696" s="296"/>
      <c r="J696" s="296"/>
      <c r="K696" s="296"/>
      <c r="L696" s="296"/>
      <c r="M696" s="296"/>
    </row>
    <row r="697" spans="8:13" ht="13">
      <c r="H697" s="296"/>
      <c r="I697" s="296"/>
      <c r="J697" s="296"/>
      <c r="K697" s="296"/>
      <c r="L697" s="296"/>
      <c r="M697" s="296"/>
    </row>
    <row r="698" spans="8:13" ht="13">
      <c r="H698" s="296"/>
      <c r="I698" s="296"/>
      <c r="J698" s="296"/>
      <c r="K698" s="296"/>
      <c r="L698" s="296"/>
      <c r="M698" s="296"/>
    </row>
    <row r="699" spans="8:13" ht="13">
      <c r="H699" s="296"/>
      <c r="I699" s="296"/>
      <c r="J699" s="296"/>
      <c r="K699" s="296"/>
      <c r="L699" s="296"/>
      <c r="M699" s="296"/>
    </row>
    <row r="700" spans="8:13" ht="13">
      <c r="H700" s="296"/>
      <c r="I700" s="296"/>
      <c r="J700" s="296"/>
      <c r="K700" s="296"/>
      <c r="L700" s="296"/>
      <c r="M700" s="296"/>
    </row>
    <row r="701" spans="8:13" ht="13">
      <c r="H701" s="296"/>
      <c r="I701" s="296"/>
      <c r="J701" s="296"/>
      <c r="K701" s="296"/>
      <c r="L701" s="296"/>
      <c r="M701" s="296"/>
    </row>
    <row r="702" spans="8:13" ht="13">
      <c r="H702" s="296"/>
      <c r="I702" s="296"/>
      <c r="J702" s="296"/>
      <c r="K702" s="296"/>
      <c r="L702" s="296"/>
      <c r="M702" s="296"/>
    </row>
    <row r="703" spans="8:13" ht="13">
      <c r="H703" s="296"/>
      <c r="I703" s="296"/>
      <c r="J703" s="296"/>
      <c r="K703" s="296"/>
      <c r="L703" s="296"/>
      <c r="M703" s="296"/>
    </row>
    <row r="704" spans="8:13" ht="13">
      <c r="H704" s="296"/>
      <c r="I704" s="296"/>
      <c r="J704" s="296"/>
      <c r="K704" s="296"/>
      <c r="L704" s="296"/>
      <c r="M704" s="296"/>
    </row>
    <row r="705" spans="8:13" ht="13">
      <c r="H705" s="296"/>
      <c r="I705" s="296"/>
      <c r="J705" s="296"/>
      <c r="K705" s="296"/>
      <c r="L705" s="296"/>
      <c r="M705" s="296"/>
    </row>
    <row r="706" spans="8:13" ht="13">
      <c r="H706" s="296"/>
      <c r="I706" s="296"/>
      <c r="J706" s="296"/>
      <c r="K706" s="296"/>
      <c r="L706" s="296"/>
      <c r="M706" s="296"/>
    </row>
    <row r="707" spans="8:13" ht="13">
      <c r="H707" s="296"/>
      <c r="I707" s="296"/>
      <c r="J707" s="296"/>
      <c r="K707" s="296"/>
      <c r="L707" s="296"/>
      <c r="M707" s="296"/>
    </row>
    <row r="708" spans="8:13" ht="13">
      <c r="H708" s="296"/>
      <c r="I708" s="296"/>
      <c r="J708" s="296"/>
      <c r="K708" s="296"/>
      <c r="L708" s="296"/>
      <c r="M708" s="296"/>
    </row>
    <row r="709" spans="8:13" ht="13">
      <c r="H709" s="296"/>
      <c r="I709" s="296"/>
      <c r="J709" s="296"/>
      <c r="K709" s="296"/>
      <c r="L709" s="296"/>
      <c r="M709" s="296"/>
    </row>
    <row r="710" spans="8:13" ht="13">
      <c r="H710" s="296"/>
      <c r="I710" s="296"/>
      <c r="J710" s="296"/>
      <c r="K710" s="296"/>
      <c r="L710" s="296"/>
      <c r="M710" s="296"/>
    </row>
    <row r="711" spans="8:13" ht="13">
      <c r="H711" s="296"/>
      <c r="I711" s="296"/>
      <c r="J711" s="296"/>
      <c r="K711" s="296"/>
      <c r="L711" s="296"/>
      <c r="M711" s="296"/>
    </row>
    <row r="712" spans="8:13" ht="13">
      <c r="H712" s="296"/>
      <c r="I712" s="296"/>
      <c r="J712" s="296"/>
      <c r="K712" s="296"/>
      <c r="L712" s="296"/>
      <c r="M712" s="296"/>
    </row>
    <row r="713" spans="8:13" ht="13">
      <c r="H713" s="296"/>
      <c r="I713" s="296"/>
      <c r="J713" s="296"/>
      <c r="K713" s="296"/>
      <c r="L713" s="296"/>
      <c r="M713" s="296"/>
    </row>
    <row r="714" spans="8:13" ht="13">
      <c r="H714" s="296"/>
      <c r="I714" s="296"/>
      <c r="J714" s="296"/>
      <c r="K714" s="296"/>
      <c r="L714" s="296"/>
      <c r="M714" s="296"/>
    </row>
    <row r="715" spans="8:13" ht="13">
      <c r="H715" s="296"/>
      <c r="I715" s="296"/>
      <c r="J715" s="296"/>
      <c r="K715" s="296"/>
      <c r="L715" s="296"/>
      <c r="M715" s="296"/>
    </row>
    <row r="716" spans="8:13" ht="13">
      <c r="H716" s="296"/>
      <c r="I716" s="296"/>
      <c r="J716" s="296"/>
      <c r="K716" s="296"/>
      <c r="L716" s="296"/>
      <c r="M716" s="296"/>
    </row>
    <row r="717" spans="8:13" ht="13">
      <c r="H717" s="296"/>
      <c r="I717" s="296"/>
      <c r="J717" s="296"/>
      <c r="K717" s="296"/>
      <c r="L717" s="296"/>
      <c r="M717" s="296"/>
    </row>
    <row r="718" spans="8:13" ht="13">
      <c r="H718" s="296"/>
      <c r="I718" s="296"/>
      <c r="J718" s="296"/>
      <c r="K718" s="296"/>
      <c r="L718" s="296"/>
      <c r="M718" s="296"/>
    </row>
    <row r="719" spans="8:13" ht="13">
      <c r="H719" s="296"/>
      <c r="I719" s="296"/>
      <c r="J719" s="296"/>
      <c r="K719" s="296"/>
      <c r="L719" s="296"/>
      <c r="M719" s="296"/>
    </row>
    <row r="720" spans="8:13" ht="13">
      <c r="H720" s="296"/>
      <c r="I720" s="296"/>
      <c r="J720" s="296"/>
      <c r="K720" s="296"/>
      <c r="L720" s="296"/>
      <c r="M720" s="296"/>
    </row>
    <row r="721" spans="8:13" ht="13">
      <c r="H721" s="296"/>
      <c r="I721" s="296"/>
      <c r="J721" s="296"/>
      <c r="K721" s="296"/>
      <c r="L721" s="296"/>
      <c r="M721" s="296"/>
    </row>
    <row r="722" spans="8:13" ht="13">
      <c r="H722" s="296"/>
      <c r="I722" s="296"/>
      <c r="J722" s="296"/>
      <c r="K722" s="296"/>
      <c r="L722" s="296"/>
      <c r="M722" s="296"/>
    </row>
    <row r="723" spans="8:13" ht="13">
      <c r="H723" s="296"/>
      <c r="I723" s="296"/>
      <c r="J723" s="296"/>
      <c r="K723" s="296"/>
      <c r="L723" s="296"/>
      <c r="M723" s="296"/>
    </row>
    <row r="724" spans="8:13" ht="13">
      <c r="H724" s="296"/>
      <c r="I724" s="296"/>
      <c r="J724" s="296"/>
      <c r="K724" s="296"/>
      <c r="L724" s="296"/>
      <c r="M724" s="296"/>
    </row>
    <row r="725" spans="8:13" ht="13">
      <c r="H725" s="296"/>
      <c r="I725" s="296"/>
      <c r="J725" s="296"/>
      <c r="K725" s="296"/>
      <c r="L725" s="296"/>
      <c r="M725" s="296"/>
    </row>
    <row r="726" spans="8:13" ht="13">
      <c r="H726" s="296"/>
      <c r="I726" s="296"/>
      <c r="J726" s="296"/>
      <c r="K726" s="296"/>
      <c r="L726" s="296"/>
      <c r="M726" s="296"/>
    </row>
    <row r="727" spans="8:13" ht="13">
      <c r="H727" s="296"/>
      <c r="I727" s="296"/>
      <c r="J727" s="296"/>
      <c r="K727" s="296"/>
      <c r="L727" s="296"/>
      <c r="M727" s="296"/>
    </row>
    <row r="728" spans="8:13" ht="13">
      <c r="H728" s="296"/>
      <c r="I728" s="296"/>
      <c r="J728" s="296"/>
      <c r="K728" s="296"/>
      <c r="L728" s="296"/>
      <c r="M728" s="296"/>
    </row>
    <row r="729" spans="8:13" ht="13">
      <c r="H729" s="296"/>
      <c r="I729" s="296"/>
      <c r="J729" s="296"/>
      <c r="K729" s="296"/>
      <c r="L729" s="296"/>
      <c r="M729" s="296"/>
    </row>
    <row r="730" spans="8:13" ht="13">
      <c r="H730" s="296"/>
      <c r="I730" s="296"/>
      <c r="J730" s="296"/>
      <c r="K730" s="296"/>
      <c r="L730" s="296"/>
      <c r="M730" s="296"/>
    </row>
    <row r="731" spans="8:13" ht="13">
      <c r="H731" s="296"/>
      <c r="I731" s="296"/>
      <c r="J731" s="296"/>
      <c r="K731" s="296"/>
      <c r="L731" s="296"/>
      <c r="M731" s="296"/>
    </row>
    <row r="732" spans="8:13" ht="13">
      <c r="H732" s="296"/>
      <c r="I732" s="296"/>
      <c r="J732" s="296"/>
      <c r="K732" s="296"/>
      <c r="L732" s="296"/>
      <c r="M732" s="296"/>
    </row>
    <row r="733" spans="8:13" ht="13">
      <c r="H733" s="296"/>
      <c r="I733" s="296"/>
      <c r="J733" s="296"/>
      <c r="K733" s="296"/>
      <c r="L733" s="296"/>
      <c r="M733" s="296"/>
    </row>
    <row r="734" spans="8:13" ht="13">
      <c r="H734" s="296"/>
      <c r="I734" s="296"/>
      <c r="J734" s="296"/>
      <c r="K734" s="296"/>
      <c r="L734" s="296"/>
      <c r="M734" s="296"/>
    </row>
    <row r="735" spans="8:13" ht="13">
      <c r="H735" s="296"/>
      <c r="I735" s="296"/>
      <c r="J735" s="296"/>
      <c r="K735" s="296"/>
      <c r="L735" s="296"/>
      <c r="M735" s="296"/>
    </row>
    <row r="736" spans="8:13" ht="13">
      <c r="H736" s="296"/>
      <c r="I736" s="296"/>
      <c r="J736" s="296"/>
      <c r="K736" s="296"/>
      <c r="L736" s="296"/>
      <c r="M736" s="296"/>
    </row>
    <row r="737" spans="8:13" ht="13">
      <c r="H737" s="296"/>
      <c r="I737" s="296"/>
      <c r="J737" s="296"/>
      <c r="K737" s="296"/>
      <c r="L737" s="296"/>
      <c r="M737" s="296"/>
    </row>
    <row r="738" spans="8:13" ht="13">
      <c r="H738" s="296"/>
      <c r="I738" s="296"/>
      <c r="J738" s="296"/>
      <c r="K738" s="296"/>
      <c r="L738" s="296"/>
      <c r="M738" s="296"/>
    </row>
    <row r="739" spans="8:13" ht="13">
      <c r="H739" s="296"/>
      <c r="I739" s="296"/>
      <c r="J739" s="296"/>
      <c r="K739" s="296"/>
      <c r="L739" s="296"/>
      <c r="M739" s="296"/>
    </row>
    <row r="740" spans="8:13" ht="13">
      <c r="H740" s="296"/>
      <c r="I740" s="296"/>
      <c r="J740" s="296"/>
      <c r="K740" s="296"/>
      <c r="L740" s="296"/>
      <c r="M740" s="296"/>
    </row>
    <row r="741" spans="8:13" ht="13">
      <c r="H741" s="296"/>
      <c r="I741" s="296"/>
      <c r="J741" s="296"/>
      <c r="K741" s="296"/>
      <c r="L741" s="296"/>
      <c r="M741" s="296"/>
    </row>
    <row r="742" spans="8:13" ht="13">
      <c r="H742" s="296"/>
      <c r="I742" s="296"/>
      <c r="J742" s="296"/>
      <c r="K742" s="296"/>
      <c r="L742" s="296"/>
      <c r="M742" s="296"/>
    </row>
    <row r="743" spans="8:13" ht="13">
      <c r="H743" s="296"/>
      <c r="I743" s="296"/>
      <c r="J743" s="296"/>
      <c r="K743" s="296"/>
      <c r="L743" s="296"/>
      <c r="M743" s="296"/>
    </row>
    <row r="744" spans="8:13" ht="13">
      <c r="H744" s="296"/>
      <c r="I744" s="296"/>
      <c r="J744" s="296"/>
      <c r="K744" s="296"/>
      <c r="L744" s="296"/>
      <c r="M744" s="296"/>
    </row>
    <row r="745" spans="8:13" ht="13">
      <c r="H745" s="296"/>
      <c r="I745" s="296"/>
      <c r="J745" s="296"/>
      <c r="K745" s="296"/>
      <c r="L745" s="296"/>
      <c r="M745" s="296"/>
    </row>
    <row r="746" spans="8:13" ht="13">
      <c r="H746" s="296"/>
      <c r="I746" s="296"/>
      <c r="J746" s="296"/>
      <c r="K746" s="296"/>
      <c r="L746" s="296"/>
      <c r="M746" s="296"/>
    </row>
    <row r="747" spans="8:13" ht="13">
      <c r="H747" s="296"/>
      <c r="I747" s="296"/>
      <c r="J747" s="296"/>
      <c r="K747" s="296"/>
      <c r="L747" s="296"/>
      <c r="M747" s="296"/>
    </row>
    <row r="748" spans="8:13" ht="13">
      <c r="H748" s="296"/>
      <c r="I748" s="296"/>
      <c r="J748" s="296"/>
      <c r="K748" s="296"/>
      <c r="L748" s="296"/>
      <c r="M748" s="296"/>
    </row>
    <row r="749" spans="8:13" ht="13">
      <c r="H749" s="296"/>
      <c r="I749" s="296"/>
      <c r="J749" s="296"/>
      <c r="K749" s="296"/>
      <c r="L749" s="296"/>
      <c r="M749" s="296"/>
    </row>
    <row r="750" spans="8:13" ht="13">
      <c r="H750" s="296"/>
      <c r="I750" s="296"/>
      <c r="J750" s="296"/>
      <c r="K750" s="296"/>
      <c r="L750" s="296"/>
      <c r="M750" s="296"/>
    </row>
    <row r="751" spans="8:13" ht="13">
      <c r="H751" s="296"/>
      <c r="I751" s="296"/>
      <c r="J751" s="296"/>
      <c r="K751" s="296"/>
      <c r="L751" s="296"/>
      <c r="M751" s="296"/>
    </row>
    <row r="752" spans="8:13" ht="13">
      <c r="H752" s="296"/>
      <c r="I752" s="296"/>
      <c r="J752" s="296"/>
      <c r="K752" s="296"/>
      <c r="L752" s="296"/>
      <c r="M752" s="296"/>
    </row>
    <row r="753" spans="8:13" ht="13">
      <c r="H753" s="296"/>
      <c r="I753" s="296"/>
      <c r="J753" s="296"/>
      <c r="K753" s="296"/>
      <c r="L753" s="296"/>
      <c r="M753" s="296"/>
    </row>
    <row r="754" spans="8:13" ht="13">
      <c r="H754" s="296"/>
      <c r="I754" s="296"/>
      <c r="J754" s="296"/>
      <c r="K754" s="296"/>
      <c r="L754" s="296"/>
      <c r="M754" s="296"/>
    </row>
    <row r="755" spans="8:13" ht="13">
      <c r="H755" s="296"/>
      <c r="I755" s="296"/>
      <c r="J755" s="296"/>
      <c r="K755" s="296"/>
      <c r="L755" s="296"/>
      <c r="M755" s="296"/>
    </row>
    <row r="756" spans="8:13" ht="13">
      <c r="H756" s="296"/>
      <c r="I756" s="296"/>
      <c r="J756" s="296"/>
      <c r="K756" s="296"/>
      <c r="L756" s="296"/>
      <c r="M756" s="296"/>
    </row>
    <row r="757" spans="8:13" ht="13">
      <c r="H757" s="296"/>
      <c r="I757" s="296"/>
      <c r="J757" s="296"/>
      <c r="K757" s="296"/>
      <c r="L757" s="296"/>
      <c r="M757" s="296"/>
    </row>
    <row r="758" spans="8:13" ht="13">
      <c r="H758" s="296"/>
      <c r="I758" s="296"/>
      <c r="J758" s="296"/>
      <c r="K758" s="296"/>
      <c r="L758" s="296"/>
      <c r="M758" s="296"/>
    </row>
    <row r="759" spans="8:13" ht="13">
      <c r="H759" s="296"/>
      <c r="I759" s="296"/>
      <c r="J759" s="296"/>
      <c r="K759" s="296"/>
      <c r="L759" s="296"/>
      <c r="M759" s="296"/>
    </row>
    <row r="760" spans="8:13" ht="13">
      <c r="H760" s="296"/>
      <c r="I760" s="296"/>
      <c r="J760" s="296"/>
      <c r="K760" s="296"/>
      <c r="L760" s="296"/>
      <c r="M760" s="296"/>
    </row>
    <row r="761" spans="8:13" ht="13">
      <c r="H761" s="296"/>
      <c r="I761" s="296"/>
      <c r="J761" s="296"/>
      <c r="K761" s="296"/>
      <c r="L761" s="296"/>
      <c r="M761" s="296"/>
    </row>
    <row r="762" spans="8:13" ht="13">
      <c r="H762" s="296"/>
      <c r="I762" s="296"/>
      <c r="J762" s="296"/>
      <c r="K762" s="296"/>
      <c r="L762" s="296"/>
      <c r="M762" s="296"/>
    </row>
    <row r="763" spans="8:13" ht="13">
      <c r="H763" s="296"/>
      <c r="I763" s="296"/>
      <c r="J763" s="296"/>
      <c r="K763" s="296"/>
      <c r="L763" s="296"/>
      <c r="M763" s="296"/>
    </row>
    <row r="764" spans="8:13" ht="13">
      <c r="H764" s="296"/>
      <c r="I764" s="296"/>
      <c r="J764" s="296"/>
      <c r="K764" s="296"/>
      <c r="L764" s="296"/>
      <c r="M764" s="296"/>
    </row>
    <row r="765" spans="8:13" ht="13">
      <c r="H765" s="296"/>
      <c r="I765" s="296"/>
      <c r="J765" s="296"/>
      <c r="K765" s="296"/>
      <c r="L765" s="296"/>
      <c r="M765" s="296"/>
    </row>
    <row r="766" spans="8:13" ht="13">
      <c r="H766" s="296"/>
      <c r="I766" s="296"/>
      <c r="J766" s="296"/>
      <c r="K766" s="296"/>
      <c r="L766" s="296"/>
      <c r="M766" s="296"/>
    </row>
    <row r="767" spans="8:13" ht="13">
      <c r="H767" s="296"/>
      <c r="I767" s="296"/>
      <c r="J767" s="296"/>
      <c r="K767" s="296"/>
      <c r="L767" s="296"/>
      <c r="M767" s="296"/>
    </row>
    <row r="768" spans="8:13" ht="13">
      <c r="H768" s="296"/>
      <c r="I768" s="296"/>
      <c r="J768" s="296"/>
      <c r="K768" s="296"/>
      <c r="L768" s="296"/>
      <c r="M768" s="296"/>
    </row>
    <row r="769" spans="8:13" ht="13">
      <c r="H769" s="296"/>
      <c r="I769" s="296"/>
      <c r="J769" s="296"/>
      <c r="K769" s="296"/>
      <c r="L769" s="296"/>
      <c r="M769" s="296"/>
    </row>
    <row r="770" spans="8:13" ht="13">
      <c r="H770" s="296"/>
      <c r="I770" s="296"/>
      <c r="J770" s="296"/>
      <c r="K770" s="296"/>
      <c r="L770" s="296"/>
      <c r="M770" s="296"/>
    </row>
    <row r="771" spans="8:13" ht="13">
      <c r="H771" s="296"/>
      <c r="I771" s="296"/>
      <c r="J771" s="296"/>
      <c r="K771" s="296"/>
      <c r="L771" s="296"/>
      <c r="M771" s="296"/>
    </row>
    <row r="772" spans="8:13" ht="13">
      <c r="H772" s="296"/>
      <c r="I772" s="296"/>
      <c r="J772" s="296"/>
      <c r="K772" s="296"/>
      <c r="L772" s="296"/>
      <c r="M772" s="296"/>
    </row>
    <row r="773" spans="8:13" ht="13">
      <c r="H773" s="296"/>
      <c r="I773" s="296"/>
      <c r="J773" s="296"/>
      <c r="K773" s="296"/>
      <c r="L773" s="296"/>
      <c r="M773" s="296"/>
    </row>
    <row r="774" spans="8:13" ht="13">
      <c r="H774" s="296"/>
      <c r="I774" s="296"/>
      <c r="J774" s="296"/>
      <c r="K774" s="296"/>
      <c r="L774" s="296"/>
      <c r="M774" s="296"/>
    </row>
    <row r="775" spans="8:13" ht="13">
      <c r="H775" s="296"/>
      <c r="I775" s="296"/>
      <c r="J775" s="296"/>
      <c r="K775" s="296"/>
      <c r="L775" s="296"/>
      <c r="M775" s="296"/>
    </row>
    <row r="776" spans="8:13" ht="13">
      <c r="H776" s="296"/>
      <c r="I776" s="296"/>
      <c r="J776" s="296"/>
      <c r="K776" s="296"/>
      <c r="L776" s="296"/>
      <c r="M776" s="296"/>
    </row>
    <row r="777" spans="8:13" ht="13">
      <c r="H777" s="296"/>
      <c r="I777" s="296"/>
      <c r="J777" s="296"/>
      <c r="K777" s="296"/>
      <c r="L777" s="296"/>
      <c r="M777" s="296"/>
    </row>
    <row r="778" spans="8:13" ht="13">
      <c r="H778" s="296"/>
      <c r="I778" s="296"/>
      <c r="J778" s="296"/>
      <c r="K778" s="296"/>
      <c r="L778" s="296"/>
      <c r="M778" s="296"/>
    </row>
    <row r="779" spans="8:13" ht="13">
      <c r="H779" s="296"/>
      <c r="I779" s="296"/>
      <c r="J779" s="296"/>
      <c r="K779" s="296"/>
      <c r="L779" s="296"/>
      <c r="M779" s="296"/>
    </row>
    <row r="780" spans="8:13" ht="13">
      <c r="H780" s="296"/>
      <c r="I780" s="296"/>
      <c r="J780" s="296"/>
      <c r="K780" s="296"/>
      <c r="L780" s="296"/>
      <c r="M780" s="296"/>
    </row>
    <row r="781" spans="8:13" ht="13">
      <c r="H781" s="296"/>
      <c r="I781" s="296"/>
      <c r="J781" s="296"/>
      <c r="K781" s="296"/>
      <c r="L781" s="296"/>
      <c r="M781" s="296"/>
    </row>
    <row r="782" spans="8:13" ht="13">
      <c r="H782" s="296"/>
      <c r="I782" s="296"/>
      <c r="J782" s="296"/>
      <c r="K782" s="296"/>
      <c r="L782" s="296"/>
      <c r="M782" s="296"/>
    </row>
    <row r="783" spans="8:13" ht="13">
      <c r="H783" s="296"/>
      <c r="I783" s="296"/>
      <c r="J783" s="296"/>
      <c r="K783" s="296"/>
      <c r="L783" s="296"/>
      <c r="M783" s="296"/>
    </row>
    <row r="784" spans="8:13" ht="13">
      <c r="H784" s="296"/>
      <c r="I784" s="296"/>
      <c r="J784" s="296"/>
      <c r="K784" s="296"/>
      <c r="L784" s="296"/>
      <c r="M784" s="296"/>
    </row>
    <row r="785" spans="8:13" ht="13">
      <c r="H785" s="296"/>
      <c r="I785" s="296"/>
      <c r="J785" s="296"/>
      <c r="K785" s="296"/>
      <c r="L785" s="296"/>
      <c r="M785" s="296"/>
    </row>
    <row r="786" spans="8:13" ht="13">
      <c r="H786" s="296"/>
      <c r="I786" s="296"/>
      <c r="J786" s="296"/>
      <c r="K786" s="296"/>
      <c r="L786" s="296"/>
      <c r="M786" s="296"/>
    </row>
    <row r="787" spans="8:13" ht="13">
      <c r="H787" s="296"/>
      <c r="I787" s="296"/>
      <c r="J787" s="296"/>
      <c r="K787" s="296"/>
      <c r="L787" s="296"/>
      <c r="M787" s="296"/>
    </row>
    <row r="788" spans="8:13" ht="13">
      <c r="H788" s="296"/>
      <c r="I788" s="296"/>
      <c r="J788" s="296"/>
      <c r="K788" s="296"/>
      <c r="L788" s="296"/>
      <c r="M788" s="296"/>
    </row>
    <row r="789" spans="8:13" ht="13">
      <c r="H789" s="296"/>
      <c r="I789" s="296"/>
      <c r="J789" s="296"/>
      <c r="K789" s="296"/>
      <c r="L789" s="296"/>
      <c r="M789" s="296"/>
    </row>
    <row r="790" spans="8:13" ht="13">
      <c r="H790" s="296"/>
      <c r="I790" s="296"/>
      <c r="J790" s="296"/>
      <c r="K790" s="296"/>
      <c r="L790" s="296"/>
      <c r="M790" s="296"/>
    </row>
    <row r="791" spans="8:13" ht="13">
      <c r="H791" s="296"/>
      <c r="I791" s="296"/>
      <c r="J791" s="296"/>
      <c r="K791" s="296"/>
      <c r="L791" s="296"/>
      <c r="M791" s="296"/>
    </row>
    <row r="792" spans="8:13" ht="13">
      <c r="H792" s="296"/>
      <c r="I792" s="296"/>
      <c r="J792" s="296"/>
      <c r="K792" s="296"/>
      <c r="L792" s="296"/>
      <c r="M792" s="296"/>
    </row>
    <row r="793" spans="8:13" ht="13">
      <c r="H793" s="296"/>
      <c r="I793" s="296"/>
      <c r="J793" s="296"/>
      <c r="K793" s="296"/>
      <c r="L793" s="296"/>
      <c r="M793" s="296"/>
    </row>
    <row r="794" spans="8:13" ht="13">
      <c r="H794" s="296"/>
      <c r="I794" s="296"/>
      <c r="J794" s="296"/>
      <c r="K794" s="296"/>
      <c r="L794" s="296"/>
      <c r="M794" s="296"/>
    </row>
    <row r="795" spans="8:13" ht="13">
      <c r="H795" s="296"/>
      <c r="I795" s="296"/>
      <c r="J795" s="296"/>
      <c r="K795" s="296"/>
      <c r="L795" s="296"/>
      <c r="M795" s="296"/>
    </row>
    <row r="796" spans="8:13" ht="13">
      <c r="H796" s="296"/>
      <c r="I796" s="296"/>
      <c r="J796" s="296"/>
      <c r="K796" s="296"/>
      <c r="L796" s="296"/>
      <c r="M796" s="296"/>
    </row>
    <row r="797" spans="8:13" ht="13">
      <c r="H797" s="296"/>
      <c r="I797" s="296"/>
      <c r="J797" s="296"/>
      <c r="K797" s="296"/>
      <c r="L797" s="296"/>
      <c r="M797" s="296"/>
    </row>
    <row r="798" spans="8:13" ht="13">
      <c r="H798" s="296"/>
      <c r="I798" s="296"/>
      <c r="J798" s="296"/>
      <c r="K798" s="296"/>
      <c r="L798" s="296"/>
      <c r="M798" s="296"/>
    </row>
    <row r="799" spans="8:13" ht="13">
      <c r="H799" s="296"/>
      <c r="I799" s="296"/>
      <c r="J799" s="296"/>
      <c r="K799" s="296"/>
      <c r="L799" s="296"/>
      <c r="M799" s="296"/>
    </row>
    <row r="800" spans="8:13" ht="13">
      <c r="H800" s="296"/>
      <c r="I800" s="296"/>
      <c r="J800" s="296"/>
      <c r="K800" s="296"/>
      <c r="L800" s="296"/>
      <c r="M800" s="296"/>
    </row>
    <row r="801" spans="8:13" ht="13">
      <c r="H801" s="296"/>
      <c r="I801" s="296"/>
      <c r="J801" s="296"/>
      <c r="K801" s="296"/>
      <c r="L801" s="296"/>
      <c r="M801" s="296"/>
    </row>
    <row r="802" spans="8:13" ht="13">
      <c r="H802" s="296"/>
      <c r="I802" s="296"/>
      <c r="J802" s="296"/>
      <c r="K802" s="296"/>
      <c r="L802" s="296"/>
      <c r="M802" s="296"/>
    </row>
    <row r="803" spans="8:13" ht="13">
      <c r="H803" s="296"/>
      <c r="I803" s="296"/>
      <c r="J803" s="296"/>
      <c r="K803" s="296"/>
      <c r="L803" s="296"/>
      <c r="M803" s="296"/>
    </row>
    <row r="804" spans="8:13" ht="13">
      <c r="H804" s="296"/>
      <c r="I804" s="296"/>
      <c r="J804" s="296"/>
      <c r="K804" s="296"/>
      <c r="L804" s="296"/>
      <c r="M804" s="296"/>
    </row>
    <row r="805" spans="8:13" ht="13">
      <c r="H805" s="296"/>
      <c r="I805" s="296"/>
      <c r="J805" s="296"/>
      <c r="K805" s="296"/>
      <c r="L805" s="296"/>
      <c r="M805" s="296"/>
    </row>
    <row r="806" spans="8:13" ht="13">
      <c r="H806" s="296"/>
      <c r="I806" s="296"/>
      <c r="J806" s="296"/>
      <c r="K806" s="296"/>
      <c r="L806" s="296"/>
      <c r="M806" s="296"/>
    </row>
    <row r="807" spans="8:13" ht="13">
      <c r="H807" s="296"/>
      <c r="I807" s="296"/>
      <c r="J807" s="296"/>
      <c r="K807" s="296"/>
      <c r="L807" s="296"/>
      <c r="M807" s="296"/>
    </row>
    <row r="808" spans="8:13" ht="13">
      <c r="H808" s="296"/>
      <c r="I808" s="296"/>
      <c r="J808" s="296"/>
      <c r="K808" s="296"/>
      <c r="L808" s="296"/>
      <c r="M808" s="296"/>
    </row>
    <row r="809" spans="8:13" ht="13">
      <c r="H809" s="296"/>
      <c r="I809" s="296"/>
      <c r="J809" s="296"/>
      <c r="K809" s="296"/>
      <c r="L809" s="296"/>
      <c r="M809" s="296"/>
    </row>
    <row r="810" spans="8:13" ht="13">
      <c r="H810" s="296"/>
      <c r="I810" s="296"/>
      <c r="J810" s="296"/>
      <c r="K810" s="296"/>
      <c r="L810" s="296"/>
      <c r="M810" s="296"/>
    </row>
    <row r="811" spans="8:13" ht="13">
      <c r="H811" s="296"/>
      <c r="I811" s="296"/>
      <c r="J811" s="296"/>
      <c r="K811" s="296"/>
      <c r="L811" s="296"/>
      <c r="M811" s="296"/>
    </row>
    <row r="812" spans="8:13" ht="13">
      <c r="H812" s="296"/>
      <c r="I812" s="296"/>
      <c r="J812" s="296"/>
      <c r="K812" s="296"/>
      <c r="L812" s="296"/>
      <c r="M812" s="296"/>
    </row>
    <row r="813" spans="8:13" ht="13">
      <c r="H813" s="296"/>
      <c r="I813" s="296"/>
      <c r="J813" s="296"/>
      <c r="K813" s="296"/>
      <c r="L813" s="296"/>
      <c r="M813" s="296"/>
    </row>
    <row r="814" spans="8:13" ht="13">
      <c r="H814" s="296"/>
      <c r="I814" s="296"/>
      <c r="J814" s="296"/>
      <c r="K814" s="296"/>
      <c r="L814" s="296"/>
      <c r="M814" s="296"/>
    </row>
    <row r="815" spans="8:13" ht="13">
      <c r="H815" s="296"/>
      <c r="I815" s="296"/>
      <c r="J815" s="296"/>
      <c r="K815" s="296"/>
      <c r="L815" s="296"/>
      <c r="M815" s="296"/>
    </row>
    <row r="816" spans="8:13" ht="13">
      <c r="H816" s="296"/>
      <c r="I816" s="296"/>
      <c r="J816" s="296"/>
      <c r="K816" s="296"/>
      <c r="L816" s="296"/>
      <c r="M816" s="296"/>
    </row>
    <row r="817" spans="8:13" ht="13">
      <c r="H817" s="296"/>
      <c r="I817" s="296"/>
      <c r="J817" s="296"/>
      <c r="K817" s="296"/>
      <c r="L817" s="296"/>
      <c r="M817" s="296"/>
    </row>
    <row r="818" spans="8:13" ht="13">
      <c r="H818" s="296"/>
      <c r="I818" s="296"/>
      <c r="J818" s="296"/>
      <c r="K818" s="296"/>
      <c r="L818" s="296"/>
      <c r="M818" s="296"/>
    </row>
    <row r="819" spans="8:13" ht="13">
      <c r="H819" s="296"/>
      <c r="I819" s="296"/>
      <c r="J819" s="296"/>
      <c r="K819" s="296"/>
      <c r="L819" s="296"/>
      <c r="M819" s="296"/>
    </row>
    <row r="820" spans="8:13" ht="13">
      <c r="H820" s="296"/>
      <c r="I820" s="296"/>
      <c r="J820" s="296"/>
      <c r="K820" s="296"/>
      <c r="L820" s="296"/>
      <c r="M820" s="296"/>
    </row>
    <row r="821" spans="8:13" ht="13">
      <c r="H821" s="296"/>
      <c r="I821" s="296"/>
      <c r="J821" s="296"/>
      <c r="K821" s="296"/>
      <c r="L821" s="296"/>
      <c r="M821" s="296"/>
    </row>
    <row r="822" spans="8:13" ht="13">
      <c r="H822" s="296"/>
      <c r="I822" s="296"/>
      <c r="J822" s="296"/>
      <c r="K822" s="296"/>
      <c r="L822" s="296"/>
      <c r="M822" s="296"/>
    </row>
    <row r="823" spans="8:13" ht="13">
      <c r="H823" s="296"/>
      <c r="I823" s="296"/>
      <c r="J823" s="296"/>
      <c r="K823" s="296"/>
      <c r="L823" s="296"/>
      <c r="M823" s="296"/>
    </row>
    <row r="824" spans="8:13" ht="13">
      <c r="H824" s="296"/>
      <c r="I824" s="296"/>
      <c r="J824" s="296"/>
      <c r="K824" s="296"/>
      <c r="L824" s="296"/>
      <c r="M824" s="296"/>
    </row>
    <row r="825" spans="8:13" ht="13">
      <c r="H825" s="296"/>
      <c r="I825" s="296"/>
      <c r="J825" s="296"/>
      <c r="K825" s="296"/>
      <c r="L825" s="296"/>
      <c r="M825" s="296"/>
    </row>
    <row r="826" spans="8:13" ht="13">
      <c r="H826" s="296"/>
      <c r="I826" s="296"/>
      <c r="J826" s="296"/>
      <c r="K826" s="296"/>
      <c r="L826" s="296"/>
      <c r="M826" s="296"/>
    </row>
    <row r="827" spans="8:13" ht="13">
      <c r="H827" s="296"/>
      <c r="I827" s="296"/>
      <c r="J827" s="296"/>
      <c r="K827" s="296"/>
      <c r="L827" s="296"/>
      <c r="M827" s="296"/>
    </row>
    <row r="828" spans="8:13" ht="13">
      <c r="H828" s="296"/>
      <c r="I828" s="296"/>
      <c r="J828" s="296"/>
      <c r="K828" s="296"/>
      <c r="L828" s="296"/>
      <c r="M828" s="296"/>
    </row>
    <row r="829" spans="8:13" ht="13">
      <c r="H829" s="296"/>
      <c r="I829" s="296"/>
      <c r="J829" s="296"/>
      <c r="K829" s="296"/>
      <c r="L829" s="296"/>
      <c r="M829" s="296"/>
    </row>
    <row r="830" spans="8:13" ht="13">
      <c r="H830" s="296"/>
      <c r="I830" s="296"/>
      <c r="J830" s="296"/>
      <c r="K830" s="296"/>
      <c r="L830" s="296"/>
      <c r="M830" s="296"/>
    </row>
    <row r="831" spans="8:13" ht="13">
      <c r="H831" s="296"/>
      <c r="I831" s="296"/>
      <c r="J831" s="296"/>
      <c r="K831" s="296"/>
      <c r="L831" s="296"/>
      <c r="M831" s="296"/>
    </row>
    <row r="832" spans="8:13" ht="13">
      <c r="H832" s="296"/>
      <c r="I832" s="296"/>
      <c r="J832" s="296"/>
      <c r="K832" s="296"/>
      <c r="L832" s="296"/>
      <c r="M832" s="296"/>
    </row>
    <row r="833" spans="8:13" ht="13">
      <c r="H833" s="296"/>
      <c r="I833" s="296"/>
      <c r="J833" s="296"/>
      <c r="K833" s="296"/>
      <c r="L833" s="296"/>
      <c r="M833" s="296"/>
    </row>
    <row r="834" spans="8:13" ht="13">
      <c r="H834" s="296"/>
      <c r="I834" s="296"/>
      <c r="J834" s="296"/>
      <c r="K834" s="296"/>
      <c r="L834" s="296"/>
      <c r="M834" s="296"/>
    </row>
    <row r="835" spans="8:13" ht="13">
      <c r="H835" s="296"/>
      <c r="I835" s="296"/>
      <c r="J835" s="296"/>
      <c r="K835" s="296"/>
      <c r="L835" s="296"/>
      <c r="M835" s="296"/>
    </row>
    <row r="836" spans="8:13" ht="13">
      <c r="H836" s="296"/>
      <c r="I836" s="296"/>
      <c r="J836" s="296"/>
      <c r="K836" s="296"/>
      <c r="L836" s="296"/>
      <c r="M836" s="296"/>
    </row>
    <row r="837" spans="8:13" ht="13">
      <c r="H837" s="296"/>
      <c r="I837" s="296"/>
      <c r="J837" s="296"/>
      <c r="K837" s="296"/>
      <c r="L837" s="296"/>
      <c r="M837" s="296"/>
    </row>
    <row r="838" spans="8:13" ht="13">
      <c r="H838" s="296"/>
      <c r="I838" s="296"/>
      <c r="J838" s="296"/>
      <c r="K838" s="296"/>
      <c r="L838" s="296"/>
      <c r="M838" s="296"/>
    </row>
    <row r="839" spans="8:13" ht="13">
      <c r="H839" s="296"/>
      <c r="I839" s="296"/>
      <c r="J839" s="296"/>
      <c r="K839" s="296"/>
      <c r="L839" s="296"/>
      <c r="M839" s="296"/>
    </row>
    <row r="840" spans="8:13" ht="13">
      <c r="H840" s="296"/>
      <c r="I840" s="296"/>
      <c r="J840" s="296"/>
      <c r="K840" s="296"/>
      <c r="L840" s="296"/>
      <c r="M840" s="296"/>
    </row>
    <row r="841" spans="8:13" ht="13">
      <c r="H841" s="296"/>
      <c r="I841" s="296"/>
      <c r="J841" s="296"/>
      <c r="K841" s="296"/>
      <c r="L841" s="296"/>
      <c r="M841" s="296"/>
    </row>
    <row r="842" spans="8:13" ht="13">
      <c r="H842" s="296"/>
      <c r="I842" s="296"/>
      <c r="J842" s="296"/>
      <c r="K842" s="296"/>
      <c r="L842" s="296"/>
      <c r="M842" s="296"/>
    </row>
    <row r="843" spans="8:13" ht="13">
      <c r="H843" s="296"/>
      <c r="I843" s="296"/>
      <c r="J843" s="296"/>
      <c r="K843" s="296"/>
      <c r="L843" s="296"/>
      <c r="M843" s="296"/>
    </row>
    <row r="844" spans="8:13" ht="13">
      <c r="H844" s="296"/>
      <c r="I844" s="296"/>
      <c r="J844" s="296"/>
      <c r="K844" s="296"/>
      <c r="L844" s="296"/>
      <c r="M844" s="296"/>
    </row>
    <row r="845" spans="8:13" ht="13">
      <c r="H845" s="296"/>
      <c r="I845" s="296"/>
      <c r="J845" s="296"/>
      <c r="K845" s="296"/>
      <c r="L845" s="296"/>
      <c r="M845" s="296"/>
    </row>
    <row r="846" spans="8:13" ht="13">
      <c r="H846" s="296"/>
      <c r="I846" s="296"/>
      <c r="J846" s="296"/>
      <c r="K846" s="296"/>
      <c r="L846" s="296"/>
      <c r="M846" s="296"/>
    </row>
    <row r="847" spans="8:13" ht="13">
      <c r="H847" s="296"/>
      <c r="I847" s="296"/>
      <c r="J847" s="296"/>
      <c r="K847" s="296"/>
      <c r="L847" s="296"/>
      <c r="M847" s="296"/>
    </row>
    <row r="848" spans="8:13" ht="13">
      <c r="H848" s="296"/>
      <c r="I848" s="296"/>
      <c r="J848" s="296"/>
      <c r="K848" s="296"/>
      <c r="L848" s="296"/>
      <c r="M848" s="296"/>
    </row>
    <row r="849" spans="8:13" ht="13">
      <c r="H849" s="296"/>
      <c r="I849" s="296"/>
      <c r="J849" s="296"/>
      <c r="K849" s="296"/>
      <c r="L849" s="296"/>
      <c r="M849" s="296"/>
    </row>
    <row r="850" spans="8:13" ht="13">
      <c r="H850" s="296"/>
      <c r="I850" s="296"/>
      <c r="J850" s="296"/>
      <c r="K850" s="296"/>
      <c r="L850" s="296"/>
      <c r="M850" s="296"/>
    </row>
    <row r="851" spans="8:13" ht="13">
      <c r="H851" s="296"/>
      <c r="I851" s="296"/>
      <c r="J851" s="296"/>
      <c r="K851" s="296"/>
      <c r="L851" s="296"/>
      <c r="M851" s="296"/>
    </row>
    <row r="852" spans="8:13" ht="13">
      <c r="H852" s="296"/>
      <c r="I852" s="296"/>
      <c r="J852" s="296"/>
      <c r="K852" s="296"/>
      <c r="L852" s="296"/>
      <c r="M852" s="296"/>
    </row>
    <row r="853" spans="8:13" ht="13">
      <c r="H853" s="296"/>
      <c r="I853" s="296"/>
      <c r="J853" s="296"/>
      <c r="K853" s="296"/>
      <c r="L853" s="296"/>
      <c r="M853" s="296"/>
    </row>
    <row r="854" spans="8:13" ht="13">
      <c r="H854" s="296"/>
      <c r="I854" s="296"/>
      <c r="J854" s="296"/>
      <c r="K854" s="296"/>
      <c r="L854" s="296"/>
      <c r="M854" s="296"/>
    </row>
    <row r="855" spans="8:13" ht="13">
      <c r="H855" s="296"/>
      <c r="I855" s="296"/>
      <c r="J855" s="296"/>
      <c r="K855" s="296"/>
      <c r="L855" s="296"/>
      <c r="M855" s="296"/>
    </row>
    <row r="856" spans="8:13" ht="13">
      <c r="H856" s="296"/>
      <c r="I856" s="296"/>
      <c r="J856" s="296"/>
      <c r="K856" s="296"/>
      <c r="L856" s="296"/>
      <c r="M856" s="296"/>
    </row>
    <row r="857" spans="8:13" ht="13">
      <c r="H857" s="296"/>
      <c r="I857" s="296"/>
      <c r="J857" s="296"/>
      <c r="K857" s="296"/>
      <c r="L857" s="296"/>
      <c r="M857" s="296"/>
    </row>
    <row r="858" spans="8:13" ht="13">
      <c r="H858" s="296"/>
      <c r="I858" s="296"/>
      <c r="J858" s="296"/>
      <c r="K858" s="296"/>
      <c r="L858" s="296"/>
      <c r="M858" s="296"/>
    </row>
    <row r="859" spans="8:13" ht="13">
      <c r="H859" s="296"/>
      <c r="I859" s="296"/>
      <c r="J859" s="296"/>
      <c r="K859" s="296"/>
      <c r="L859" s="296"/>
      <c r="M859" s="296"/>
    </row>
    <row r="860" spans="8:13" ht="13">
      <c r="H860" s="296"/>
      <c r="I860" s="296"/>
      <c r="J860" s="296"/>
      <c r="K860" s="296"/>
      <c r="L860" s="296"/>
      <c r="M860" s="296"/>
    </row>
    <row r="861" spans="8:13" ht="13">
      <c r="H861" s="296"/>
      <c r="I861" s="296"/>
      <c r="J861" s="296"/>
      <c r="K861" s="296"/>
      <c r="L861" s="296"/>
      <c r="M861" s="296"/>
    </row>
    <row r="862" spans="8:13" ht="13">
      <c r="H862" s="296"/>
      <c r="I862" s="296"/>
      <c r="J862" s="296"/>
      <c r="K862" s="296"/>
      <c r="L862" s="296"/>
      <c r="M862" s="296"/>
    </row>
    <row r="863" spans="8:13" ht="13">
      <c r="H863" s="296"/>
      <c r="I863" s="296"/>
      <c r="J863" s="296"/>
      <c r="K863" s="296"/>
      <c r="L863" s="296"/>
      <c r="M863" s="296"/>
    </row>
    <row r="864" spans="8:13" ht="13">
      <c r="H864" s="296"/>
      <c r="I864" s="296"/>
      <c r="J864" s="296"/>
      <c r="K864" s="296"/>
      <c r="L864" s="296"/>
      <c r="M864" s="296"/>
    </row>
    <row r="865" spans="8:13" ht="13">
      <c r="H865" s="296"/>
      <c r="I865" s="296"/>
      <c r="J865" s="296"/>
      <c r="K865" s="296"/>
      <c r="L865" s="296"/>
      <c r="M865" s="296"/>
    </row>
    <row r="866" spans="8:13" ht="13">
      <c r="H866" s="296"/>
      <c r="I866" s="296"/>
      <c r="J866" s="296"/>
      <c r="K866" s="296"/>
      <c r="L866" s="296"/>
      <c r="M866" s="296"/>
    </row>
    <row r="867" spans="8:13" ht="13">
      <c r="H867" s="296"/>
      <c r="I867" s="296"/>
      <c r="J867" s="296"/>
      <c r="K867" s="296"/>
      <c r="L867" s="296"/>
      <c r="M867" s="296"/>
    </row>
    <row r="868" spans="8:13" ht="13">
      <c r="H868" s="296"/>
      <c r="I868" s="296"/>
      <c r="J868" s="296"/>
      <c r="K868" s="296"/>
      <c r="L868" s="296"/>
      <c r="M868" s="296"/>
    </row>
    <row r="869" spans="8:13" ht="13">
      <c r="H869" s="296"/>
      <c r="I869" s="296"/>
      <c r="J869" s="296"/>
      <c r="K869" s="296"/>
      <c r="L869" s="296"/>
      <c r="M869" s="296"/>
    </row>
    <row r="870" spans="8:13" ht="13">
      <c r="H870" s="296"/>
      <c r="I870" s="296"/>
      <c r="J870" s="296"/>
      <c r="K870" s="296"/>
      <c r="L870" s="296"/>
      <c r="M870" s="296"/>
    </row>
    <row r="871" spans="8:13" ht="13">
      <c r="H871" s="296"/>
      <c r="I871" s="296"/>
      <c r="J871" s="296"/>
      <c r="K871" s="296"/>
      <c r="L871" s="296"/>
      <c r="M871" s="296"/>
    </row>
    <row r="872" spans="8:13" ht="13">
      <c r="H872" s="296"/>
      <c r="I872" s="296"/>
      <c r="J872" s="296"/>
      <c r="K872" s="296"/>
      <c r="L872" s="296"/>
      <c r="M872" s="296"/>
    </row>
    <row r="873" spans="8:13" ht="13">
      <c r="H873" s="296"/>
      <c r="I873" s="296"/>
      <c r="J873" s="296"/>
      <c r="K873" s="296"/>
      <c r="L873" s="296"/>
      <c r="M873" s="296"/>
    </row>
    <row r="874" spans="8:13" ht="13">
      <c r="H874" s="296"/>
      <c r="I874" s="296"/>
      <c r="J874" s="296"/>
      <c r="K874" s="296"/>
      <c r="L874" s="296"/>
      <c r="M874" s="296"/>
    </row>
    <row r="875" spans="8:13" ht="13">
      <c r="H875" s="296"/>
      <c r="I875" s="296"/>
      <c r="J875" s="296"/>
      <c r="K875" s="296"/>
      <c r="L875" s="296"/>
      <c r="M875" s="296"/>
    </row>
    <row r="876" spans="8:13" ht="13">
      <c r="H876" s="296"/>
      <c r="I876" s="296"/>
      <c r="J876" s="296"/>
      <c r="K876" s="296"/>
      <c r="L876" s="296"/>
      <c r="M876" s="296"/>
    </row>
    <row r="877" spans="8:13" ht="13">
      <c r="H877" s="296"/>
      <c r="I877" s="296"/>
      <c r="J877" s="296"/>
      <c r="K877" s="296"/>
      <c r="L877" s="296"/>
      <c r="M877" s="296"/>
    </row>
    <row r="878" spans="8:13" ht="13">
      <c r="H878" s="296"/>
      <c r="I878" s="296"/>
      <c r="J878" s="296"/>
      <c r="K878" s="296"/>
      <c r="L878" s="296"/>
      <c r="M878" s="296"/>
    </row>
    <row r="879" spans="8:13" ht="13">
      <c r="H879" s="296"/>
      <c r="I879" s="296"/>
      <c r="J879" s="296"/>
      <c r="K879" s="296"/>
      <c r="L879" s="296"/>
      <c r="M879" s="296"/>
    </row>
    <row r="880" spans="8:13" ht="13">
      <c r="H880" s="296"/>
      <c r="I880" s="296"/>
      <c r="J880" s="296"/>
      <c r="K880" s="296"/>
      <c r="L880" s="296"/>
      <c r="M880" s="296"/>
    </row>
    <row r="881" spans="8:13" ht="13">
      <c r="H881" s="296"/>
      <c r="I881" s="296"/>
      <c r="J881" s="296"/>
      <c r="K881" s="296"/>
      <c r="L881" s="296"/>
      <c r="M881" s="296"/>
    </row>
    <row r="882" spans="8:13" ht="13">
      <c r="H882" s="296"/>
      <c r="I882" s="296"/>
      <c r="J882" s="296"/>
      <c r="K882" s="296"/>
      <c r="L882" s="296"/>
      <c r="M882" s="296"/>
    </row>
    <row r="883" spans="8:13" ht="13">
      <c r="H883" s="296"/>
      <c r="I883" s="296"/>
      <c r="J883" s="296"/>
      <c r="K883" s="296"/>
      <c r="L883" s="296"/>
      <c r="M883" s="296"/>
    </row>
    <row r="884" spans="8:13" ht="13">
      <c r="H884" s="296"/>
      <c r="I884" s="296"/>
      <c r="J884" s="296"/>
      <c r="K884" s="296"/>
      <c r="L884" s="296"/>
      <c r="M884" s="296"/>
    </row>
    <row r="885" spans="8:13" ht="13">
      <c r="H885" s="296"/>
      <c r="I885" s="296"/>
      <c r="J885" s="296"/>
      <c r="K885" s="296"/>
      <c r="L885" s="296"/>
      <c r="M885" s="296"/>
    </row>
    <row r="886" spans="8:13" ht="13">
      <c r="H886" s="296"/>
      <c r="I886" s="296"/>
      <c r="J886" s="296"/>
      <c r="K886" s="296"/>
      <c r="L886" s="296"/>
      <c r="M886" s="296"/>
    </row>
    <row r="887" spans="8:13" ht="13">
      <c r="H887" s="296"/>
      <c r="I887" s="296"/>
      <c r="J887" s="296"/>
      <c r="K887" s="296"/>
      <c r="L887" s="296"/>
      <c r="M887" s="296"/>
    </row>
    <row r="888" spans="8:13" ht="13">
      <c r="H888" s="296"/>
      <c r="I888" s="296"/>
      <c r="J888" s="296"/>
      <c r="K888" s="296"/>
      <c r="L888" s="296"/>
      <c r="M888" s="296"/>
    </row>
    <row r="889" spans="8:13" ht="13">
      <c r="H889" s="296"/>
      <c r="I889" s="296"/>
      <c r="J889" s="296"/>
      <c r="K889" s="296"/>
      <c r="L889" s="296"/>
      <c r="M889" s="296"/>
    </row>
    <row r="890" spans="8:13" ht="13">
      <c r="H890" s="296"/>
      <c r="I890" s="296"/>
      <c r="J890" s="296"/>
      <c r="K890" s="296"/>
      <c r="L890" s="296"/>
      <c r="M890" s="296"/>
    </row>
    <row r="891" spans="8:13" ht="13">
      <c r="H891" s="296"/>
      <c r="I891" s="296"/>
      <c r="J891" s="296"/>
      <c r="K891" s="296"/>
      <c r="L891" s="296"/>
      <c r="M891" s="296"/>
    </row>
    <row r="892" spans="8:13" ht="13">
      <c r="H892" s="296"/>
      <c r="I892" s="296"/>
      <c r="J892" s="296"/>
      <c r="K892" s="296"/>
      <c r="L892" s="296"/>
      <c r="M892" s="296"/>
    </row>
    <row r="893" spans="8:13" ht="13">
      <c r="H893" s="296"/>
      <c r="I893" s="296"/>
      <c r="J893" s="296"/>
      <c r="K893" s="296"/>
      <c r="L893" s="296"/>
      <c r="M893" s="296"/>
    </row>
    <row r="894" spans="8:13" ht="13">
      <c r="H894" s="296"/>
      <c r="I894" s="296"/>
      <c r="J894" s="296"/>
      <c r="K894" s="296"/>
      <c r="L894" s="296"/>
      <c r="M894" s="296"/>
    </row>
    <row r="895" spans="8:13" ht="13">
      <c r="H895" s="296"/>
      <c r="I895" s="296"/>
      <c r="J895" s="296"/>
      <c r="K895" s="296"/>
      <c r="L895" s="296"/>
      <c r="M895" s="296"/>
    </row>
    <row r="896" spans="8:13" ht="13">
      <c r="H896" s="296"/>
      <c r="I896" s="296"/>
      <c r="J896" s="296"/>
      <c r="K896" s="296"/>
      <c r="L896" s="296"/>
      <c r="M896" s="296"/>
    </row>
    <row r="897" spans="8:13" ht="13">
      <c r="H897" s="296"/>
      <c r="I897" s="296"/>
      <c r="J897" s="296"/>
      <c r="K897" s="296"/>
      <c r="L897" s="296"/>
      <c r="M897" s="296"/>
    </row>
    <row r="898" spans="8:13" ht="13">
      <c r="H898" s="296"/>
      <c r="I898" s="296"/>
      <c r="J898" s="296"/>
      <c r="K898" s="296"/>
      <c r="L898" s="296"/>
      <c r="M898" s="296"/>
    </row>
    <row r="899" spans="8:13" ht="13">
      <c r="H899" s="296"/>
      <c r="I899" s="296"/>
      <c r="J899" s="296"/>
      <c r="K899" s="296"/>
      <c r="L899" s="296"/>
      <c r="M899" s="296"/>
    </row>
    <row r="900" spans="8:13" ht="13">
      <c r="H900" s="296"/>
      <c r="I900" s="296"/>
      <c r="J900" s="296"/>
      <c r="K900" s="296"/>
      <c r="L900" s="296"/>
      <c r="M900" s="296"/>
    </row>
    <row r="901" spans="8:13" ht="13">
      <c r="H901" s="296"/>
      <c r="I901" s="296"/>
      <c r="J901" s="296"/>
      <c r="K901" s="296"/>
      <c r="L901" s="296"/>
      <c r="M901" s="296"/>
    </row>
    <row r="902" spans="8:13" ht="13">
      <c r="H902" s="296"/>
      <c r="I902" s="296"/>
      <c r="J902" s="296"/>
      <c r="K902" s="296"/>
      <c r="L902" s="296"/>
      <c r="M902" s="296"/>
    </row>
    <row r="903" spans="8:13" ht="13">
      <c r="H903" s="296"/>
      <c r="I903" s="296"/>
      <c r="J903" s="296"/>
      <c r="K903" s="296"/>
      <c r="L903" s="296"/>
      <c r="M903" s="296"/>
    </row>
    <row r="904" spans="8:13" ht="13">
      <c r="H904" s="296"/>
      <c r="I904" s="296"/>
      <c r="J904" s="296"/>
      <c r="K904" s="296"/>
      <c r="L904" s="296"/>
      <c r="M904" s="296"/>
    </row>
    <row r="905" spans="8:13" ht="13">
      <c r="H905" s="296"/>
      <c r="I905" s="296"/>
      <c r="J905" s="296"/>
      <c r="K905" s="296"/>
      <c r="L905" s="296"/>
      <c r="M905" s="296"/>
    </row>
    <row r="906" spans="8:13" ht="13">
      <c r="H906" s="296"/>
      <c r="I906" s="296"/>
      <c r="J906" s="296"/>
      <c r="K906" s="296"/>
      <c r="L906" s="296"/>
      <c r="M906" s="296"/>
    </row>
    <row r="907" spans="8:13" ht="13">
      <c r="H907" s="296"/>
      <c r="I907" s="296"/>
      <c r="J907" s="296"/>
      <c r="K907" s="296"/>
      <c r="L907" s="296"/>
      <c r="M907" s="296"/>
    </row>
    <row r="908" spans="8:13" ht="13">
      <c r="H908" s="296"/>
      <c r="I908" s="296"/>
      <c r="J908" s="296"/>
      <c r="K908" s="296"/>
      <c r="L908" s="296"/>
      <c r="M908" s="296"/>
    </row>
    <row r="909" spans="8:13" ht="13">
      <c r="H909" s="296"/>
      <c r="I909" s="296"/>
      <c r="J909" s="296"/>
      <c r="K909" s="296"/>
      <c r="L909" s="296"/>
      <c r="M909" s="296"/>
    </row>
    <row r="910" spans="8:13" ht="13">
      <c r="H910" s="296"/>
      <c r="I910" s="296"/>
      <c r="J910" s="296"/>
      <c r="K910" s="296"/>
      <c r="L910" s="296"/>
      <c r="M910" s="296"/>
    </row>
    <row r="911" spans="8:13" ht="13">
      <c r="H911" s="296"/>
      <c r="I911" s="296"/>
      <c r="J911" s="296"/>
      <c r="K911" s="296"/>
      <c r="L911" s="296"/>
      <c r="M911" s="296"/>
    </row>
    <row r="912" spans="8:13" ht="13">
      <c r="H912" s="296"/>
      <c r="I912" s="296"/>
      <c r="J912" s="296"/>
      <c r="K912" s="296"/>
      <c r="L912" s="296"/>
      <c r="M912" s="296"/>
    </row>
    <row r="913" spans="8:13" ht="13">
      <c r="H913" s="296"/>
      <c r="I913" s="296"/>
      <c r="J913" s="296"/>
      <c r="K913" s="296"/>
      <c r="L913" s="296"/>
      <c r="M913" s="296"/>
    </row>
    <row r="914" spans="8:13" ht="13">
      <c r="H914" s="296"/>
      <c r="I914" s="296"/>
      <c r="J914" s="296"/>
      <c r="K914" s="296"/>
      <c r="L914" s="296"/>
      <c r="M914" s="296"/>
    </row>
    <row r="915" spans="8:13" ht="13">
      <c r="H915" s="296"/>
      <c r="I915" s="296"/>
      <c r="J915" s="296"/>
      <c r="K915" s="296"/>
      <c r="L915" s="296"/>
      <c r="M915" s="296"/>
    </row>
    <row r="916" spans="8:13" ht="13">
      <c r="H916" s="296"/>
      <c r="I916" s="296"/>
      <c r="J916" s="296"/>
      <c r="K916" s="296"/>
      <c r="L916" s="296"/>
      <c r="M916" s="296"/>
    </row>
    <row r="917" spans="8:13" ht="13">
      <c r="H917" s="296"/>
      <c r="I917" s="296"/>
      <c r="J917" s="296"/>
      <c r="K917" s="296"/>
      <c r="L917" s="296"/>
      <c r="M917" s="296"/>
    </row>
    <row r="918" spans="8:13" ht="13">
      <c r="H918" s="296"/>
      <c r="I918" s="296"/>
      <c r="J918" s="296"/>
      <c r="K918" s="296"/>
      <c r="L918" s="296"/>
      <c r="M918" s="296"/>
    </row>
    <row r="919" spans="8:13" ht="13">
      <c r="H919" s="296"/>
      <c r="I919" s="296"/>
      <c r="J919" s="296"/>
      <c r="K919" s="296"/>
      <c r="L919" s="296"/>
      <c r="M919" s="296"/>
    </row>
    <row r="920" spans="8:13" ht="13">
      <c r="H920" s="296"/>
      <c r="I920" s="296"/>
      <c r="J920" s="296"/>
      <c r="K920" s="296"/>
      <c r="L920" s="296"/>
      <c r="M920" s="296"/>
    </row>
    <row r="921" spans="8:13" ht="13">
      <c r="H921" s="296"/>
      <c r="I921" s="296"/>
      <c r="J921" s="296"/>
      <c r="K921" s="296"/>
      <c r="L921" s="296"/>
      <c r="M921" s="296"/>
    </row>
    <row r="922" spans="8:13" ht="13">
      <c r="H922" s="296"/>
      <c r="I922" s="296"/>
      <c r="J922" s="296"/>
      <c r="K922" s="296"/>
      <c r="L922" s="296"/>
      <c r="M922" s="296"/>
    </row>
    <row r="923" spans="8:13" ht="13">
      <c r="H923" s="296"/>
      <c r="I923" s="296"/>
      <c r="J923" s="296"/>
      <c r="K923" s="296"/>
      <c r="L923" s="296"/>
      <c r="M923" s="296"/>
    </row>
    <row r="924" spans="8:13" ht="13">
      <c r="H924" s="296"/>
      <c r="I924" s="296"/>
      <c r="J924" s="296"/>
      <c r="K924" s="296"/>
      <c r="L924" s="296"/>
      <c r="M924" s="296"/>
    </row>
    <row r="925" spans="8:13" ht="13">
      <c r="H925" s="296"/>
      <c r="I925" s="296"/>
      <c r="J925" s="296"/>
      <c r="K925" s="296"/>
      <c r="L925" s="296"/>
      <c r="M925" s="296"/>
    </row>
    <row r="926" spans="8:13" ht="13">
      <c r="H926" s="296"/>
      <c r="I926" s="296"/>
      <c r="J926" s="296"/>
      <c r="K926" s="296"/>
      <c r="L926" s="296"/>
      <c r="M926" s="296"/>
    </row>
    <row r="927" spans="8:13" ht="13">
      <c r="H927" s="296"/>
      <c r="I927" s="296"/>
      <c r="J927" s="296"/>
      <c r="K927" s="296"/>
      <c r="L927" s="296"/>
      <c r="M927" s="296"/>
    </row>
    <row r="928" spans="8:13" ht="13">
      <c r="H928" s="296"/>
      <c r="I928" s="296"/>
      <c r="J928" s="296"/>
      <c r="K928" s="296"/>
      <c r="L928" s="296"/>
      <c r="M928" s="296"/>
    </row>
    <row r="929" spans="8:13" ht="13">
      <c r="H929" s="296"/>
      <c r="I929" s="296"/>
      <c r="J929" s="296"/>
      <c r="K929" s="296"/>
      <c r="L929" s="296"/>
      <c r="M929" s="296"/>
    </row>
    <row r="930" spans="8:13" ht="13">
      <c r="H930" s="296"/>
      <c r="I930" s="296"/>
      <c r="J930" s="296"/>
      <c r="K930" s="296"/>
      <c r="L930" s="296"/>
      <c r="M930" s="296"/>
    </row>
    <row r="931" spans="8:13" ht="13">
      <c r="H931" s="296"/>
      <c r="I931" s="296"/>
      <c r="J931" s="296"/>
      <c r="K931" s="296"/>
      <c r="L931" s="296"/>
      <c r="M931" s="296"/>
    </row>
    <row r="932" spans="8:13" ht="13">
      <c r="H932" s="296"/>
      <c r="I932" s="296"/>
      <c r="J932" s="296"/>
      <c r="K932" s="296"/>
      <c r="L932" s="296"/>
      <c r="M932" s="296"/>
    </row>
    <row r="933" spans="8:13" ht="13">
      <c r="H933" s="296"/>
      <c r="I933" s="296"/>
      <c r="J933" s="296"/>
      <c r="K933" s="296"/>
      <c r="L933" s="296"/>
      <c r="M933" s="296"/>
    </row>
    <row r="934" spans="8:13" ht="13">
      <c r="H934" s="296"/>
      <c r="I934" s="296"/>
      <c r="J934" s="296"/>
      <c r="K934" s="296"/>
      <c r="L934" s="296"/>
      <c r="M934" s="296"/>
    </row>
    <row r="935" spans="8:13" ht="13">
      <c r="H935" s="296"/>
      <c r="I935" s="296"/>
      <c r="J935" s="296"/>
      <c r="K935" s="296"/>
      <c r="L935" s="296"/>
      <c r="M935" s="296"/>
    </row>
    <row r="936" spans="8:13" ht="13">
      <c r="H936" s="296"/>
      <c r="I936" s="296"/>
      <c r="J936" s="296"/>
      <c r="K936" s="296"/>
      <c r="L936" s="296"/>
      <c r="M936" s="296"/>
    </row>
    <row r="937" spans="8:13" ht="13">
      <c r="H937" s="296"/>
      <c r="I937" s="296"/>
      <c r="J937" s="296"/>
      <c r="K937" s="296"/>
      <c r="L937" s="296"/>
      <c r="M937" s="296"/>
    </row>
    <row r="938" spans="8:13" ht="13">
      <c r="H938" s="296"/>
      <c r="I938" s="296"/>
      <c r="J938" s="296"/>
      <c r="K938" s="296"/>
      <c r="L938" s="296"/>
      <c r="M938" s="296"/>
    </row>
    <row r="939" spans="8:13" ht="13">
      <c r="H939" s="296"/>
      <c r="I939" s="296"/>
      <c r="J939" s="296"/>
      <c r="K939" s="296"/>
      <c r="L939" s="296"/>
      <c r="M939" s="296"/>
    </row>
    <row r="940" spans="8:13" ht="13">
      <c r="H940" s="296"/>
      <c r="I940" s="296"/>
      <c r="J940" s="296"/>
      <c r="K940" s="296"/>
      <c r="L940" s="296"/>
      <c r="M940" s="296"/>
    </row>
    <row r="941" spans="8:13" ht="13">
      <c r="H941" s="296"/>
      <c r="I941" s="296"/>
      <c r="J941" s="296"/>
      <c r="K941" s="296"/>
      <c r="L941" s="296"/>
      <c r="M941" s="296"/>
    </row>
    <row r="942" spans="8:13" ht="13">
      <c r="H942" s="296"/>
      <c r="I942" s="296"/>
      <c r="J942" s="296"/>
      <c r="K942" s="296"/>
      <c r="L942" s="296"/>
      <c r="M942" s="296"/>
    </row>
    <row r="943" spans="8:13" ht="13">
      <c r="H943" s="296"/>
      <c r="I943" s="296"/>
      <c r="J943" s="296"/>
      <c r="K943" s="296"/>
      <c r="L943" s="296"/>
      <c r="M943" s="296"/>
    </row>
    <row r="944" spans="8:13" ht="13">
      <c r="H944" s="296"/>
      <c r="I944" s="296"/>
      <c r="J944" s="296"/>
      <c r="K944" s="296"/>
      <c r="L944" s="296"/>
      <c r="M944" s="296"/>
    </row>
    <row r="945" spans="8:13" ht="13">
      <c r="H945" s="296"/>
      <c r="I945" s="296"/>
      <c r="J945" s="296"/>
      <c r="K945" s="296"/>
      <c r="L945" s="296"/>
      <c r="M945" s="296"/>
    </row>
    <row r="946" spans="8:13" ht="13">
      <c r="H946" s="296"/>
      <c r="I946" s="296"/>
      <c r="J946" s="296"/>
      <c r="K946" s="296"/>
      <c r="L946" s="296"/>
      <c r="M946" s="296"/>
    </row>
    <row r="947" spans="8:13" ht="13">
      <c r="H947" s="296"/>
      <c r="I947" s="296"/>
      <c r="J947" s="296"/>
      <c r="K947" s="296"/>
      <c r="L947" s="296"/>
      <c r="M947" s="296"/>
    </row>
    <row r="948" spans="8:13" ht="13">
      <c r="H948" s="296"/>
      <c r="I948" s="296"/>
      <c r="J948" s="296"/>
      <c r="K948" s="296"/>
      <c r="L948" s="296"/>
      <c r="M948" s="296"/>
    </row>
    <row r="949" spans="8:13" ht="13">
      <c r="H949" s="296"/>
      <c r="I949" s="296"/>
      <c r="J949" s="296"/>
      <c r="K949" s="296"/>
      <c r="L949" s="296"/>
      <c r="M949" s="296"/>
    </row>
    <row r="950" spans="8:13" ht="13">
      <c r="H950" s="296"/>
      <c r="I950" s="296"/>
      <c r="J950" s="296"/>
      <c r="K950" s="296"/>
      <c r="L950" s="296"/>
      <c r="M950" s="296"/>
    </row>
    <row r="951" spans="8:13" ht="13">
      <c r="H951" s="296"/>
      <c r="I951" s="296"/>
      <c r="J951" s="296"/>
      <c r="K951" s="296"/>
      <c r="L951" s="296"/>
      <c r="M951" s="296"/>
    </row>
    <row r="952" spans="8:13" ht="13">
      <c r="H952" s="296"/>
      <c r="I952" s="296"/>
      <c r="J952" s="296"/>
      <c r="K952" s="296"/>
      <c r="L952" s="296"/>
      <c r="M952" s="296"/>
    </row>
    <row r="953" spans="8:13" ht="13">
      <c r="H953" s="296"/>
      <c r="I953" s="296"/>
      <c r="J953" s="296"/>
      <c r="K953" s="296"/>
      <c r="L953" s="296"/>
      <c r="M953" s="296"/>
    </row>
    <row r="954" spans="8:13" ht="13">
      <c r="H954" s="296"/>
      <c r="I954" s="296"/>
      <c r="J954" s="296"/>
      <c r="K954" s="296"/>
      <c r="L954" s="296"/>
      <c r="M954" s="296"/>
    </row>
    <row r="955" spans="8:13" ht="13">
      <c r="H955" s="296"/>
      <c r="I955" s="296"/>
      <c r="J955" s="296"/>
      <c r="K955" s="296"/>
      <c r="L955" s="296"/>
      <c r="M955" s="296"/>
    </row>
    <row r="956" spans="8:13" ht="13">
      <c r="H956" s="296"/>
      <c r="I956" s="296"/>
      <c r="J956" s="296"/>
      <c r="K956" s="296"/>
      <c r="L956" s="296"/>
      <c r="M956" s="296"/>
    </row>
    <row r="957" spans="8:13" ht="13">
      <c r="H957" s="296"/>
      <c r="I957" s="296"/>
      <c r="J957" s="296"/>
      <c r="K957" s="296"/>
      <c r="L957" s="296"/>
      <c r="M957" s="296"/>
    </row>
    <row r="958" spans="8:13" ht="13">
      <c r="H958" s="296"/>
      <c r="I958" s="296"/>
      <c r="J958" s="296"/>
      <c r="K958" s="296"/>
      <c r="L958" s="296"/>
      <c r="M958" s="296"/>
    </row>
    <row r="959" spans="8:13" ht="13">
      <c r="H959" s="296"/>
      <c r="I959" s="296"/>
      <c r="J959" s="296"/>
      <c r="K959" s="296"/>
      <c r="L959" s="296"/>
      <c r="M959" s="296"/>
    </row>
    <row r="960" spans="8:13" ht="13">
      <c r="H960" s="296"/>
      <c r="I960" s="296"/>
      <c r="J960" s="296"/>
      <c r="K960" s="296"/>
      <c r="L960" s="296"/>
      <c r="M960" s="296"/>
    </row>
    <row r="961" spans="8:13" ht="13">
      <c r="H961" s="296"/>
      <c r="I961" s="296"/>
      <c r="J961" s="296"/>
      <c r="K961" s="296"/>
      <c r="L961" s="296"/>
      <c r="M961" s="296"/>
    </row>
    <row r="962" spans="8:13" ht="13">
      <c r="H962" s="296"/>
      <c r="I962" s="296"/>
      <c r="J962" s="296"/>
      <c r="K962" s="296"/>
      <c r="L962" s="296"/>
      <c r="M962" s="296"/>
    </row>
    <row r="963" spans="8:13" ht="13">
      <c r="H963" s="296"/>
      <c r="I963" s="296"/>
      <c r="J963" s="296"/>
      <c r="K963" s="296"/>
      <c r="L963" s="296"/>
      <c r="M963" s="296"/>
    </row>
    <row r="964" spans="8:13" ht="13">
      <c r="H964" s="296"/>
      <c r="I964" s="296"/>
      <c r="J964" s="296"/>
      <c r="K964" s="296"/>
      <c r="L964" s="296"/>
      <c r="M964" s="296"/>
    </row>
    <row r="965" spans="8:13" ht="13">
      <c r="H965" s="296"/>
      <c r="I965" s="296"/>
      <c r="J965" s="296"/>
      <c r="K965" s="296"/>
      <c r="L965" s="296"/>
      <c r="M965" s="296"/>
    </row>
    <row r="966" spans="8:13" ht="13">
      <c r="H966" s="296"/>
      <c r="I966" s="296"/>
      <c r="J966" s="296"/>
      <c r="K966" s="296"/>
      <c r="L966" s="296"/>
      <c r="M966" s="296"/>
    </row>
    <row r="967" spans="8:13" ht="13">
      <c r="H967" s="296"/>
      <c r="I967" s="296"/>
      <c r="J967" s="296"/>
      <c r="K967" s="296"/>
      <c r="L967" s="296"/>
      <c r="M967" s="296"/>
    </row>
    <row r="968" spans="8:13" ht="13">
      <c r="H968" s="296"/>
      <c r="I968" s="296"/>
      <c r="J968" s="296"/>
      <c r="K968" s="296"/>
      <c r="L968" s="296"/>
      <c r="M968" s="296"/>
    </row>
    <row r="969" spans="8:13" ht="13">
      <c r="H969" s="296"/>
      <c r="I969" s="296"/>
      <c r="J969" s="296"/>
      <c r="K969" s="296"/>
      <c r="L969" s="296"/>
      <c r="M969" s="296"/>
    </row>
    <row r="970" spans="8:13" ht="13">
      <c r="H970" s="296"/>
      <c r="I970" s="296"/>
      <c r="J970" s="296"/>
      <c r="K970" s="296"/>
      <c r="L970" s="296"/>
      <c r="M970" s="296"/>
    </row>
    <row r="971" spans="8:13" ht="13">
      <c r="H971" s="296"/>
      <c r="I971" s="296"/>
      <c r="J971" s="296"/>
      <c r="K971" s="296"/>
      <c r="L971" s="296"/>
      <c r="M971" s="296"/>
    </row>
    <row r="972" spans="8:13" ht="13">
      <c r="H972" s="296"/>
      <c r="I972" s="296"/>
      <c r="J972" s="296"/>
      <c r="K972" s="296"/>
      <c r="L972" s="296"/>
      <c r="M972" s="296"/>
    </row>
    <row r="973" spans="8:13" ht="13">
      <c r="H973" s="296"/>
      <c r="I973" s="296"/>
      <c r="J973" s="296"/>
      <c r="K973" s="296"/>
      <c r="L973" s="296"/>
      <c r="M973" s="296"/>
    </row>
    <row r="974" spans="8:13" ht="13">
      <c r="H974" s="296"/>
      <c r="I974" s="296"/>
      <c r="J974" s="296"/>
      <c r="K974" s="296"/>
      <c r="L974" s="296"/>
      <c r="M974" s="296"/>
    </row>
    <row r="975" spans="8:13" ht="13">
      <c r="H975" s="296"/>
      <c r="I975" s="296"/>
      <c r="J975" s="296"/>
      <c r="K975" s="296"/>
      <c r="L975" s="296"/>
      <c r="M975" s="296"/>
    </row>
    <row r="976" spans="8:13" ht="13">
      <c r="H976" s="296"/>
      <c r="I976" s="296"/>
      <c r="J976" s="296"/>
      <c r="K976" s="296"/>
      <c r="L976" s="296"/>
      <c r="M976" s="296"/>
    </row>
    <row r="977" spans="8:13" ht="13">
      <c r="H977" s="296"/>
      <c r="I977" s="296"/>
      <c r="J977" s="296"/>
      <c r="K977" s="296"/>
      <c r="L977" s="296"/>
      <c r="M977" s="296"/>
    </row>
    <row r="978" spans="8:13" ht="13">
      <c r="H978" s="296"/>
      <c r="I978" s="296"/>
      <c r="J978" s="296"/>
      <c r="K978" s="296"/>
      <c r="L978" s="296"/>
      <c r="M978" s="296"/>
    </row>
    <row r="979" spans="8:13" ht="13">
      <c r="H979" s="296"/>
      <c r="I979" s="296"/>
      <c r="J979" s="296"/>
      <c r="K979" s="296"/>
      <c r="L979" s="296"/>
      <c r="M979" s="296"/>
    </row>
    <row r="980" spans="8:13" ht="13">
      <c r="H980" s="296"/>
      <c r="I980" s="296"/>
      <c r="J980" s="296"/>
      <c r="K980" s="296"/>
      <c r="L980" s="296"/>
      <c r="M980" s="296"/>
    </row>
    <row r="981" spans="8:13" ht="13">
      <c r="H981" s="296"/>
      <c r="I981" s="296"/>
      <c r="J981" s="296"/>
      <c r="K981" s="296"/>
      <c r="L981" s="296"/>
      <c r="M981" s="296"/>
    </row>
    <row r="982" spans="8:13" ht="13">
      <c r="H982" s="296"/>
      <c r="I982" s="296"/>
      <c r="J982" s="296"/>
      <c r="K982" s="296"/>
      <c r="L982" s="296"/>
      <c r="M982" s="296"/>
    </row>
    <row r="983" spans="8:13" ht="13">
      <c r="H983" s="296"/>
      <c r="I983" s="296"/>
      <c r="J983" s="296"/>
      <c r="K983" s="296"/>
      <c r="L983" s="296"/>
      <c r="M983" s="296"/>
    </row>
    <row r="984" spans="8:13" ht="13">
      <c r="H984" s="296"/>
      <c r="I984" s="296"/>
      <c r="J984" s="296"/>
      <c r="K984" s="296"/>
      <c r="L984" s="296"/>
      <c r="M984" s="296"/>
    </row>
    <row r="985" spans="8:13" ht="13">
      <c r="H985" s="296"/>
      <c r="I985" s="296"/>
      <c r="J985" s="296"/>
      <c r="K985" s="296"/>
      <c r="L985" s="296"/>
      <c r="M985" s="296"/>
    </row>
    <row r="986" spans="8:13" ht="13">
      <c r="H986" s="296"/>
      <c r="I986" s="296"/>
      <c r="J986" s="296"/>
      <c r="K986" s="296"/>
      <c r="L986" s="296"/>
      <c r="M986" s="296"/>
    </row>
    <row r="987" spans="8:13" ht="13">
      <c r="H987" s="296"/>
      <c r="I987" s="296"/>
      <c r="J987" s="296"/>
      <c r="K987" s="296"/>
      <c r="L987" s="296"/>
      <c r="M987" s="296"/>
    </row>
    <row r="988" spans="8:13" ht="13">
      <c r="H988" s="296"/>
      <c r="I988" s="296"/>
      <c r="J988" s="296"/>
      <c r="K988" s="296"/>
      <c r="L988" s="296"/>
      <c r="M988" s="296"/>
    </row>
    <row r="989" spans="8:13" ht="13">
      <c r="H989" s="296"/>
      <c r="I989" s="296"/>
      <c r="J989" s="296"/>
      <c r="K989" s="296"/>
      <c r="L989" s="296"/>
      <c r="M989" s="296"/>
    </row>
    <row r="990" spans="8:13" ht="13">
      <c r="H990" s="296"/>
      <c r="I990" s="296"/>
      <c r="J990" s="296"/>
      <c r="K990" s="296"/>
      <c r="L990" s="296"/>
      <c r="M990" s="296"/>
    </row>
    <row r="991" spans="8:13" ht="13">
      <c r="H991" s="296"/>
      <c r="I991" s="296"/>
      <c r="J991" s="296"/>
      <c r="K991" s="296"/>
      <c r="L991" s="296"/>
      <c r="M991" s="296"/>
    </row>
    <row r="992" spans="8:13" ht="13">
      <c r="H992" s="296"/>
      <c r="I992" s="296"/>
      <c r="J992" s="296"/>
      <c r="K992" s="296"/>
      <c r="L992" s="296"/>
      <c r="M992" s="296"/>
    </row>
    <row r="993" spans="8:13" ht="13">
      <c r="H993" s="296"/>
      <c r="I993" s="296"/>
      <c r="J993" s="296"/>
      <c r="K993" s="296"/>
      <c r="L993" s="296"/>
      <c r="M993" s="296"/>
    </row>
    <row r="994" spans="8:13" ht="13">
      <c r="H994" s="296"/>
      <c r="I994" s="296"/>
      <c r="J994" s="296"/>
      <c r="K994" s="296"/>
      <c r="L994" s="296"/>
      <c r="M994" s="296"/>
    </row>
    <row r="995" spans="8:13" ht="13">
      <c r="H995" s="296"/>
      <c r="I995" s="296"/>
      <c r="J995" s="296"/>
      <c r="K995" s="296"/>
      <c r="L995" s="296"/>
      <c r="M995" s="296"/>
    </row>
    <row r="996" spans="8:13" ht="13">
      <c r="H996" s="296"/>
      <c r="I996" s="296"/>
      <c r="J996" s="296"/>
      <c r="K996" s="296"/>
      <c r="L996" s="296"/>
      <c r="M996" s="296"/>
    </row>
    <row r="997" spans="8:13" ht="13">
      <c r="H997" s="296"/>
      <c r="I997" s="296"/>
      <c r="J997" s="296"/>
      <c r="K997" s="296"/>
      <c r="L997" s="296"/>
      <c r="M997" s="296"/>
    </row>
    <row r="998" spans="8:13" ht="13">
      <c r="H998" s="296"/>
      <c r="I998" s="296"/>
      <c r="J998" s="296"/>
      <c r="K998" s="296"/>
      <c r="L998" s="296"/>
      <c r="M998" s="296"/>
    </row>
    <row r="999" spans="8:13" ht="13">
      <c r="H999" s="296"/>
      <c r="I999" s="296"/>
      <c r="J999" s="296"/>
      <c r="K999" s="296"/>
      <c r="L999" s="296"/>
      <c r="M999" s="296"/>
    </row>
    <row r="1000" spans="8:13" ht="13">
      <c r="H1000" s="296"/>
      <c r="I1000" s="296"/>
      <c r="J1000" s="296"/>
      <c r="K1000" s="296"/>
      <c r="L1000" s="296"/>
      <c r="M1000" s="296"/>
    </row>
    <row r="1001" spans="8:13" ht="13">
      <c r="H1001" s="296"/>
      <c r="I1001" s="296"/>
      <c r="J1001" s="296"/>
      <c r="K1001" s="296"/>
      <c r="L1001" s="296"/>
      <c r="M1001" s="2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D98"/>
  <sheetViews>
    <sheetView workbookViewId="0">
      <selection activeCell="A80" sqref="A80"/>
    </sheetView>
  </sheetViews>
  <sheetFormatPr baseColWidth="10" defaultColWidth="14.5" defaultRowHeight="15.75" customHeight="1"/>
  <cols>
    <col min="2" max="2" width="29.1640625" customWidth="1"/>
    <col min="14" max="14" width="20" customWidth="1"/>
  </cols>
  <sheetData>
    <row r="1" spans="1:56" ht="13">
      <c r="A1" s="215" t="s">
        <v>549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</row>
    <row r="2" spans="1:56" ht="13">
      <c r="A2" s="160" t="s">
        <v>430</v>
      </c>
      <c r="B2" s="160" t="s">
        <v>2</v>
      </c>
      <c r="C2" s="160"/>
      <c r="D2" s="160" t="s">
        <v>431</v>
      </c>
      <c r="E2" s="160" t="s">
        <v>550</v>
      </c>
      <c r="F2" s="160" t="s">
        <v>551</v>
      </c>
      <c r="G2" s="160" t="s">
        <v>526</v>
      </c>
      <c r="H2" s="160" t="s">
        <v>552</v>
      </c>
      <c r="I2" s="160" t="s">
        <v>553</v>
      </c>
      <c r="J2" s="160" t="s">
        <v>554</v>
      </c>
      <c r="K2" s="160" t="s">
        <v>555</v>
      </c>
      <c r="L2" s="160" t="s">
        <v>556</v>
      </c>
      <c r="M2" s="160" t="s">
        <v>557</v>
      </c>
      <c r="N2" s="160" t="s">
        <v>558</v>
      </c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</row>
    <row r="3" spans="1:56" ht="15">
      <c r="A3" s="161" t="s">
        <v>433</v>
      </c>
      <c r="B3" s="162" t="s">
        <v>434</v>
      </c>
      <c r="C3" s="163"/>
      <c r="D3" s="163">
        <v>7</v>
      </c>
      <c r="E3" s="219">
        <v>42629</v>
      </c>
      <c r="F3" s="2" t="s">
        <v>560</v>
      </c>
      <c r="G3" s="220">
        <v>21</v>
      </c>
      <c r="H3" s="12">
        <v>15.96</v>
      </c>
      <c r="I3" s="12">
        <v>478.8</v>
      </c>
      <c r="J3" s="220"/>
      <c r="K3" s="220"/>
      <c r="L3" s="220">
        <v>1.07</v>
      </c>
      <c r="M3" s="220">
        <v>51.8</v>
      </c>
      <c r="N3" s="220">
        <v>18.5</v>
      </c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</row>
    <row r="4" spans="1:56" ht="15">
      <c r="A4" s="164" t="s">
        <v>435</v>
      </c>
      <c r="B4" s="165" t="s">
        <v>67</v>
      </c>
      <c r="C4" s="171"/>
      <c r="D4" s="171">
        <v>8</v>
      </c>
      <c r="E4" s="221">
        <v>42679</v>
      </c>
      <c r="F4" s="2" t="s">
        <v>560</v>
      </c>
      <c r="G4" s="222">
        <v>18</v>
      </c>
      <c r="H4" s="12">
        <v>13.68</v>
      </c>
      <c r="I4" s="12">
        <v>410.4</v>
      </c>
      <c r="J4" s="223"/>
      <c r="K4" s="223"/>
      <c r="L4" s="171">
        <v>1.02</v>
      </c>
      <c r="M4" s="171">
        <v>49.2</v>
      </c>
      <c r="N4" s="171">
        <v>18</v>
      </c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19"/>
    </row>
    <row r="5" spans="1:56" ht="15">
      <c r="A5" s="202" t="s">
        <v>470</v>
      </c>
      <c r="B5" s="203" t="s">
        <v>471</v>
      </c>
      <c r="C5" s="204"/>
      <c r="D5" s="204">
        <v>5</v>
      </c>
      <c r="E5" s="224">
        <v>42679</v>
      </c>
      <c r="F5" s="225" t="s">
        <v>561</v>
      </c>
      <c r="G5" s="226">
        <v>17.3</v>
      </c>
      <c r="H5" s="12">
        <v>13.148</v>
      </c>
      <c r="I5" s="12">
        <v>394.44</v>
      </c>
      <c r="J5" s="227"/>
      <c r="K5" s="227"/>
      <c r="L5" s="204">
        <v>86.5</v>
      </c>
      <c r="M5" s="225">
        <v>48.7</v>
      </c>
      <c r="N5" s="225">
        <v>18.5</v>
      </c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19"/>
      <c r="AD5" s="319"/>
      <c r="AE5" s="319"/>
      <c r="AF5" s="319"/>
      <c r="AG5" s="319"/>
      <c r="AH5" s="319"/>
      <c r="AI5" s="319"/>
      <c r="AJ5" s="319"/>
      <c r="AK5" s="319"/>
      <c r="AL5" s="319"/>
      <c r="AM5" s="319"/>
      <c r="AN5" s="319"/>
      <c r="AO5" s="319"/>
      <c r="AP5" s="319"/>
    </row>
    <row r="6" spans="1:56" ht="15">
      <c r="A6" s="164" t="s">
        <v>408</v>
      </c>
      <c r="B6" s="165" t="s">
        <v>409</v>
      </c>
      <c r="C6" s="171"/>
      <c r="D6" s="171">
        <v>7</v>
      </c>
      <c r="E6" s="229">
        <v>42629</v>
      </c>
      <c r="F6" s="2" t="s">
        <v>560</v>
      </c>
      <c r="G6" s="230">
        <v>18</v>
      </c>
      <c r="H6" s="12">
        <v>13.68</v>
      </c>
      <c r="I6" s="12">
        <v>410.4</v>
      </c>
      <c r="J6" s="231"/>
      <c r="K6" s="231"/>
      <c r="L6" s="166">
        <v>1.17</v>
      </c>
      <c r="M6" s="2">
        <v>50.5</v>
      </c>
      <c r="N6" s="2">
        <v>15.6</v>
      </c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</row>
    <row r="7" spans="1:56" ht="15">
      <c r="A7" s="173" t="s">
        <v>436</v>
      </c>
      <c r="B7" s="174" t="s">
        <v>15</v>
      </c>
      <c r="C7" s="175"/>
      <c r="D7" s="175">
        <v>6</v>
      </c>
      <c r="E7" s="232">
        <v>42629</v>
      </c>
      <c r="F7" s="2" t="s">
        <v>561</v>
      </c>
      <c r="G7" s="233">
        <v>16.3</v>
      </c>
      <c r="H7" s="12">
        <v>12.388</v>
      </c>
      <c r="I7" s="12">
        <v>371.64</v>
      </c>
      <c r="J7" s="234"/>
      <c r="K7" s="234"/>
      <c r="L7" s="235">
        <v>1.06</v>
      </c>
      <c r="M7" s="2">
        <v>51.3</v>
      </c>
      <c r="N7" s="2">
        <v>16.100000000000001</v>
      </c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C7" s="319"/>
      <c r="AD7" s="319"/>
      <c r="AE7" s="319"/>
      <c r="AF7" s="319"/>
      <c r="AG7" s="319"/>
      <c r="AH7" s="319"/>
      <c r="AI7" s="319"/>
      <c r="AJ7" s="319"/>
      <c r="AK7" s="319"/>
      <c r="AL7" s="319"/>
      <c r="AM7" s="319"/>
      <c r="AN7" s="319"/>
      <c r="AO7" s="319"/>
      <c r="AP7" s="319"/>
    </row>
    <row r="8" spans="1:56" ht="15">
      <c r="A8" s="164" t="s">
        <v>437</v>
      </c>
      <c r="B8" s="165" t="s">
        <v>438</v>
      </c>
      <c r="C8" s="171"/>
      <c r="D8" s="171">
        <v>10</v>
      </c>
      <c r="E8" s="229">
        <v>42628</v>
      </c>
      <c r="F8" s="2" t="s">
        <v>560</v>
      </c>
      <c r="G8" s="236">
        <v>53.5</v>
      </c>
      <c r="H8" s="12">
        <v>40.659999999999997</v>
      </c>
      <c r="I8" s="12">
        <v>1219.8</v>
      </c>
      <c r="J8" s="236"/>
      <c r="K8" s="236"/>
      <c r="L8" s="236">
        <v>1.48</v>
      </c>
      <c r="M8" s="237">
        <v>55.8</v>
      </c>
      <c r="N8" s="238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319"/>
      <c r="AL8" s="319"/>
      <c r="AM8" s="319"/>
      <c r="AN8" s="319"/>
      <c r="AO8" s="319"/>
      <c r="AP8" s="319"/>
    </row>
    <row r="9" spans="1:56" ht="15">
      <c r="A9" s="178" t="s">
        <v>439</v>
      </c>
      <c r="B9" s="179" t="s">
        <v>207</v>
      </c>
      <c r="C9" s="180"/>
      <c r="D9" s="180">
        <v>8</v>
      </c>
      <c r="E9" s="239">
        <v>42628</v>
      </c>
      <c r="F9" s="2" t="s">
        <v>560</v>
      </c>
      <c r="G9" s="236">
        <v>20</v>
      </c>
      <c r="H9" s="12">
        <v>15.2</v>
      </c>
      <c r="I9" s="12">
        <v>456</v>
      </c>
      <c r="J9" s="236"/>
      <c r="K9" s="236"/>
      <c r="L9" s="236">
        <v>1.22</v>
      </c>
      <c r="M9" s="237">
        <v>51.4</v>
      </c>
      <c r="N9" s="237">
        <v>16.5</v>
      </c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</row>
    <row r="10" spans="1:56" ht="15">
      <c r="A10" s="178" t="s">
        <v>440</v>
      </c>
      <c r="B10" s="179" t="s">
        <v>257</v>
      </c>
      <c r="C10" s="182"/>
      <c r="D10" s="182">
        <v>6</v>
      </c>
      <c r="E10" s="239">
        <v>42629</v>
      </c>
      <c r="F10" s="2" t="s">
        <v>560</v>
      </c>
      <c r="G10" s="240">
        <v>19</v>
      </c>
      <c r="H10" s="12">
        <v>14.44</v>
      </c>
      <c r="I10" s="12">
        <v>433.2</v>
      </c>
      <c r="J10" s="240"/>
      <c r="K10" s="240"/>
      <c r="L10" s="240">
        <v>1.03</v>
      </c>
      <c r="M10" s="238"/>
      <c r="N10" s="238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</row>
    <row r="11" spans="1:56" ht="15">
      <c r="A11" s="164" t="s">
        <v>441</v>
      </c>
      <c r="B11" s="165" t="s">
        <v>36</v>
      </c>
      <c r="C11" s="171"/>
      <c r="D11" s="171">
        <v>9</v>
      </c>
      <c r="E11" s="229">
        <v>42679</v>
      </c>
      <c r="F11" s="2" t="s">
        <v>560</v>
      </c>
      <c r="G11" s="166">
        <v>23.1</v>
      </c>
      <c r="H11" s="12">
        <v>17.556000000000001</v>
      </c>
      <c r="I11" s="12">
        <v>526.67999999999995</v>
      </c>
      <c r="J11" s="231"/>
      <c r="K11" s="231"/>
      <c r="L11" s="166">
        <v>1.28</v>
      </c>
      <c r="M11" s="166">
        <v>51.4</v>
      </c>
      <c r="N11" s="166">
        <v>17.399999999999999</v>
      </c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</row>
    <row r="12" spans="1:56" ht="15">
      <c r="A12" s="185" t="s">
        <v>442</v>
      </c>
      <c r="B12" s="186" t="s">
        <v>443</v>
      </c>
      <c r="C12" s="187"/>
      <c r="D12" s="187">
        <v>8</v>
      </c>
      <c r="E12" s="241">
        <v>43119</v>
      </c>
      <c r="F12" s="187" t="s">
        <v>561</v>
      </c>
      <c r="G12" s="242">
        <v>23</v>
      </c>
      <c r="H12" s="12">
        <v>17.48</v>
      </c>
      <c r="I12" s="12">
        <v>524.4</v>
      </c>
      <c r="J12" s="242"/>
      <c r="K12" s="242"/>
      <c r="L12" s="242">
        <v>1.18</v>
      </c>
      <c r="M12" s="242">
        <v>49.5</v>
      </c>
      <c r="N12" s="242">
        <v>17.2</v>
      </c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</row>
    <row r="13" spans="1:56" ht="15">
      <c r="A13" s="168" t="s">
        <v>444</v>
      </c>
      <c r="B13" s="168" t="s">
        <v>59</v>
      </c>
      <c r="C13" s="188"/>
      <c r="D13" s="188">
        <v>8</v>
      </c>
      <c r="E13" s="243">
        <v>42679</v>
      </c>
      <c r="F13" s="55" t="s">
        <v>560</v>
      </c>
      <c r="G13" s="244">
        <v>43219</v>
      </c>
      <c r="H13" s="12">
        <v>22.1</v>
      </c>
      <c r="I13" s="12">
        <v>670.32</v>
      </c>
      <c r="J13" s="220"/>
      <c r="K13" s="220"/>
      <c r="L13" s="220" t="s">
        <v>562</v>
      </c>
      <c r="M13" s="220">
        <v>50</v>
      </c>
      <c r="N13" s="220">
        <v>18</v>
      </c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</row>
    <row r="14" spans="1:56" ht="15">
      <c r="A14" s="189" t="s">
        <v>445</v>
      </c>
      <c r="B14" s="189" t="s">
        <v>234</v>
      </c>
      <c r="C14" s="190"/>
      <c r="D14" s="190">
        <v>9</v>
      </c>
      <c r="E14" s="245">
        <v>42628</v>
      </c>
      <c r="F14" s="2" t="s">
        <v>561</v>
      </c>
      <c r="G14" s="246">
        <v>43186</v>
      </c>
      <c r="H14" s="12">
        <v>20.748000000000001</v>
      </c>
      <c r="I14" s="12">
        <v>622.44000000000005</v>
      </c>
      <c r="J14" s="247"/>
      <c r="K14" s="247"/>
      <c r="L14" s="248" t="s">
        <v>563</v>
      </c>
      <c r="M14" s="247" t="s">
        <v>564</v>
      </c>
      <c r="N14" s="249">
        <v>43268</v>
      </c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</row>
    <row r="15" spans="1:56" ht="15">
      <c r="A15" s="189" t="s">
        <v>446</v>
      </c>
      <c r="B15" s="189" t="s">
        <v>248</v>
      </c>
      <c r="C15" s="190"/>
      <c r="D15" s="190">
        <v>7</v>
      </c>
      <c r="E15" s="245">
        <v>42628</v>
      </c>
      <c r="F15" s="2" t="s">
        <v>561</v>
      </c>
      <c r="G15" s="252">
        <v>43246</v>
      </c>
      <c r="H15" s="12">
        <v>20.14</v>
      </c>
      <c r="I15" s="12">
        <v>604.20000000000005</v>
      </c>
      <c r="J15" s="247"/>
      <c r="K15" s="247"/>
      <c r="L15" s="247" t="s">
        <v>565</v>
      </c>
      <c r="M15" s="247">
        <v>53</v>
      </c>
      <c r="N15" s="252">
        <v>43361</v>
      </c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</row>
    <row r="16" spans="1:56" ht="15">
      <c r="A16" s="192" t="s">
        <v>447</v>
      </c>
      <c r="B16" s="189" t="s">
        <v>148</v>
      </c>
      <c r="C16" s="190"/>
      <c r="D16" s="190">
        <v>7</v>
      </c>
      <c r="E16" s="245">
        <v>43119</v>
      </c>
      <c r="F16" s="2" t="s">
        <v>561</v>
      </c>
      <c r="G16" s="252">
        <v>43211</v>
      </c>
      <c r="H16" s="12">
        <v>16.263999999999999</v>
      </c>
      <c r="I16" s="12">
        <v>487.92</v>
      </c>
      <c r="J16" s="252"/>
      <c r="K16" s="252"/>
      <c r="L16" s="252">
        <v>43405</v>
      </c>
      <c r="M16" s="247" t="s">
        <v>566</v>
      </c>
      <c r="N16" s="247">
        <v>17</v>
      </c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</row>
    <row r="17" spans="1:56" ht="15">
      <c r="A17" s="168" t="s">
        <v>448</v>
      </c>
      <c r="B17" s="168" t="s">
        <v>46</v>
      </c>
      <c r="C17" s="188"/>
      <c r="D17" s="188">
        <v>10</v>
      </c>
      <c r="E17" s="243">
        <v>42679</v>
      </c>
      <c r="F17" s="55" t="s">
        <v>560</v>
      </c>
      <c r="G17" s="222">
        <v>25.2</v>
      </c>
      <c r="H17" s="12">
        <v>19.152000000000001</v>
      </c>
      <c r="I17" s="12">
        <v>574.55999999999995</v>
      </c>
      <c r="J17" s="223"/>
      <c r="K17" s="223"/>
      <c r="L17" s="171">
        <v>1.24</v>
      </c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</row>
    <row r="18" spans="1:56" ht="15">
      <c r="A18" s="168" t="s">
        <v>449</v>
      </c>
      <c r="B18" s="168" t="s">
        <v>26</v>
      </c>
      <c r="C18" s="188"/>
      <c r="D18" s="188">
        <v>6</v>
      </c>
      <c r="E18" s="243">
        <v>42629</v>
      </c>
      <c r="F18" s="55" t="s">
        <v>560</v>
      </c>
      <c r="G18" s="252">
        <v>43119</v>
      </c>
      <c r="H18" s="12">
        <v>14.516</v>
      </c>
      <c r="I18" s="12">
        <v>435.48</v>
      </c>
      <c r="J18" s="254"/>
      <c r="K18" s="254"/>
      <c r="L18" s="254" t="s">
        <v>567</v>
      </c>
      <c r="M18" s="254" t="s">
        <v>568</v>
      </c>
      <c r="N18" s="249">
        <v>43327</v>
      </c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</row>
    <row r="19" spans="1:56" ht="15">
      <c r="A19" s="145" t="s">
        <v>503</v>
      </c>
      <c r="B19" s="145" t="s">
        <v>190</v>
      </c>
      <c r="C19" s="146"/>
      <c r="D19" s="146">
        <v>6</v>
      </c>
      <c r="E19" s="255">
        <v>43119</v>
      </c>
      <c r="F19" s="100">
        <v>6</v>
      </c>
      <c r="G19" s="2">
        <v>21.1</v>
      </c>
      <c r="H19" s="12">
        <v>16.036000000000001</v>
      </c>
      <c r="I19" s="12">
        <v>481.08</v>
      </c>
      <c r="J19" s="2"/>
      <c r="K19" s="2"/>
      <c r="L19" s="2">
        <v>1.08</v>
      </c>
      <c r="M19" s="2">
        <v>49.9</v>
      </c>
      <c r="N19" s="2">
        <v>17.100000000000001</v>
      </c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</row>
    <row r="20" spans="1:56" ht="13">
      <c r="A20" s="319"/>
      <c r="B20" s="319"/>
      <c r="C20" s="319"/>
      <c r="D20" s="319"/>
      <c r="E20" s="319"/>
      <c r="F20" s="319"/>
      <c r="G20" s="319"/>
      <c r="H20" s="319"/>
      <c r="I20" s="319"/>
      <c r="J20" s="2"/>
      <c r="K20" s="2"/>
      <c r="L20" s="2"/>
      <c r="M20" s="2"/>
      <c r="N20" s="2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</row>
    <row r="21" spans="1:56" ht="15.75" customHeight="1">
      <c r="A21" s="376"/>
      <c r="B21" s="375" t="s">
        <v>762</v>
      </c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</row>
    <row r="22" spans="1:56" ht="15.75" customHeight="1"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</row>
    <row r="23" spans="1:56" ht="15.75" customHeight="1"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</row>
    <row r="24" spans="1:56" ht="15.75" customHeight="1"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</row>
    <row r="25" spans="1:56" ht="15.75" customHeight="1"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  <c r="AA25" s="319"/>
      <c r="AB25" s="319"/>
      <c r="AC25" s="319"/>
      <c r="AD25" s="319"/>
      <c r="AE25" s="319"/>
      <c r="AF25" s="319"/>
      <c r="AG25" s="319"/>
      <c r="AH25" s="319"/>
      <c r="AI25" s="319"/>
      <c r="AJ25" s="319"/>
      <c r="AK25" s="319"/>
      <c r="AL25" s="319"/>
      <c r="AM25" s="319"/>
      <c r="AN25" s="319"/>
      <c r="AO25" s="319"/>
      <c r="AP25" s="319"/>
      <c r="AQ25" s="319"/>
      <c r="AR25" s="319"/>
      <c r="AS25" s="319"/>
      <c r="AT25" s="319"/>
      <c r="AU25" s="319"/>
      <c r="AV25" s="319"/>
      <c r="AW25" s="319"/>
      <c r="AX25" s="319"/>
    </row>
    <row r="26" spans="1:56" ht="13">
      <c r="A26" s="256" t="s">
        <v>508</v>
      </c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</row>
    <row r="27" spans="1:56" ht="13">
      <c r="A27" s="160" t="s">
        <v>430</v>
      </c>
      <c r="B27" s="160" t="s">
        <v>2</v>
      </c>
      <c r="C27" s="160"/>
      <c r="D27" s="160" t="s">
        <v>431</v>
      </c>
      <c r="E27" s="160" t="s">
        <v>550</v>
      </c>
      <c r="F27" s="160" t="s">
        <v>551</v>
      </c>
      <c r="G27" s="160" t="s">
        <v>526</v>
      </c>
      <c r="H27" s="160" t="s">
        <v>570</v>
      </c>
      <c r="I27" s="160" t="s">
        <v>571</v>
      </c>
      <c r="J27" s="160"/>
      <c r="K27" s="160"/>
      <c r="L27" s="160" t="s">
        <v>556</v>
      </c>
      <c r="M27" s="160" t="s">
        <v>557</v>
      </c>
      <c r="N27" s="160" t="s">
        <v>558</v>
      </c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/>
      <c r="AB27" s="319"/>
      <c r="AC27" s="319"/>
      <c r="AD27" s="319"/>
      <c r="AE27" s="319"/>
      <c r="AF27" s="319"/>
      <c r="AG27" s="319"/>
      <c r="AH27" s="319"/>
      <c r="AI27" s="319"/>
      <c r="AJ27" s="319"/>
      <c r="AK27" s="319"/>
      <c r="AL27" s="319"/>
      <c r="AM27" s="319"/>
      <c r="AN27" s="319"/>
      <c r="AO27" s="319"/>
      <c r="AP27" s="319"/>
      <c r="AQ27" s="319"/>
      <c r="AR27" s="319"/>
      <c r="AS27" s="319"/>
      <c r="AT27" s="319"/>
      <c r="AU27" s="319"/>
      <c r="AV27" s="319"/>
      <c r="AW27" s="319"/>
      <c r="AX27" s="319"/>
    </row>
    <row r="28" spans="1:56" ht="15">
      <c r="A28" s="55" t="s">
        <v>450</v>
      </c>
      <c r="B28" s="55" t="s">
        <v>375</v>
      </c>
      <c r="C28" s="145"/>
      <c r="D28" s="145">
        <v>8</v>
      </c>
      <c r="E28" s="243">
        <v>42740</v>
      </c>
      <c r="F28" s="2" t="s">
        <v>560</v>
      </c>
      <c r="G28" s="222">
        <v>23.7</v>
      </c>
      <c r="H28" s="12">
        <v>18.012</v>
      </c>
      <c r="I28" s="12">
        <v>540.36</v>
      </c>
      <c r="J28" s="223"/>
      <c r="K28" s="223"/>
      <c r="L28" s="171">
        <v>1.26</v>
      </c>
      <c r="M28" s="171">
        <v>50.33</v>
      </c>
      <c r="N28" s="171">
        <v>18.899999999999999</v>
      </c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</row>
    <row r="29" spans="1:56" ht="1.5" customHeight="1">
      <c r="A29" s="55" t="s">
        <v>451</v>
      </c>
      <c r="B29" s="55" t="s">
        <v>452</v>
      </c>
      <c r="C29" s="145"/>
      <c r="D29" s="145">
        <v>6</v>
      </c>
      <c r="E29" s="243">
        <v>42740</v>
      </c>
      <c r="F29" s="2" t="s">
        <v>560</v>
      </c>
      <c r="G29" s="222">
        <v>18.100000000000001</v>
      </c>
      <c r="H29" s="12">
        <v>13.756</v>
      </c>
      <c r="I29" s="12">
        <v>412.68</v>
      </c>
      <c r="J29" s="223"/>
      <c r="K29" s="223"/>
      <c r="L29" s="171">
        <v>1.0900000000000001</v>
      </c>
      <c r="M29" s="171">
        <v>49.96</v>
      </c>
      <c r="N29" s="171">
        <v>16.260000000000002</v>
      </c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9"/>
      <c r="AU29" s="319"/>
      <c r="AV29" s="319"/>
      <c r="AW29" s="319"/>
      <c r="AX29" s="319"/>
    </row>
    <row r="30" spans="1:56" ht="15">
      <c r="A30" s="2" t="s">
        <v>137</v>
      </c>
      <c r="B30" s="2" t="s">
        <v>138</v>
      </c>
      <c r="C30" s="2"/>
      <c r="D30" s="2">
        <v>10</v>
      </c>
      <c r="F30" s="2" t="s">
        <v>561</v>
      </c>
      <c r="G30" s="205">
        <v>24.6</v>
      </c>
      <c r="H30" s="12">
        <v>18.696000000000002</v>
      </c>
      <c r="I30" s="12">
        <v>560.88</v>
      </c>
      <c r="J30" s="262"/>
      <c r="K30" s="262"/>
      <c r="L30" s="205">
        <v>1.31</v>
      </c>
      <c r="M30" s="205">
        <v>50.16</v>
      </c>
      <c r="N30" s="205">
        <v>17.5</v>
      </c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19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319"/>
    </row>
    <row r="31" spans="1:56" ht="15">
      <c r="A31" s="2" t="s">
        <v>454</v>
      </c>
      <c r="B31" s="2" t="s">
        <v>177</v>
      </c>
      <c r="D31" s="2">
        <v>6</v>
      </c>
      <c r="F31" s="2" t="s">
        <v>561</v>
      </c>
      <c r="G31" s="250">
        <v>18.100000000000001</v>
      </c>
      <c r="H31" s="12">
        <v>13.756</v>
      </c>
      <c r="I31" s="12">
        <v>412.68</v>
      </c>
      <c r="J31" s="262"/>
      <c r="K31" s="262"/>
      <c r="L31" s="205">
        <v>1.04</v>
      </c>
      <c r="M31" s="205">
        <v>49.46</v>
      </c>
      <c r="N31" s="205">
        <v>17.399999999999999</v>
      </c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</row>
    <row r="32" spans="1:56" ht="15">
      <c r="A32" s="164" t="s">
        <v>455</v>
      </c>
      <c r="B32" s="165" t="s">
        <v>348</v>
      </c>
      <c r="C32" s="2"/>
      <c r="D32" s="2">
        <v>10</v>
      </c>
      <c r="F32" s="2" t="s">
        <v>560</v>
      </c>
      <c r="G32" s="222">
        <v>24.6</v>
      </c>
      <c r="H32" s="12">
        <v>18.696000000000002</v>
      </c>
      <c r="I32" s="12">
        <v>560.88</v>
      </c>
      <c r="J32" s="223"/>
      <c r="K32" s="223"/>
      <c r="L32" s="171">
        <v>1.17</v>
      </c>
      <c r="M32" s="171">
        <v>50.5</v>
      </c>
      <c r="N32" s="171">
        <v>18</v>
      </c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223"/>
      <c r="AZ32" s="223"/>
      <c r="BA32" s="223"/>
      <c r="BB32" s="223"/>
      <c r="BC32" s="223"/>
      <c r="BD32" s="223"/>
    </row>
    <row r="33" spans="1:56" ht="15">
      <c r="A33" s="178" t="s">
        <v>456</v>
      </c>
      <c r="B33" s="179" t="s">
        <v>362</v>
      </c>
      <c r="C33" s="2"/>
      <c r="D33" s="2">
        <v>9</v>
      </c>
      <c r="F33" s="2" t="s">
        <v>560</v>
      </c>
      <c r="G33" s="208">
        <v>22.5</v>
      </c>
      <c r="H33" s="12">
        <v>17.100000000000001</v>
      </c>
      <c r="I33" s="12">
        <v>513</v>
      </c>
      <c r="J33" s="223"/>
      <c r="K33" s="223"/>
      <c r="L33" s="182">
        <v>1.23</v>
      </c>
      <c r="M33" s="182">
        <v>50</v>
      </c>
      <c r="N33" s="182">
        <v>16</v>
      </c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</row>
    <row r="34" spans="1:56" ht="15">
      <c r="A34" s="164" t="s">
        <v>457</v>
      </c>
      <c r="B34" s="165" t="s">
        <v>458</v>
      </c>
      <c r="C34" s="197"/>
      <c r="D34" s="197">
        <v>6</v>
      </c>
      <c r="F34" s="2" t="s">
        <v>560</v>
      </c>
      <c r="G34" s="222">
        <v>14.7</v>
      </c>
      <c r="H34" s="12">
        <v>11.172000000000001</v>
      </c>
      <c r="I34" s="12">
        <v>335.16</v>
      </c>
      <c r="J34" s="223"/>
      <c r="K34" s="223"/>
      <c r="L34" s="171">
        <v>0.9</v>
      </c>
      <c r="M34" s="171">
        <v>46.6</v>
      </c>
      <c r="N34" s="171">
        <v>13.7</v>
      </c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319"/>
    </row>
    <row r="35" spans="1:56" ht="15">
      <c r="A35" s="212" t="s">
        <v>199</v>
      </c>
      <c r="B35" s="212" t="s">
        <v>200</v>
      </c>
      <c r="C35" s="2"/>
      <c r="D35" s="2">
        <v>11</v>
      </c>
      <c r="F35" s="2" t="s">
        <v>561</v>
      </c>
      <c r="G35" s="205">
        <v>46.5</v>
      </c>
      <c r="H35" s="12">
        <v>35.340000000000003</v>
      </c>
      <c r="I35" s="12">
        <v>1060.2</v>
      </c>
      <c r="J35" s="262"/>
      <c r="K35" s="262"/>
      <c r="L35" s="205">
        <v>1.4</v>
      </c>
      <c r="M35" s="205">
        <v>52.5</v>
      </c>
      <c r="N35" s="205">
        <v>26.1</v>
      </c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19"/>
      <c r="AD35" s="319"/>
      <c r="AE35" s="319"/>
      <c r="AF35" s="319"/>
      <c r="AG35" s="319"/>
      <c r="AH35" s="319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</row>
    <row r="36" spans="1:56" ht="15">
      <c r="A36" s="55" t="s">
        <v>523</v>
      </c>
      <c r="B36" s="55" t="s">
        <v>524</v>
      </c>
      <c r="C36" s="2"/>
      <c r="D36" s="2">
        <v>6</v>
      </c>
      <c r="F36" s="2" t="s">
        <v>561</v>
      </c>
      <c r="G36" s="250">
        <v>20.7</v>
      </c>
      <c r="H36" s="12">
        <v>15.731999999999999</v>
      </c>
      <c r="I36" s="12">
        <v>471.96</v>
      </c>
      <c r="J36" s="262"/>
      <c r="K36" s="262"/>
      <c r="L36" s="205">
        <v>1.18</v>
      </c>
      <c r="M36" s="251"/>
      <c r="N36" s="205">
        <v>18.5</v>
      </c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319"/>
      <c r="AB36" s="319"/>
      <c r="AC36" s="319"/>
      <c r="AD36" s="319"/>
      <c r="AE36" s="319"/>
      <c r="AF36" s="319"/>
      <c r="AG36" s="319"/>
      <c r="AH36" s="319"/>
      <c r="AI36" s="319"/>
      <c r="AJ36" s="319"/>
      <c r="AK36" s="319"/>
      <c r="AL36" s="319"/>
      <c r="AM36" s="319"/>
      <c r="AN36" s="319"/>
      <c r="AO36" s="319"/>
      <c r="AP36" s="319"/>
      <c r="AQ36" s="319"/>
      <c r="AR36" s="319"/>
      <c r="AS36" s="319"/>
      <c r="AT36" s="319"/>
      <c r="AU36" s="319"/>
      <c r="AV36" s="319"/>
      <c r="AW36" s="319"/>
      <c r="AX36" s="319"/>
    </row>
    <row r="37" spans="1:56" ht="15">
      <c r="A37" s="198" t="s">
        <v>459</v>
      </c>
      <c r="B37" s="199" t="s">
        <v>268</v>
      </c>
      <c r="C37" s="200"/>
      <c r="D37" s="200">
        <v>9</v>
      </c>
      <c r="E37" s="264">
        <v>42738</v>
      </c>
      <c r="F37" s="2" t="s">
        <v>561</v>
      </c>
      <c r="G37" s="250">
        <v>21.5</v>
      </c>
      <c r="H37" s="12">
        <v>16.34</v>
      </c>
      <c r="I37" s="12">
        <v>490.2</v>
      </c>
      <c r="J37" s="262"/>
      <c r="K37" s="262"/>
      <c r="L37" s="205">
        <v>1.2</v>
      </c>
      <c r="M37" s="205">
        <v>50.8</v>
      </c>
      <c r="N37" s="205">
        <v>20.3</v>
      </c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  <c r="AD37" s="319"/>
      <c r="AE37" s="319"/>
      <c r="AF37" s="319"/>
      <c r="AG37" s="319"/>
      <c r="AH37" s="319"/>
      <c r="AI37" s="319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</row>
    <row r="38" spans="1:56" ht="15">
      <c r="A38" s="173" t="s">
        <v>460</v>
      </c>
      <c r="B38" s="174" t="s">
        <v>75</v>
      </c>
      <c r="C38" s="201"/>
      <c r="D38" s="201">
        <v>8</v>
      </c>
      <c r="E38" s="232">
        <v>42738</v>
      </c>
      <c r="F38" s="2" t="s">
        <v>561</v>
      </c>
      <c r="G38" s="207">
        <v>17.8</v>
      </c>
      <c r="H38" s="12">
        <v>13.528</v>
      </c>
      <c r="I38" s="12">
        <v>405.84</v>
      </c>
      <c r="J38" s="262"/>
      <c r="K38" s="262"/>
      <c r="L38" s="175">
        <v>1.1200000000000001</v>
      </c>
      <c r="M38" s="175">
        <v>49</v>
      </c>
      <c r="N38" s="175">
        <v>17.2</v>
      </c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19"/>
      <c r="AB38" s="319"/>
      <c r="AC38" s="319"/>
      <c r="AD38" s="319"/>
      <c r="AE38" s="319"/>
      <c r="AF38" s="319"/>
      <c r="AG38" s="319"/>
      <c r="AH38" s="319"/>
      <c r="AI38" s="319"/>
      <c r="AJ38" s="319"/>
      <c r="AK38" s="319"/>
      <c r="AL38" s="319"/>
      <c r="AM38" s="319"/>
      <c r="AN38" s="319"/>
      <c r="AO38" s="319"/>
      <c r="AP38" s="319"/>
      <c r="AQ38" s="319"/>
      <c r="AR38" s="319"/>
      <c r="AS38" s="319"/>
      <c r="AT38" s="319"/>
      <c r="AU38" s="319"/>
      <c r="AV38" s="319"/>
      <c r="AW38" s="319"/>
      <c r="AX38" s="319"/>
    </row>
    <row r="39" spans="1:56" ht="15">
      <c r="A39" s="178" t="s">
        <v>461</v>
      </c>
      <c r="B39" s="179" t="s">
        <v>278</v>
      </c>
      <c r="C39" s="180"/>
      <c r="D39" s="180">
        <v>7</v>
      </c>
      <c r="E39" s="239">
        <v>42738</v>
      </c>
      <c r="F39" s="2" t="s">
        <v>560</v>
      </c>
      <c r="G39" s="208">
        <v>17.600000000000001</v>
      </c>
      <c r="H39" s="12">
        <v>13.375999999999999</v>
      </c>
      <c r="I39" s="12">
        <v>401.28</v>
      </c>
      <c r="J39" s="223"/>
      <c r="K39" s="223"/>
      <c r="L39" s="182">
        <v>1.07</v>
      </c>
      <c r="M39" s="182">
        <v>49</v>
      </c>
      <c r="N39" s="182">
        <v>18.7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</row>
    <row r="40" spans="1:56" ht="15">
      <c r="A40" s="266" t="s">
        <v>472</v>
      </c>
      <c r="B40" s="266" t="s">
        <v>420</v>
      </c>
      <c r="C40" s="268"/>
      <c r="D40" s="268">
        <v>5</v>
      </c>
      <c r="E40" s="270">
        <v>42741</v>
      </c>
      <c r="F40" s="271"/>
      <c r="G40" s="226">
        <v>15.4</v>
      </c>
      <c r="H40" s="12">
        <v>11.704000000000001</v>
      </c>
      <c r="I40" s="12">
        <v>351.12</v>
      </c>
      <c r="J40" s="227"/>
      <c r="K40" s="227"/>
      <c r="L40" s="204">
        <v>1.02</v>
      </c>
      <c r="M40" s="204">
        <v>47.2</v>
      </c>
      <c r="N40" s="204">
        <v>16</v>
      </c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/>
      <c r="AI40" s="319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228"/>
      <c r="AZ40" s="228"/>
      <c r="BA40" s="228"/>
      <c r="BB40" s="228"/>
      <c r="BC40" s="228"/>
      <c r="BD40" s="228"/>
    </row>
    <row r="41" spans="1:56" ht="15">
      <c r="A41" s="202" t="s">
        <v>462</v>
      </c>
      <c r="B41" s="203" t="s">
        <v>330</v>
      </c>
      <c r="C41" s="204"/>
      <c r="D41" s="204">
        <v>11</v>
      </c>
      <c r="E41" s="224">
        <v>42740</v>
      </c>
      <c r="F41" s="225" t="s">
        <v>560</v>
      </c>
      <c r="G41" s="226">
        <v>25.2</v>
      </c>
      <c r="H41" s="12">
        <v>19.152000000000001</v>
      </c>
      <c r="I41" s="12">
        <v>574.55999999999995</v>
      </c>
      <c r="J41" s="227"/>
      <c r="K41" s="227"/>
      <c r="L41" s="204">
        <v>1.24</v>
      </c>
      <c r="M41" s="204">
        <v>51</v>
      </c>
      <c r="N41" s="204">
        <v>20</v>
      </c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  <c r="AA41" s="319"/>
      <c r="AB41" s="319"/>
      <c r="AC41" s="319"/>
      <c r="AD41" s="319"/>
      <c r="AE41" s="319"/>
      <c r="AF41" s="319"/>
      <c r="AG41" s="319"/>
      <c r="AH41" s="319"/>
      <c r="AI41" s="319"/>
      <c r="AJ41" s="319"/>
      <c r="AK41" s="319"/>
      <c r="AL41" s="319"/>
      <c r="AM41" s="319"/>
      <c r="AN41" s="319"/>
      <c r="AO41" s="319"/>
      <c r="AP41" s="319"/>
      <c r="AQ41" s="319"/>
      <c r="AR41" s="319"/>
      <c r="AS41" s="319"/>
      <c r="AT41" s="319"/>
      <c r="AU41" s="319"/>
      <c r="AV41" s="319"/>
      <c r="AW41" s="319"/>
      <c r="AX41" s="319"/>
      <c r="AY41" s="228"/>
      <c r="AZ41" s="228"/>
      <c r="BA41" s="228"/>
      <c r="BB41" s="228"/>
      <c r="BC41" s="228"/>
      <c r="BD41" s="228"/>
    </row>
    <row r="42" spans="1:56" ht="15">
      <c r="A42" s="178" t="s">
        <v>463</v>
      </c>
      <c r="B42" s="179" t="s">
        <v>339</v>
      </c>
      <c r="C42" s="182"/>
      <c r="D42" s="182">
        <v>9</v>
      </c>
      <c r="E42" s="239">
        <v>42740</v>
      </c>
      <c r="F42" s="2" t="s">
        <v>560</v>
      </c>
      <c r="G42" s="208">
        <v>21.2</v>
      </c>
      <c r="H42" s="12">
        <v>16.111999999999998</v>
      </c>
      <c r="I42" s="12">
        <v>483.36</v>
      </c>
      <c r="J42" s="223"/>
      <c r="K42" s="223"/>
      <c r="L42" s="182">
        <v>1.22</v>
      </c>
      <c r="M42" s="182">
        <v>51.8</v>
      </c>
      <c r="N42" s="182">
        <v>18</v>
      </c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319"/>
      <c r="AB42" s="319"/>
      <c r="AC42" s="319"/>
      <c r="AD42" s="319"/>
      <c r="AE42" s="319"/>
      <c r="AF42" s="319"/>
      <c r="AG42" s="319"/>
      <c r="AH42" s="319"/>
      <c r="AI42" s="319"/>
      <c r="AJ42" s="319"/>
      <c r="AK42" s="319"/>
      <c r="AL42" s="319"/>
      <c r="AM42" s="319"/>
      <c r="AN42" s="319"/>
      <c r="AO42" s="319"/>
      <c r="AP42" s="319"/>
      <c r="AQ42" s="319"/>
      <c r="AR42" s="319"/>
      <c r="AS42" s="319"/>
      <c r="AT42" s="319"/>
      <c r="AU42" s="319"/>
      <c r="AV42" s="319"/>
      <c r="AW42" s="319"/>
      <c r="AX42" s="319"/>
    </row>
    <row r="43" spans="1:56" ht="15">
      <c r="A43" s="178" t="s">
        <v>464</v>
      </c>
      <c r="B43" s="179" t="s">
        <v>104</v>
      </c>
      <c r="C43" s="182"/>
      <c r="D43" s="182">
        <v>7</v>
      </c>
      <c r="E43" s="239">
        <v>42740</v>
      </c>
      <c r="F43" s="2" t="s">
        <v>560</v>
      </c>
      <c r="G43" s="208">
        <v>15.2</v>
      </c>
      <c r="H43" s="12">
        <v>11.552</v>
      </c>
      <c r="I43" s="12">
        <v>346.56</v>
      </c>
      <c r="J43" s="223"/>
      <c r="K43" s="223"/>
      <c r="L43" s="182">
        <v>1.02</v>
      </c>
      <c r="M43" s="182">
        <v>48.2</v>
      </c>
      <c r="N43" s="182">
        <v>16.2</v>
      </c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/>
      <c r="AJ43" s="319"/>
      <c r="AK43" s="319"/>
      <c r="AL43" s="319"/>
      <c r="AM43" s="319"/>
      <c r="AN43" s="319"/>
      <c r="AO43" s="319"/>
      <c r="AP43" s="319"/>
      <c r="AQ43" s="319"/>
      <c r="AR43" s="319"/>
      <c r="AS43" s="319"/>
      <c r="AT43" s="319"/>
      <c r="AU43" s="319"/>
      <c r="AV43" s="319"/>
      <c r="AW43" s="319"/>
      <c r="AX43" s="319"/>
    </row>
    <row r="44" spans="1:56" ht="15">
      <c r="A44" s="198" t="s">
        <v>465</v>
      </c>
      <c r="B44" s="199" t="s">
        <v>96</v>
      </c>
      <c r="C44" s="205"/>
      <c r="D44" s="205">
        <v>10</v>
      </c>
      <c r="E44" s="264">
        <v>42739</v>
      </c>
      <c r="F44" s="2" t="s">
        <v>561</v>
      </c>
      <c r="G44" s="205">
        <v>29.1</v>
      </c>
      <c r="H44" s="12">
        <v>22.116</v>
      </c>
      <c r="I44" s="12">
        <v>663.48</v>
      </c>
      <c r="J44" s="262"/>
      <c r="K44" s="262"/>
      <c r="L44" s="205">
        <v>1.34</v>
      </c>
      <c r="M44" s="205">
        <v>51.2</v>
      </c>
      <c r="N44" s="205">
        <v>21</v>
      </c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  <c r="AJ44" s="319"/>
      <c r="AK44" s="319"/>
      <c r="AL44" s="319"/>
      <c r="AM44" s="319"/>
      <c r="AN44" s="319"/>
      <c r="AO44" s="319"/>
      <c r="AP44" s="319"/>
      <c r="AQ44" s="319"/>
      <c r="AR44" s="319"/>
      <c r="AS44" s="319"/>
      <c r="AT44" s="319"/>
      <c r="AU44" s="319"/>
      <c r="AV44" s="319"/>
      <c r="AW44" s="319"/>
      <c r="AX44" s="319"/>
    </row>
    <row r="45" spans="1:56" ht="15">
      <c r="A45" s="173" t="s">
        <v>466</v>
      </c>
      <c r="B45" s="174" t="s">
        <v>317</v>
      </c>
      <c r="C45" s="175"/>
      <c r="D45" s="175">
        <v>8</v>
      </c>
      <c r="E45" s="232">
        <v>42739</v>
      </c>
      <c r="F45" s="2" t="s">
        <v>561</v>
      </c>
      <c r="G45" s="175">
        <v>19.7</v>
      </c>
      <c r="H45" s="12">
        <v>14.972</v>
      </c>
      <c r="I45" s="12">
        <v>449.16</v>
      </c>
      <c r="J45" s="262"/>
      <c r="K45" s="262"/>
      <c r="L45" s="175">
        <v>1.19</v>
      </c>
      <c r="M45" s="175">
        <v>50</v>
      </c>
      <c r="N45" s="175">
        <v>17.399999999999999</v>
      </c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319"/>
    </row>
    <row r="46" spans="1:56" ht="15">
      <c r="A46" s="198" t="s">
        <v>467</v>
      </c>
      <c r="B46" s="199" t="s">
        <v>116</v>
      </c>
      <c r="C46" s="206"/>
      <c r="D46" s="206">
        <v>10</v>
      </c>
      <c r="E46" s="264">
        <v>42740</v>
      </c>
      <c r="F46" s="2" t="s">
        <v>561</v>
      </c>
      <c r="G46" s="206">
        <v>24.1</v>
      </c>
      <c r="H46" s="12">
        <v>18.315999999999999</v>
      </c>
      <c r="I46" s="12">
        <v>549.48</v>
      </c>
      <c r="J46" s="262"/>
      <c r="K46" s="262"/>
      <c r="L46" s="205">
        <v>1.27</v>
      </c>
      <c r="M46" s="205">
        <v>54.2</v>
      </c>
      <c r="N46" s="205">
        <v>19</v>
      </c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/>
      <c r="AC46" s="319"/>
      <c r="AD46" s="319"/>
      <c r="AE46" s="319"/>
      <c r="AF46" s="319"/>
      <c r="AG46" s="319"/>
      <c r="AH46" s="319"/>
      <c r="AI46" s="319"/>
      <c r="AJ46" s="319"/>
      <c r="AK46" s="319"/>
      <c r="AL46" s="319"/>
      <c r="AM46" s="319"/>
      <c r="AN46" s="319"/>
      <c r="AO46" s="319"/>
      <c r="AP46" s="319"/>
      <c r="AQ46" s="319"/>
      <c r="AR46" s="319"/>
      <c r="AS46" s="319"/>
      <c r="AT46" s="319"/>
      <c r="AU46" s="319"/>
      <c r="AV46" s="319"/>
      <c r="AW46" s="319"/>
      <c r="AX46" s="319"/>
    </row>
    <row r="47" spans="1:56" ht="13">
      <c r="D47" s="2">
        <v>2014</v>
      </c>
      <c r="F47" s="2">
        <v>2016</v>
      </c>
      <c r="J47" s="2">
        <v>2017</v>
      </c>
      <c r="N47" s="2">
        <v>2018</v>
      </c>
      <c r="AC47" s="319"/>
      <c r="AD47" s="319"/>
      <c r="AE47" s="319"/>
      <c r="AF47" s="319"/>
      <c r="AG47" s="319"/>
      <c r="AH47" s="319"/>
      <c r="AI47" s="319"/>
      <c r="AJ47" s="319"/>
      <c r="AK47" s="319"/>
      <c r="AL47" s="319"/>
      <c r="AM47" s="319"/>
      <c r="AN47" s="319"/>
      <c r="AO47" s="319"/>
      <c r="AP47" s="319"/>
      <c r="AQ47" s="319"/>
      <c r="AR47" s="319"/>
      <c r="AS47" s="319"/>
      <c r="AT47" s="319"/>
      <c r="AU47" s="319"/>
      <c r="AV47" s="319"/>
      <c r="AW47" s="319"/>
      <c r="AX47" s="319"/>
    </row>
    <row r="48" spans="1:56" ht="16">
      <c r="B48" s="218" t="s">
        <v>2</v>
      </c>
      <c r="D48" s="277" t="s">
        <v>526</v>
      </c>
      <c r="E48" s="277" t="s">
        <v>556</v>
      </c>
      <c r="F48" s="277" t="s">
        <v>526</v>
      </c>
      <c r="G48" s="277" t="s">
        <v>556</v>
      </c>
      <c r="H48" s="279" t="s">
        <v>575</v>
      </c>
      <c r="I48" s="279" t="s">
        <v>576</v>
      </c>
      <c r="J48" s="253" t="s">
        <v>526</v>
      </c>
      <c r="K48" s="253" t="s">
        <v>556</v>
      </c>
      <c r="L48" s="36" t="s">
        <v>575</v>
      </c>
      <c r="M48" s="36" t="s">
        <v>576</v>
      </c>
      <c r="N48" s="253" t="s">
        <v>526</v>
      </c>
      <c r="O48" s="253" t="s">
        <v>556</v>
      </c>
      <c r="P48" s="36" t="s">
        <v>575</v>
      </c>
      <c r="Q48" s="36" t="s">
        <v>576</v>
      </c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</row>
    <row r="49" spans="1:56" ht="15">
      <c r="A49" s="55" t="s">
        <v>437</v>
      </c>
      <c r="B49" s="55" t="s">
        <v>438</v>
      </c>
      <c r="C49" s="253"/>
      <c r="F49" s="2">
        <v>44</v>
      </c>
      <c r="G49" s="2">
        <v>1.31</v>
      </c>
      <c r="J49" s="2">
        <v>53.5</v>
      </c>
      <c r="K49" s="2">
        <v>1.48</v>
      </c>
      <c r="AE49" s="319"/>
      <c r="AF49" s="319"/>
    </row>
    <row r="50" spans="1:56" ht="15">
      <c r="A50" s="55" t="s">
        <v>439</v>
      </c>
      <c r="B50" s="55" t="s">
        <v>207</v>
      </c>
      <c r="D50" s="2">
        <v>16.3</v>
      </c>
      <c r="E50" s="2">
        <v>1.04</v>
      </c>
      <c r="F50" s="253">
        <v>44</v>
      </c>
      <c r="G50" s="253"/>
      <c r="H50" s="36"/>
      <c r="I50" s="36"/>
      <c r="J50" s="281">
        <v>20</v>
      </c>
      <c r="K50" s="281">
        <v>1.22</v>
      </c>
      <c r="L50" s="36"/>
      <c r="M50" s="36"/>
      <c r="AE50" s="319"/>
      <c r="AF50" s="319"/>
    </row>
    <row r="51" spans="1:56" ht="13">
      <c r="A51" s="319" t="s">
        <v>440</v>
      </c>
      <c r="B51" s="319" t="s">
        <v>257</v>
      </c>
      <c r="C51" s="319"/>
      <c r="D51" s="319">
        <v>15.8</v>
      </c>
      <c r="E51" s="319">
        <v>0.98</v>
      </c>
      <c r="F51" s="319">
        <v>19</v>
      </c>
      <c r="G51" s="319">
        <v>1.03</v>
      </c>
      <c r="H51" s="319"/>
      <c r="I51" s="319"/>
      <c r="J51" s="319"/>
      <c r="K51" s="319"/>
      <c r="L51" s="319">
        <v>51.2</v>
      </c>
      <c r="M51" s="319">
        <v>18.7</v>
      </c>
      <c r="N51" s="319">
        <v>18.3</v>
      </c>
      <c r="O51" s="319">
        <v>1.05</v>
      </c>
      <c r="P51" s="319"/>
      <c r="Q51" s="319"/>
      <c r="R51" s="319"/>
      <c r="S51" s="319"/>
      <c r="AE51" s="319"/>
      <c r="AF51" s="319"/>
    </row>
    <row r="52" spans="1:56" ht="13">
      <c r="A52" s="319" t="s">
        <v>445</v>
      </c>
      <c r="B52" s="319" t="s">
        <v>234</v>
      </c>
      <c r="C52" s="319"/>
      <c r="D52" s="319">
        <v>22</v>
      </c>
      <c r="E52" s="319">
        <v>1.1000000000000001</v>
      </c>
      <c r="F52" s="319">
        <v>24.7</v>
      </c>
      <c r="G52" s="319">
        <v>1.0900000000000001</v>
      </c>
      <c r="H52" s="319"/>
      <c r="I52" s="319"/>
      <c r="J52" s="319">
        <v>27.3</v>
      </c>
      <c r="K52" s="319">
        <v>1.24</v>
      </c>
      <c r="L52" s="319">
        <v>54.1</v>
      </c>
      <c r="M52" s="319">
        <v>17.600000000000001</v>
      </c>
      <c r="N52" s="319">
        <v>27.3</v>
      </c>
      <c r="O52" s="319">
        <v>1.25</v>
      </c>
      <c r="P52" s="319">
        <v>53.8</v>
      </c>
      <c r="Q52" s="319">
        <v>17.600000000000001</v>
      </c>
      <c r="R52" s="319"/>
      <c r="S52" s="319"/>
      <c r="AE52" s="319"/>
      <c r="AF52" s="319"/>
    </row>
    <row r="53" spans="1:56" ht="13">
      <c r="A53" s="319" t="s">
        <v>446</v>
      </c>
      <c r="B53" s="319" t="s">
        <v>248</v>
      </c>
      <c r="C53" s="319"/>
      <c r="D53" s="319">
        <v>20.2</v>
      </c>
      <c r="E53" s="319">
        <v>1.1200000000000001</v>
      </c>
      <c r="F53" s="319">
        <v>22.3</v>
      </c>
      <c r="G53" s="319">
        <v>1.05</v>
      </c>
      <c r="H53" s="319"/>
      <c r="I53" s="319"/>
      <c r="J53" s="319">
        <v>25.5</v>
      </c>
      <c r="K53" s="319">
        <v>1.2</v>
      </c>
      <c r="L53" s="319">
        <v>53.6</v>
      </c>
      <c r="M53" s="319">
        <v>18.2</v>
      </c>
      <c r="N53" s="319">
        <v>26.5</v>
      </c>
      <c r="O53" s="319">
        <v>1.21</v>
      </c>
      <c r="P53" s="319">
        <v>53</v>
      </c>
      <c r="Q53" s="319">
        <v>18.899999999999999</v>
      </c>
      <c r="R53" s="319"/>
      <c r="S53" s="319"/>
      <c r="AE53" s="319"/>
      <c r="AF53" s="319"/>
    </row>
    <row r="54" spans="1:56" ht="13">
      <c r="A54" s="319" t="s">
        <v>577</v>
      </c>
      <c r="B54" s="319" t="s">
        <v>148</v>
      </c>
      <c r="C54" s="319"/>
      <c r="D54" s="319">
        <v>15.9</v>
      </c>
      <c r="E54" s="319">
        <v>0.92</v>
      </c>
      <c r="F54" s="319">
        <v>17.8</v>
      </c>
      <c r="G54" s="319">
        <v>0.93</v>
      </c>
      <c r="H54" s="319"/>
      <c r="I54" s="319"/>
      <c r="J54" s="319">
        <v>19.8</v>
      </c>
      <c r="K54" s="319">
        <v>1.0900000000000001</v>
      </c>
      <c r="L54" s="319">
        <v>49.6</v>
      </c>
      <c r="M54" s="319">
        <v>16.899999999999999</v>
      </c>
      <c r="N54" s="319">
        <v>21.4</v>
      </c>
      <c r="O54" s="319">
        <v>1.1100000000000001</v>
      </c>
      <c r="P54" s="319">
        <v>49.6</v>
      </c>
      <c r="Q54" s="319">
        <v>17</v>
      </c>
      <c r="R54" s="319"/>
      <c r="S54" s="319"/>
      <c r="AE54" s="319"/>
      <c r="AF54" s="319"/>
    </row>
    <row r="55" spans="1:56" ht="13">
      <c r="A55" s="319" t="s">
        <v>408</v>
      </c>
      <c r="B55" s="319" t="s">
        <v>409</v>
      </c>
      <c r="C55" s="319"/>
      <c r="D55" s="319"/>
      <c r="E55" s="319"/>
      <c r="F55" s="319">
        <v>16.600000000000001</v>
      </c>
      <c r="G55" s="319">
        <v>1.01</v>
      </c>
      <c r="H55" s="319"/>
      <c r="I55" s="319"/>
      <c r="J55" s="319">
        <v>18.8</v>
      </c>
      <c r="K55" s="319">
        <v>1.17</v>
      </c>
      <c r="L55" s="319">
        <v>50.5</v>
      </c>
      <c r="M55" s="319">
        <v>15.6</v>
      </c>
      <c r="N55" s="319">
        <v>43211</v>
      </c>
      <c r="O55" s="319">
        <v>43405</v>
      </c>
      <c r="P55" s="319" t="s">
        <v>566</v>
      </c>
      <c r="Q55" s="319">
        <v>17</v>
      </c>
      <c r="R55" s="319"/>
      <c r="S55" s="319"/>
      <c r="AE55" s="319"/>
      <c r="AF55" s="319"/>
    </row>
    <row r="56" spans="1:56" ht="13">
      <c r="A56" s="319" t="s">
        <v>436</v>
      </c>
      <c r="B56" s="319" t="s">
        <v>15</v>
      </c>
      <c r="C56" s="319"/>
      <c r="D56" s="319"/>
      <c r="E56" s="319"/>
      <c r="F56" s="319">
        <v>15.1</v>
      </c>
      <c r="G56" s="319">
        <v>0.91</v>
      </c>
      <c r="H56" s="319"/>
      <c r="I56" s="319"/>
      <c r="J56" s="319">
        <v>43267</v>
      </c>
      <c r="K56" s="319">
        <v>1.06</v>
      </c>
      <c r="L56" s="319">
        <v>51.3</v>
      </c>
      <c r="M56" s="319">
        <v>160.1</v>
      </c>
      <c r="N56" s="319"/>
      <c r="O56" s="319"/>
      <c r="P56" s="319"/>
      <c r="Q56" s="319"/>
      <c r="R56" s="319"/>
      <c r="S56" s="319"/>
      <c r="AE56" s="319"/>
      <c r="AF56" s="319"/>
    </row>
    <row r="57" spans="1:56" ht="13">
      <c r="A57" s="319" t="s">
        <v>433</v>
      </c>
      <c r="B57" s="319" t="s">
        <v>434</v>
      </c>
      <c r="C57" s="319"/>
      <c r="D57" s="319">
        <v>11.8</v>
      </c>
      <c r="E57" s="319">
        <v>0.86</v>
      </c>
      <c r="F57" s="319">
        <v>21</v>
      </c>
      <c r="G57" s="319">
        <v>1.07</v>
      </c>
      <c r="H57" s="319">
        <v>51.8</v>
      </c>
      <c r="I57" s="319">
        <v>18.5</v>
      </c>
      <c r="J57" s="319">
        <v>23.4</v>
      </c>
      <c r="K57" s="319">
        <v>1.24</v>
      </c>
      <c r="L57" s="319">
        <v>51.5</v>
      </c>
      <c r="M57" s="319">
        <v>18.3</v>
      </c>
      <c r="N57" s="319"/>
      <c r="O57" s="319"/>
      <c r="P57" s="319"/>
      <c r="Q57" s="319"/>
      <c r="R57" s="319"/>
      <c r="S57" s="319"/>
      <c r="AE57" s="319"/>
      <c r="AF57" s="319"/>
    </row>
    <row r="58" spans="1:56" ht="15">
      <c r="A58" s="319" t="s">
        <v>449</v>
      </c>
      <c r="B58" s="319" t="s">
        <v>26</v>
      </c>
      <c r="C58" s="319"/>
      <c r="D58" s="319">
        <v>13.5</v>
      </c>
      <c r="E58" s="319">
        <v>0.95</v>
      </c>
      <c r="F58" s="319">
        <v>15.6</v>
      </c>
      <c r="G58" s="319">
        <v>1.03</v>
      </c>
      <c r="H58" s="319">
        <v>48.5</v>
      </c>
      <c r="I58" s="319">
        <v>14.4</v>
      </c>
      <c r="J58" s="319">
        <v>17.3</v>
      </c>
      <c r="K58" s="319">
        <v>1.1299999999999999</v>
      </c>
      <c r="L58" s="319">
        <v>49.9</v>
      </c>
      <c r="M58" s="319">
        <v>16.100000000000001</v>
      </c>
      <c r="N58" s="319">
        <v>19.100000000000001</v>
      </c>
      <c r="O58" s="319">
        <v>1.1599999999999999</v>
      </c>
      <c r="P58" s="319">
        <v>49.3</v>
      </c>
      <c r="Q58" s="319">
        <v>15.8</v>
      </c>
      <c r="R58" s="319">
        <v>21</v>
      </c>
      <c r="S58" s="319">
        <v>1.07</v>
      </c>
      <c r="T58" s="284">
        <v>51.8</v>
      </c>
      <c r="U58" s="284">
        <v>18.5</v>
      </c>
      <c r="AE58" s="319"/>
      <c r="AF58" s="319"/>
    </row>
    <row r="59" spans="1:56" ht="13">
      <c r="A59" s="319" t="s">
        <v>441</v>
      </c>
      <c r="B59" s="319" t="s">
        <v>36</v>
      </c>
      <c r="C59" s="319"/>
      <c r="D59" s="319">
        <v>15.6</v>
      </c>
      <c r="E59" s="319">
        <v>1.0900000000000001</v>
      </c>
      <c r="F59" s="319">
        <v>19.5</v>
      </c>
      <c r="G59" s="319">
        <v>1.18</v>
      </c>
      <c r="H59" s="377">
        <v>49.5</v>
      </c>
      <c r="I59" s="319">
        <v>43327</v>
      </c>
      <c r="J59" s="319">
        <v>23.1</v>
      </c>
      <c r="K59" s="319">
        <v>1.28</v>
      </c>
      <c r="L59" s="319">
        <v>51.4</v>
      </c>
      <c r="M59" s="319">
        <v>17.5</v>
      </c>
      <c r="N59" s="319">
        <v>27.5</v>
      </c>
      <c r="O59" s="319">
        <v>1.29</v>
      </c>
      <c r="P59" s="319">
        <v>51.2</v>
      </c>
      <c r="Q59" s="319">
        <v>17.100000000000001</v>
      </c>
      <c r="R59" s="319"/>
      <c r="S59" s="319"/>
      <c r="X59" s="133"/>
      <c r="Y59" s="133"/>
      <c r="Z59" s="133"/>
      <c r="AA59" s="133"/>
      <c r="AB59" s="133"/>
      <c r="AC59" s="133"/>
      <c r="AD59" s="133"/>
      <c r="AE59" s="319"/>
      <c r="AF59" s="319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</row>
    <row r="60" spans="1:56" ht="15">
      <c r="A60" s="319" t="s">
        <v>448</v>
      </c>
      <c r="B60" s="319" t="s">
        <v>46</v>
      </c>
      <c r="C60" s="319"/>
      <c r="D60" s="319"/>
      <c r="E60" s="319"/>
      <c r="F60" s="319">
        <v>25.2</v>
      </c>
      <c r="G60" s="319">
        <v>1.18</v>
      </c>
      <c r="H60" s="319"/>
      <c r="I60" s="319"/>
      <c r="J60" s="319">
        <v>29.5</v>
      </c>
      <c r="K60" s="319">
        <v>1.35</v>
      </c>
      <c r="L60" s="319">
        <v>53.1</v>
      </c>
      <c r="M60" s="319">
        <v>19</v>
      </c>
      <c r="N60" s="319"/>
      <c r="O60" s="319"/>
      <c r="P60" s="319"/>
      <c r="Q60" s="319"/>
      <c r="R60" s="319">
        <v>43247</v>
      </c>
      <c r="S60" s="319" t="s">
        <v>578</v>
      </c>
      <c r="T60" s="285" t="s">
        <v>579</v>
      </c>
      <c r="U60" s="286">
        <v>17</v>
      </c>
      <c r="AE60" s="319"/>
      <c r="AF60" s="319"/>
    </row>
    <row r="61" spans="1:56" ht="13">
      <c r="A61" s="319" t="s">
        <v>435</v>
      </c>
      <c r="B61" s="319" t="s">
        <v>67</v>
      </c>
      <c r="C61" s="319"/>
      <c r="D61" s="319"/>
      <c r="E61" s="319"/>
      <c r="F61" s="319">
        <v>18</v>
      </c>
      <c r="G61" s="319">
        <v>1.02</v>
      </c>
      <c r="H61" s="319"/>
      <c r="I61" s="319"/>
      <c r="J61" s="319">
        <v>20.9</v>
      </c>
      <c r="K61" s="319">
        <v>1.18</v>
      </c>
      <c r="L61" s="319">
        <v>50.7</v>
      </c>
      <c r="M61" s="319">
        <v>16.600000000000001</v>
      </c>
      <c r="N61" s="319">
        <v>23.1</v>
      </c>
      <c r="O61" s="319">
        <v>1.22</v>
      </c>
      <c r="P61" s="319">
        <v>50.5</v>
      </c>
      <c r="Q61" s="319">
        <v>17</v>
      </c>
      <c r="R61" s="319"/>
      <c r="S61" s="319"/>
      <c r="AE61" s="319"/>
      <c r="AF61" s="319"/>
    </row>
    <row r="62" spans="1:56" ht="13">
      <c r="A62" s="319" t="s">
        <v>444</v>
      </c>
      <c r="B62" s="319" t="s">
        <v>59</v>
      </c>
      <c r="C62" s="319"/>
      <c r="D62" s="319">
        <v>18</v>
      </c>
      <c r="E62" s="319">
        <v>1.02</v>
      </c>
      <c r="F62" s="319">
        <v>21.5</v>
      </c>
      <c r="G62" s="319">
        <v>1.1100000000000001</v>
      </c>
      <c r="H62" s="319"/>
      <c r="I62" s="319"/>
      <c r="J62" s="319">
        <v>26.7</v>
      </c>
      <c r="K62" s="319">
        <v>1.27</v>
      </c>
      <c r="L62" s="319">
        <v>49.9</v>
      </c>
      <c r="M62" s="319">
        <v>19.5</v>
      </c>
      <c r="N62" s="319">
        <v>29.4</v>
      </c>
      <c r="O62" s="319">
        <v>1.31</v>
      </c>
      <c r="P62" s="319">
        <v>50.2</v>
      </c>
      <c r="Q62" s="319">
        <v>18.5</v>
      </c>
      <c r="R62" s="319"/>
      <c r="S62" s="319"/>
      <c r="AE62" s="319"/>
      <c r="AF62" s="319"/>
    </row>
    <row r="63" spans="1:56" ht="13">
      <c r="A63" s="319" t="s">
        <v>470</v>
      </c>
      <c r="B63" s="319" t="s">
        <v>471</v>
      </c>
      <c r="C63" s="319">
        <v>3</v>
      </c>
      <c r="D63" s="319">
        <v>14.9</v>
      </c>
      <c r="E63" s="319">
        <v>0.82499999999999996</v>
      </c>
      <c r="F63" s="319">
        <v>21.5</v>
      </c>
      <c r="G63" s="319">
        <v>1.17</v>
      </c>
      <c r="H63" s="319"/>
      <c r="I63" s="319"/>
      <c r="J63" s="319">
        <v>43219</v>
      </c>
      <c r="K63" s="319" t="s">
        <v>562</v>
      </c>
      <c r="L63" s="319">
        <v>50.3</v>
      </c>
      <c r="M63" s="319">
        <v>17.100000000000001</v>
      </c>
      <c r="N63" s="319"/>
      <c r="O63" s="319"/>
      <c r="P63" s="319"/>
      <c r="Q63" s="319"/>
      <c r="R63" s="319"/>
      <c r="S63" s="319"/>
      <c r="AE63" s="319"/>
      <c r="AF63" s="319"/>
    </row>
    <row r="64" spans="1:56" ht="13">
      <c r="A64" s="319" t="s">
        <v>580</v>
      </c>
      <c r="B64" s="319" t="s">
        <v>581</v>
      </c>
      <c r="C64" s="319">
        <v>3</v>
      </c>
      <c r="D64" s="319">
        <v>13</v>
      </c>
      <c r="E64" s="319">
        <v>0.86</v>
      </c>
      <c r="F64" s="319">
        <v>14.7</v>
      </c>
      <c r="G64" s="319">
        <v>0.91</v>
      </c>
      <c r="H64" s="319"/>
      <c r="I64" s="319"/>
      <c r="J64" s="319">
        <v>17.3</v>
      </c>
      <c r="K64" s="319">
        <v>86.5</v>
      </c>
      <c r="L64" s="319"/>
      <c r="M64" s="319"/>
      <c r="N64" s="319">
        <v>21.1</v>
      </c>
      <c r="O64" s="319">
        <v>1.08</v>
      </c>
      <c r="P64" s="319">
        <v>49.9</v>
      </c>
      <c r="Q64" s="319">
        <v>17.100000000000001</v>
      </c>
      <c r="R64" s="319"/>
      <c r="S64" s="319"/>
      <c r="AE64" s="319"/>
      <c r="AF64" s="319"/>
    </row>
    <row r="65" spans="1:32" ht="13">
      <c r="A65" s="319" t="s">
        <v>387</v>
      </c>
      <c r="B65" s="319" t="s">
        <v>504</v>
      </c>
      <c r="C65" s="319">
        <v>5</v>
      </c>
      <c r="D65" s="319">
        <v>16.600000000000001</v>
      </c>
      <c r="E65" s="319">
        <v>0.96</v>
      </c>
      <c r="F65" s="319"/>
      <c r="G65" s="319"/>
      <c r="H65" s="319"/>
      <c r="I65" s="319"/>
      <c r="J65" s="319">
        <v>21.8</v>
      </c>
      <c r="K65" s="319">
        <v>1.1599999999999999</v>
      </c>
      <c r="L65" s="319">
        <v>49.4</v>
      </c>
      <c r="M65" s="319">
        <v>17.8</v>
      </c>
      <c r="N65" s="319">
        <v>23</v>
      </c>
      <c r="O65" s="319">
        <v>1.18</v>
      </c>
      <c r="P65" s="319">
        <v>49.5</v>
      </c>
      <c r="Q65" s="319">
        <v>17.3</v>
      </c>
      <c r="R65" s="319"/>
      <c r="S65" s="319"/>
      <c r="AE65" s="319"/>
      <c r="AF65" s="319"/>
    </row>
    <row r="66" spans="1:32" ht="15.75" customHeight="1">
      <c r="A66" s="319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AE66" s="319"/>
      <c r="AF66" s="319"/>
    </row>
    <row r="67" spans="1:32" ht="15.75" customHeight="1">
      <c r="A67" s="319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AE67" s="319"/>
      <c r="AF67" s="319"/>
    </row>
    <row r="68" spans="1:32" ht="13">
      <c r="A68" s="319"/>
      <c r="B68" s="319"/>
      <c r="C68" s="319"/>
      <c r="D68" s="319">
        <v>2014</v>
      </c>
      <c r="E68" s="319"/>
      <c r="F68" s="319">
        <v>2016</v>
      </c>
      <c r="G68" s="319"/>
      <c r="H68" s="319"/>
      <c r="I68" s="319"/>
      <c r="J68" s="319">
        <v>2017</v>
      </c>
      <c r="K68" s="319"/>
      <c r="L68" s="319"/>
      <c r="M68" s="319"/>
      <c r="N68" s="319">
        <v>2018</v>
      </c>
      <c r="O68" s="319"/>
      <c r="P68" s="319"/>
      <c r="Q68" s="319"/>
      <c r="R68" s="319"/>
      <c r="S68" s="319"/>
      <c r="AE68" s="319"/>
      <c r="AF68" s="319"/>
    </row>
    <row r="69" spans="1:32" ht="13">
      <c r="A69" s="319"/>
      <c r="B69" s="319" t="s">
        <v>2</v>
      </c>
      <c r="C69" s="319"/>
      <c r="D69" s="319" t="s">
        <v>526</v>
      </c>
      <c r="E69" s="319" t="s">
        <v>556</v>
      </c>
      <c r="F69" s="319" t="s">
        <v>526</v>
      </c>
      <c r="G69" s="319" t="s">
        <v>556</v>
      </c>
      <c r="H69" s="319" t="s">
        <v>575</v>
      </c>
      <c r="I69" s="319" t="s">
        <v>576</v>
      </c>
      <c r="J69" s="319" t="s">
        <v>526</v>
      </c>
      <c r="K69" s="319" t="s">
        <v>556</v>
      </c>
      <c r="L69" s="319" t="s">
        <v>575</v>
      </c>
      <c r="M69" s="319" t="s">
        <v>576</v>
      </c>
      <c r="N69" s="319" t="s">
        <v>526</v>
      </c>
      <c r="O69" s="319" t="s">
        <v>556</v>
      </c>
      <c r="P69" s="319" t="s">
        <v>575</v>
      </c>
      <c r="Q69" s="319" t="s">
        <v>576</v>
      </c>
      <c r="R69" s="319"/>
      <c r="S69" s="319"/>
      <c r="AE69" s="319"/>
      <c r="AF69" s="319"/>
    </row>
    <row r="70" spans="1:32" ht="13">
      <c r="A70" s="319" t="s">
        <v>459</v>
      </c>
      <c r="B70" s="319" t="s">
        <v>268</v>
      </c>
      <c r="C70" s="319"/>
      <c r="D70" s="319"/>
      <c r="E70" s="319"/>
      <c r="F70" s="319">
        <v>21.5</v>
      </c>
      <c r="G70" s="319">
        <v>1.2</v>
      </c>
      <c r="H70" s="319">
        <v>50.8</v>
      </c>
      <c r="I70" s="319">
        <v>20.3</v>
      </c>
      <c r="J70" s="319">
        <v>25</v>
      </c>
      <c r="K70" s="319">
        <v>1.28</v>
      </c>
      <c r="L70" s="319">
        <v>51.1</v>
      </c>
      <c r="M70" s="319">
        <v>17.8</v>
      </c>
      <c r="N70" s="319"/>
      <c r="O70" s="319"/>
      <c r="P70" s="319"/>
      <c r="Q70" s="319"/>
      <c r="R70" s="319"/>
      <c r="S70" s="319"/>
      <c r="AE70" s="319"/>
      <c r="AF70" s="319"/>
    </row>
    <row r="71" spans="1:32" ht="13">
      <c r="A71" s="319" t="s">
        <v>460</v>
      </c>
      <c r="B71" s="319" t="s">
        <v>75</v>
      </c>
      <c r="C71" s="319"/>
      <c r="D71" s="319"/>
      <c r="E71" s="319"/>
      <c r="F71" s="319">
        <v>17.8</v>
      </c>
      <c r="G71" s="319">
        <v>1.1200000000000001</v>
      </c>
      <c r="H71" s="319">
        <v>49</v>
      </c>
      <c r="I71" s="319">
        <v>17.2</v>
      </c>
      <c r="J71" s="319">
        <v>21.2</v>
      </c>
      <c r="K71" s="319">
        <v>1.21</v>
      </c>
      <c r="L71" s="319">
        <v>50.1</v>
      </c>
      <c r="M71" s="319">
        <v>16.8</v>
      </c>
      <c r="N71" s="319"/>
      <c r="O71" s="319"/>
      <c r="P71" s="319"/>
      <c r="Q71" s="319"/>
      <c r="R71" s="319"/>
      <c r="S71" s="319"/>
    </row>
    <row r="72" spans="1:32" ht="13">
      <c r="A72" s="319" t="s">
        <v>461</v>
      </c>
      <c r="B72" s="319" t="s">
        <v>278</v>
      </c>
      <c r="C72" s="319"/>
      <c r="D72" s="319"/>
      <c r="E72" s="319"/>
      <c r="F72" s="319">
        <v>17.600000000000001</v>
      </c>
      <c r="G72" s="319">
        <v>1.07</v>
      </c>
      <c r="H72" s="319">
        <v>49</v>
      </c>
      <c r="I72" s="319">
        <v>18.7</v>
      </c>
      <c r="J72" s="319">
        <v>21</v>
      </c>
      <c r="K72" s="319">
        <v>1.17</v>
      </c>
      <c r="L72" s="319">
        <v>49.5</v>
      </c>
      <c r="M72" s="319">
        <v>17.3</v>
      </c>
      <c r="N72" s="319"/>
      <c r="O72" s="319"/>
      <c r="P72" s="319"/>
      <c r="Q72" s="319"/>
      <c r="R72" s="319"/>
      <c r="S72" s="319"/>
    </row>
    <row r="73" spans="1:32" ht="13">
      <c r="A73" s="319" t="s">
        <v>468</v>
      </c>
      <c r="B73" s="319" t="s">
        <v>290</v>
      </c>
      <c r="C73" s="319"/>
      <c r="D73" s="319"/>
      <c r="E73" s="319">
        <v>1.26</v>
      </c>
      <c r="F73" s="319">
        <v>23</v>
      </c>
      <c r="G73" s="319">
        <v>1.26</v>
      </c>
      <c r="H73" s="319">
        <v>51.6</v>
      </c>
      <c r="I73" s="319">
        <v>17</v>
      </c>
      <c r="J73" s="319">
        <v>25.6</v>
      </c>
      <c r="K73" s="319">
        <v>1.33</v>
      </c>
      <c r="L73" s="319">
        <v>51.6</v>
      </c>
      <c r="M73" s="319">
        <v>16.600000000000001</v>
      </c>
      <c r="N73" s="319"/>
      <c r="O73" s="319"/>
      <c r="P73" s="319"/>
      <c r="Q73" s="319"/>
      <c r="R73" s="319"/>
      <c r="S73" s="319"/>
    </row>
    <row r="74" spans="1:32" ht="13">
      <c r="A74" s="319" t="s">
        <v>469</v>
      </c>
      <c r="B74" s="319" t="s">
        <v>303</v>
      </c>
      <c r="C74" s="319"/>
      <c r="D74" s="319"/>
      <c r="E74" s="319">
        <v>1.19</v>
      </c>
      <c r="F74" s="319">
        <v>20.399999999999999</v>
      </c>
      <c r="G74" s="319">
        <v>1.19</v>
      </c>
      <c r="H74" s="319">
        <v>50.6</v>
      </c>
      <c r="I74" s="319">
        <v>16.93</v>
      </c>
      <c r="J74" s="319">
        <v>23.1</v>
      </c>
      <c r="K74" s="319">
        <v>1.26</v>
      </c>
      <c r="L74" s="319">
        <v>51</v>
      </c>
      <c r="M74" s="319">
        <v>16</v>
      </c>
      <c r="N74" s="319"/>
      <c r="O74" s="319"/>
      <c r="P74" s="319"/>
      <c r="Q74" s="319"/>
      <c r="R74" s="319"/>
      <c r="S74" s="319"/>
    </row>
    <row r="75" spans="1:32" ht="13">
      <c r="A75" s="319" t="s">
        <v>520</v>
      </c>
      <c r="B75" s="319" t="s">
        <v>521</v>
      </c>
      <c r="C75" s="319"/>
      <c r="D75" s="319"/>
      <c r="E75" s="319">
        <v>1.0900000000000001</v>
      </c>
      <c r="F75" s="319">
        <v>43297</v>
      </c>
      <c r="G75" s="319">
        <v>43344</v>
      </c>
      <c r="H75" s="377">
        <v>49.7</v>
      </c>
      <c r="I75" s="319">
        <v>43146</v>
      </c>
      <c r="J75" s="319">
        <v>17.600000000000001</v>
      </c>
      <c r="K75" s="319"/>
      <c r="L75" s="319">
        <v>49.5</v>
      </c>
      <c r="M75" s="319">
        <v>15.4</v>
      </c>
      <c r="N75" s="319"/>
      <c r="O75" s="319"/>
      <c r="P75" s="319"/>
      <c r="Q75" s="319"/>
      <c r="R75" s="319"/>
      <c r="S75" s="319"/>
    </row>
    <row r="76" spans="1:32" ht="13">
      <c r="A76" s="319" t="s">
        <v>199</v>
      </c>
      <c r="B76" s="319" t="s">
        <v>200</v>
      </c>
      <c r="C76" s="319"/>
      <c r="D76" s="319"/>
      <c r="E76" s="319"/>
      <c r="F76" s="319">
        <v>46.5</v>
      </c>
      <c r="G76" s="319">
        <v>1.4</v>
      </c>
      <c r="H76" s="319">
        <v>54</v>
      </c>
      <c r="I76" s="319">
        <v>26.1</v>
      </c>
      <c r="J76" s="319">
        <v>62</v>
      </c>
      <c r="K76" s="319">
        <v>1.49</v>
      </c>
      <c r="L76" s="319">
        <v>52.5</v>
      </c>
      <c r="M76" s="319">
        <v>30.1</v>
      </c>
      <c r="N76" s="319"/>
      <c r="O76" s="319"/>
      <c r="P76" s="319"/>
      <c r="Q76" s="319"/>
      <c r="R76" s="319"/>
      <c r="S76" s="319"/>
    </row>
    <row r="77" spans="1:32" ht="13">
      <c r="A77" s="319" t="s">
        <v>523</v>
      </c>
      <c r="B77" s="319" t="s">
        <v>524</v>
      </c>
      <c r="C77" s="319"/>
      <c r="D77" s="319"/>
      <c r="E77" s="319"/>
      <c r="F77" s="319">
        <v>20.7</v>
      </c>
      <c r="G77" s="319">
        <v>1.18</v>
      </c>
      <c r="H77" s="377">
        <v>50.3</v>
      </c>
      <c r="I77" s="319">
        <v>18.5</v>
      </c>
      <c r="J77" s="319">
        <v>24.6</v>
      </c>
      <c r="K77" s="319">
        <v>1.25</v>
      </c>
      <c r="L77" s="319">
        <v>50.5</v>
      </c>
      <c r="M77" s="319">
        <v>17.7</v>
      </c>
      <c r="N77" s="319"/>
      <c r="O77" s="319"/>
      <c r="P77" s="319"/>
      <c r="Q77" s="319"/>
      <c r="R77" s="319"/>
      <c r="S77" s="319"/>
    </row>
    <row r="78" spans="1:32" ht="13">
      <c r="A78" s="319" t="s">
        <v>465</v>
      </c>
      <c r="B78" s="319" t="s">
        <v>96</v>
      </c>
      <c r="C78" s="319"/>
      <c r="D78" s="319"/>
      <c r="E78" s="319"/>
      <c r="F78" s="319">
        <v>29.1</v>
      </c>
      <c r="G78" s="319">
        <v>1.34</v>
      </c>
      <c r="H78" s="319">
        <v>51.2</v>
      </c>
      <c r="I78" s="319">
        <v>21</v>
      </c>
      <c r="J78" s="319">
        <v>33.200000000000003</v>
      </c>
      <c r="K78" s="319">
        <v>1.42</v>
      </c>
      <c r="L78" s="319">
        <v>50.8</v>
      </c>
      <c r="M78" s="319">
        <v>19.2</v>
      </c>
      <c r="N78" s="319"/>
      <c r="O78" s="319"/>
      <c r="P78" s="319"/>
      <c r="Q78" s="319"/>
      <c r="R78" s="319"/>
      <c r="S78" s="319"/>
    </row>
    <row r="79" spans="1:32" ht="13">
      <c r="A79" s="319" t="s">
        <v>466</v>
      </c>
      <c r="B79" s="319" t="s">
        <v>317</v>
      </c>
      <c r="C79" s="319"/>
      <c r="D79" s="319"/>
      <c r="E79" s="319"/>
      <c r="F79" s="319">
        <v>19.7</v>
      </c>
      <c r="G79" s="319">
        <v>1.19</v>
      </c>
      <c r="H79" s="319">
        <v>50</v>
      </c>
      <c r="I79" s="319">
        <v>17.399999999999999</v>
      </c>
      <c r="J79" s="319">
        <v>22.6</v>
      </c>
      <c r="K79" s="319">
        <v>120.8</v>
      </c>
      <c r="L79" s="319">
        <v>50.8</v>
      </c>
      <c r="M79" s="319">
        <v>17</v>
      </c>
      <c r="N79" s="319"/>
      <c r="O79" s="319"/>
      <c r="P79" s="319"/>
      <c r="Q79" s="319"/>
      <c r="R79" s="319"/>
      <c r="S79" s="319"/>
    </row>
    <row r="80" spans="1:32" ht="13">
      <c r="A80" s="319" t="s">
        <v>403</v>
      </c>
      <c r="B80" s="319" t="s">
        <v>404</v>
      </c>
      <c r="C80" s="319"/>
      <c r="D80" s="319"/>
      <c r="E80" s="319">
        <v>1.26</v>
      </c>
      <c r="F80" s="319">
        <v>26.4</v>
      </c>
      <c r="G80" s="319">
        <v>1.26</v>
      </c>
      <c r="H80" s="319">
        <v>52.1</v>
      </c>
      <c r="I80" s="319">
        <v>20.2</v>
      </c>
      <c r="J80" s="319">
        <v>30.2</v>
      </c>
      <c r="K80" s="319">
        <v>1.35</v>
      </c>
      <c r="L80" s="319">
        <v>51.31</v>
      </c>
      <c r="M80" s="319">
        <v>19.5</v>
      </c>
      <c r="N80" s="319"/>
      <c r="O80" s="319"/>
      <c r="P80" s="319"/>
      <c r="Q80" s="319"/>
      <c r="R80" s="319"/>
      <c r="S80" s="319"/>
    </row>
    <row r="81" spans="1:19" ht="13">
      <c r="A81" s="319" t="s">
        <v>522</v>
      </c>
      <c r="B81" s="319" t="s">
        <v>85</v>
      </c>
      <c r="C81" s="319"/>
      <c r="D81" s="319"/>
      <c r="E81" s="319"/>
      <c r="F81" s="319">
        <v>27.7</v>
      </c>
      <c r="G81" s="319">
        <v>1.27</v>
      </c>
      <c r="H81" s="319">
        <v>51.66</v>
      </c>
      <c r="I81" s="319">
        <v>20.36</v>
      </c>
      <c r="J81" s="319"/>
      <c r="K81" s="319"/>
      <c r="L81" s="319"/>
      <c r="M81" s="319"/>
      <c r="N81" s="319"/>
      <c r="O81" s="319"/>
      <c r="P81" s="319"/>
      <c r="Q81" s="319"/>
      <c r="R81" s="319"/>
      <c r="S81" s="319"/>
    </row>
    <row r="82" spans="1:19" ht="13">
      <c r="A82" s="319" t="s">
        <v>584</v>
      </c>
      <c r="B82" s="319" t="s">
        <v>2</v>
      </c>
      <c r="C82" s="319"/>
      <c r="D82" s="319" t="s">
        <v>585</v>
      </c>
      <c r="E82" s="319" t="s">
        <v>586</v>
      </c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</row>
    <row r="83" spans="1:19" ht="13">
      <c r="A83" s="319" t="s">
        <v>462</v>
      </c>
      <c r="B83" s="319" t="s">
        <v>330</v>
      </c>
      <c r="C83" s="319"/>
      <c r="D83" s="319"/>
      <c r="E83" s="319"/>
      <c r="F83" s="319">
        <v>25.2</v>
      </c>
      <c r="G83" s="319">
        <v>1.24</v>
      </c>
      <c r="H83" s="319">
        <v>51</v>
      </c>
      <c r="I83" s="319">
        <v>20</v>
      </c>
      <c r="J83" s="319">
        <v>32.799999999999997</v>
      </c>
      <c r="K83" s="319">
        <v>1.37</v>
      </c>
      <c r="L83" s="319">
        <v>51.5</v>
      </c>
      <c r="M83" s="319">
        <v>20.7</v>
      </c>
      <c r="N83" s="319"/>
      <c r="O83" s="319"/>
      <c r="P83" s="319"/>
      <c r="Q83" s="319"/>
      <c r="R83" s="319"/>
      <c r="S83" s="319"/>
    </row>
    <row r="84" spans="1:19" ht="13">
      <c r="A84" s="319" t="s">
        <v>463</v>
      </c>
      <c r="B84" s="319" t="s">
        <v>339</v>
      </c>
      <c r="C84" s="319"/>
      <c r="D84" s="319"/>
      <c r="E84" s="319"/>
      <c r="F84" s="319">
        <v>21.2</v>
      </c>
      <c r="G84" s="319">
        <v>1.22</v>
      </c>
      <c r="H84" s="319">
        <v>51.8</v>
      </c>
      <c r="I84" s="319">
        <v>18</v>
      </c>
      <c r="J84" s="319">
        <v>25.2</v>
      </c>
      <c r="K84" s="319">
        <v>1.29</v>
      </c>
      <c r="L84" s="319">
        <v>52.5</v>
      </c>
      <c r="M84" s="319">
        <v>18.5</v>
      </c>
      <c r="N84" s="319"/>
      <c r="O84" s="319"/>
      <c r="P84" s="319"/>
      <c r="Q84" s="319"/>
      <c r="R84" s="319"/>
      <c r="S84" s="319"/>
    </row>
    <row r="85" spans="1:19" ht="13">
      <c r="A85" s="319" t="s">
        <v>464</v>
      </c>
      <c r="B85" s="319" t="s">
        <v>104</v>
      </c>
      <c r="C85" s="319"/>
      <c r="D85" s="319"/>
      <c r="E85" s="319"/>
      <c r="F85" s="319">
        <v>15.2</v>
      </c>
      <c r="G85" s="319">
        <v>1.02</v>
      </c>
      <c r="H85" s="319">
        <v>48.2</v>
      </c>
      <c r="I85" s="319">
        <v>16.2</v>
      </c>
      <c r="J85" s="319">
        <v>18.399999999999999</v>
      </c>
      <c r="K85" s="319">
        <v>1.1100000000000001</v>
      </c>
      <c r="L85" s="319">
        <v>49.8</v>
      </c>
      <c r="M85" s="319">
        <v>15.6</v>
      </c>
      <c r="N85" s="319"/>
      <c r="O85" s="319"/>
      <c r="P85" s="319"/>
      <c r="Q85" s="319"/>
      <c r="R85" s="319"/>
      <c r="S85" s="319"/>
    </row>
    <row r="86" spans="1:19" ht="13">
      <c r="A86" s="319" t="s">
        <v>450</v>
      </c>
      <c r="B86" s="319" t="s">
        <v>375</v>
      </c>
      <c r="C86" s="319"/>
      <c r="D86" s="319"/>
      <c r="E86" s="319"/>
      <c r="F86" s="319">
        <v>23.7</v>
      </c>
      <c r="G86" s="319">
        <v>1.26</v>
      </c>
      <c r="H86" s="319">
        <v>50.33</v>
      </c>
      <c r="I86" s="319">
        <v>18.899999999999999</v>
      </c>
      <c r="J86" s="319">
        <v>28.1</v>
      </c>
      <c r="K86" s="319">
        <v>1.33</v>
      </c>
      <c r="L86" s="319">
        <v>50.3</v>
      </c>
      <c r="M86" s="319">
        <v>18.600000000000001</v>
      </c>
      <c r="N86" s="319"/>
      <c r="O86" s="319"/>
      <c r="P86" s="319"/>
      <c r="Q86" s="319"/>
      <c r="R86" s="319"/>
      <c r="S86" s="319"/>
    </row>
    <row r="87" spans="1:19" ht="13">
      <c r="A87" s="319" t="s">
        <v>451</v>
      </c>
      <c r="B87" s="319" t="s">
        <v>452</v>
      </c>
      <c r="C87" s="319"/>
      <c r="D87" s="319">
        <v>16.600000000000001</v>
      </c>
      <c r="E87" s="319">
        <v>1.1000000000000001</v>
      </c>
      <c r="F87" s="319">
        <v>18.100000000000001</v>
      </c>
      <c r="G87" s="319">
        <v>1.0900000000000001</v>
      </c>
      <c r="H87" s="319">
        <v>49.96</v>
      </c>
      <c r="I87" s="319">
        <v>16.260000000000002</v>
      </c>
      <c r="J87" s="319">
        <v>20.6</v>
      </c>
      <c r="K87" s="319">
        <v>1.17</v>
      </c>
      <c r="L87" s="319">
        <v>50.5</v>
      </c>
      <c r="M87" s="319">
        <v>16.899999999999999</v>
      </c>
      <c r="N87" s="319"/>
      <c r="O87" s="319"/>
      <c r="P87" s="319"/>
      <c r="Q87" s="319"/>
      <c r="R87" s="319"/>
      <c r="S87" s="319"/>
    </row>
    <row r="88" spans="1:19" ht="13">
      <c r="A88" s="319" t="s">
        <v>467</v>
      </c>
      <c r="B88" s="319" t="s">
        <v>116</v>
      </c>
      <c r="C88" s="319"/>
      <c r="D88" s="319"/>
      <c r="E88" s="319"/>
      <c r="F88" s="319">
        <v>24.1</v>
      </c>
      <c r="G88" s="319">
        <v>1.27</v>
      </c>
      <c r="H88" s="319">
        <v>54.2</v>
      </c>
      <c r="I88" s="319">
        <v>19</v>
      </c>
      <c r="J88" s="319">
        <v>27.4</v>
      </c>
      <c r="K88" s="319">
        <v>1.35</v>
      </c>
      <c r="L88" s="319">
        <v>49.7</v>
      </c>
      <c r="M88" s="319">
        <v>19.5</v>
      </c>
      <c r="N88" s="319"/>
      <c r="O88" s="319"/>
      <c r="P88" s="319"/>
      <c r="Q88" s="319"/>
      <c r="R88" s="319"/>
      <c r="S88" s="319"/>
    </row>
    <row r="89" spans="1:19" ht="13">
      <c r="A89" s="319" t="s">
        <v>472</v>
      </c>
      <c r="B89" s="319" t="s">
        <v>420</v>
      </c>
      <c r="C89" s="319"/>
      <c r="D89" s="319"/>
      <c r="E89" s="319"/>
      <c r="F89" s="319">
        <v>15.4</v>
      </c>
      <c r="G89" s="319">
        <v>1.02</v>
      </c>
      <c r="H89" s="319">
        <v>47.2</v>
      </c>
      <c r="I89" s="319">
        <v>16</v>
      </c>
      <c r="J89" s="319">
        <v>18</v>
      </c>
      <c r="K89" s="319">
        <v>1.1200000000000001</v>
      </c>
      <c r="L89" s="319">
        <v>49.5</v>
      </c>
      <c r="M89" s="319">
        <v>16.899999999999999</v>
      </c>
      <c r="N89" s="319"/>
      <c r="O89" s="319"/>
      <c r="P89" s="319"/>
      <c r="Q89" s="319"/>
      <c r="R89" s="319"/>
      <c r="S89" s="319"/>
    </row>
    <row r="90" spans="1:19" ht="13">
      <c r="A90" s="319" t="s">
        <v>457</v>
      </c>
      <c r="B90" s="319" t="s">
        <v>458</v>
      </c>
      <c r="C90" s="319"/>
      <c r="D90" s="319">
        <v>13.1</v>
      </c>
      <c r="E90" s="319">
        <v>0.93</v>
      </c>
      <c r="F90" s="319">
        <v>14.7</v>
      </c>
      <c r="G90" s="319">
        <v>0.9</v>
      </c>
      <c r="H90" s="319">
        <v>46.6</v>
      </c>
      <c r="I90" s="319">
        <v>13.7</v>
      </c>
      <c r="J90" s="319">
        <v>17.5</v>
      </c>
      <c r="K90" s="319">
        <v>1.06</v>
      </c>
      <c r="L90" s="319">
        <v>47.6</v>
      </c>
      <c r="M90" s="319">
        <v>16</v>
      </c>
      <c r="N90" s="319"/>
      <c r="O90" s="319"/>
      <c r="P90" s="319"/>
      <c r="Q90" s="319"/>
      <c r="R90" s="319"/>
      <c r="S90" s="319"/>
    </row>
    <row r="91" spans="1:19" ht="12" customHeight="1">
      <c r="A91" s="319" t="s">
        <v>455</v>
      </c>
      <c r="B91" s="319" t="s">
        <v>348</v>
      </c>
      <c r="C91" s="319"/>
      <c r="D91" s="319"/>
      <c r="E91" s="319"/>
      <c r="F91" s="319">
        <v>24.6</v>
      </c>
      <c r="G91" s="319">
        <v>1.17</v>
      </c>
      <c r="H91" s="319">
        <v>50.5</v>
      </c>
      <c r="I91" s="319">
        <v>18</v>
      </c>
      <c r="J91" s="319">
        <v>29.3</v>
      </c>
      <c r="K91" s="319">
        <v>1.36</v>
      </c>
      <c r="L91" s="319">
        <v>50.6</v>
      </c>
      <c r="M91" s="319">
        <v>17.899999999999999</v>
      </c>
      <c r="N91" s="319"/>
      <c r="O91" s="319"/>
      <c r="P91" s="319"/>
      <c r="Q91" s="319"/>
      <c r="R91" s="319"/>
      <c r="S91" s="319"/>
    </row>
    <row r="92" spans="1:19" ht="13">
      <c r="A92" s="319" t="s">
        <v>456</v>
      </c>
      <c r="B92" s="319" t="s">
        <v>362</v>
      </c>
      <c r="C92" s="319"/>
      <c r="D92" s="319"/>
      <c r="E92" s="319"/>
      <c r="F92" s="319">
        <v>22.5</v>
      </c>
      <c r="G92" s="319">
        <v>1.23</v>
      </c>
      <c r="H92" s="319">
        <v>50</v>
      </c>
      <c r="I92" s="319">
        <v>16</v>
      </c>
      <c r="J92" s="319">
        <v>26.8</v>
      </c>
      <c r="K92" s="319">
        <v>1.32</v>
      </c>
      <c r="L92" s="319">
        <v>50.7</v>
      </c>
      <c r="M92" s="319">
        <v>16.399999999999999</v>
      </c>
      <c r="N92" s="319"/>
      <c r="O92" s="319"/>
      <c r="P92" s="319"/>
      <c r="Q92" s="319"/>
      <c r="R92" s="319"/>
      <c r="S92" s="319"/>
    </row>
    <row r="93" spans="1:19" ht="13">
      <c r="A93" s="319" t="s">
        <v>587</v>
      </c>
      <c r="B93" s="319" t="s">
        <v>138</v>
      </c>
      <c r="C93" s="319"/>
      <c r="D93" s="319"/>
      <c r="E93" s="319"/>
      <c r="F93" s="319">
        <v>24.6</v>
      </c>
      <c r="G93" s="319">
        <v>1.31</v>
      </c>
      <c r="H93" s="319">
        <v>50.16</v>
      </c>
      <c r="I93" s="319">
        <v>17.5</v>
      </c>
      <c r="J93" s="319"/>
      <c r="K93" s="319"/>
      <c r="L93" s="319"/>
      <c r="M93" s="319"/>
      <c r="N93" s="319"/>
      <c r="O93" s="319"/>
      <c r="P93" s="319"/>
      <c r="Q93" s="319"/>
      <c r="R93" s="319"/>
      <c r="S93" s="319"/>
    </row>
    <row r="94" spans="1:19" ht="13">
      <c r="A94" s="319" t="s">
        <v>454</v>
      </c>
      <c r="B94" s="319" t="s">
        <v>588</v>
      </c>
      <c r="C94" s="319"/>
      <c r="D94" s="319"/>
      <c r="E94" s="319"/>
      <c r="F94" s="319">
        <v>18.100000000000001</v>
      </c>
      <c r="G94" s="319">
        <v>1.04</v>
      </c>
      <c r="H94" s="319">
        <v>49.46</v>
      </c>
      <c r="I94" s="319">
        <v>17.399999999999999</v>
      </c>
      <c r="J94" s="319"/>
      <c r="K94" s="319"/>
      <c r="L94" s="319"/>
      <c r="M94" s="319"/>
      <c r="N94" s="319"/>
      <c r="O94" s="319"/>
      <c r="P94" s="319"/>
      <c r="Q94" s="319"/>
      <c r="R94" s="319"/>
      <c r="S94" s="319"/>
    </row>
    <row r="95" spans="1:19" ht="13">
      <c r="A95" s="319"/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</row>
    <row r="96" spans="1:19" ht="15">
      <c r="F96" s="36"/>
      <c r="G96" s="36"/>
      <c r="H96" s="36"/>
      <c r="I96" s="319"/>
      <c r="J96" s="319"/>
      <c r="K96" s="319"/>
      <c r="L96" s="319"/>
      <c r="M96" s="319"/>
    </row>
    <row r="97" spans="6:13" ht="15">
      <c r="F97" s="36"/>
      <c r="G97" s="36"/>
      <c r="H97" s="36"/>
      <c r="I97" s="319"/>
      <c r="J97" s="319"/>
      <c r="K97" s="319"/>
      <c r="L97" s="319"/>
      <c r="M97" s="319"/>
    </row>
    <row r="98" spans="6:13" ht="15">
      <c r="F98" s="36"/>
      <c r="G98" s="36"/>
      <c r="H98" s="36"/>
      <c r="I98" s="319"/>
      <c r="J98" s="319"/>
      <c r="K98" s="319"/>
      <c r="L98" s="319"/>
      <c r="M98" s="3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M71"/>
  <sheetViews>
    <sheetView topLeftCell="A42" workbookViewId="0">
      <selection activeCell="A38" sqref="A38"/>
    </sheetView>
  </sheetViews>
  <sheetFormatPr baseColWidth="10" defaultColWidth="14.5" defaultRowHeight="15.75" customHeight="1"/>
  <cols>
    <col min="1" max="1" width="24.5" customWidth="1"/>
    <col min="2" max="2" width="33.33203125" customWidth="1"/>
    <col min="7" max="7" width="18.5" customWidth="1"/>
  </cols>
  <sheetData>
    <row r="1" spans="1:38" ht="18.75" customHeight="1">
      <c r="A1" s="160" t="s">
        <v>430</v>
      </c>
      <c r="B1" s="160" t="s">
        <v>2</v>
      </c>
      <c r="C1" s="160" t="s">
        <v>431</v>
      </c>
      <c r="D1" s="160" t="s">
        <v>550</v>
      </c>
      <c r="E1" s="160" t="s">
        <v>556</v>
      </c>
      <c r="F1" s="160" t="s">
        <v>526</v>
      </c>
      <c r="G1" s="160" t="s">
        <v>557</v>
      </c>
      <c r="H1" s="160" t="s">
        <v>558</v>
      </c>
      <c r="I1" s="160" t="s">
        <v>559</v>
      </c>
      <c r="J1" s="293" t="s">
        <v>559</v>
      </c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19"/>
    </row>
    <row r="2" spans="1:38" ht="15">
      <c r="A2" s="87" t="s">
        <v>590</v>
      </c>
      <c r="B2" s="87" t="s">
        <v>591</v>
      </c>
      <c r="C2" s="2">
        <v>6</v>
      </c>
      <c r="D2" s="2"/>
      <c r="E2" s="379">
        <v>1.1599999999999999</v>
      </c>
      <c r="F2" s="191">
        <v>43000</v>
      </c>
      <c r="G2" s="294" t="s">
        <v>592</v>
      </c>
      <c r="H2" s="191">
        <v>42996</v>
      </c>
      <c r="I2" s="295">
        <f>(F2/(E2^2))</f>
        <v>31956.004756242572</v>
      </c>
      <c r="J2" s="2">
        <v>31956.004756242572</v>
      </c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</row>
    <row r="3" spans="1:38" ht="15">
      <c r="A3" s="87" t="s">
        <v>593</v>
      </c>
      <c r="B3" s="87" t="s">
        <v>594</v>
      </c>
      <c r="C3" s="2">
        <v>7</v>
      </c>
      <c r="D3" s="2"/>
      <c r="E3" s="379">
        <v>1.22</v>
      </c>
      <c r="F3" s="191">
        <v>43001</v>
      </c>
      <c r="G3" s="294" t="s">
        <v>595</v>
      </c>
      <c r="H3" s="191">
        <v>42963</v>
      </c>
      <c r="I3" s="2"/>
      <c r="J3" s="2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  <c r="AJ3" s="319"/>
      <c r="AK3" s="319"/>
      <c r="AL3" s="319"/>
    </row>
    <row r="4" spans="1:38" ht="15">
      <c r="A4" s="87" t="s">
        <v>596</v>
      </c>
      <c r="B4" s="87" t="s">
        <v>597</v>
      </c>
      <c r="C4" s="2">
        <v>8</v>
      </c>
      <c r="D4" s="2"/>
      <c r="E4" s="379">
        <v>1.21</v>
      </c>
      <c r="F4" s="191">
        <v>42852</v>
      </c>
      <c r="G4" s="294" t="s">
        <v>598</v>
      </c>
      <c r="H4" s="294">
        <v>20</v>
      </c>
      <c r="I4" s="295">
        <f t="shared" ref="I4:I11" si="0">F4/E4^2</f>
        <v>29268.492589304009</v>
      </c>
      <c r="J4" s="2">
        <v>29268.492589304009</v>
      </c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19"/>
      <c r="AD4" s="319"/>
      <c r="AE4" s="319"/>
      <c r="AF4" s="319"/>
      <c r="AG4" s="319"/>
      <c r="AH4" s="319"/>
      <c r="AI4" s="319"/>
      <c r="AJ4" s="319"/>
      <c r="AK4" s="319"/>
      <c r="AL4" s="319"/>
    </row>
    <row r="5" spans="1:38" ht="15">
      <c r="A5" s="87" t="s">
        <v>599</v>
      </c>
      <c r="B5" s="87" t="s">
        <v>600</v>
      </c>
      <c r="C5" s="2">
        <v>9</v>
      </c>
      <c r="D5" s="2"/>
      <c r="E5" s="191">
        <v>42795</v>
      </c>
      <c r="F5" s="191">
        <v>42763</v>
      </c>
      <c r="G5" s="294">
        <v>53</v>
      </c>
      <c r="H5" s="191">
        <v>42844</v>
      </c>
      <c r="I5" s="295">
        <f t="shared" si="0"/>
        <v>2.3349742939467704E-5</v>
      </c>
      <c r="J5" s="2">
        <v>2.3349742939467704E-5</v>
      </c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19"/>
      <c r="AD5" s="319"/>
      <c r="AE5" s="319"/>
      <c r="AF5" s="319"/>
      <c r="AG5" s="319"/>
      <c r="AH5" s="319"/>
      <c r="AI5" s="319"/>
      <c r="AJ5" s="319"/>
      <c r="AK5" s="319"/>
      <c r="AL5" s="319"/>
    </row>
    <row r="6" spans="1:38" ht="15">
      <c r="A6" s="87" t="s">
        <v>601</v>
      </c>
      <c r="B6" s="87" t="s">
        <v>602</v>
      </c>
      <c r="C6" s="2">
        <v>9</v>
      </c>
      <c r="D6" s="2"/>
      <c r="E6" s="379">
        <v>1.37</v>
      </c>
      <c r="F6" s="294" t="s">
        <v>603</v>
      </c>
      <c r="G6" s="294" t="s">
        <v>604</v>
      </c>
      <c r="H6" s="294">
        <v>23</v>
      </c>
      <c r="I6" s="2">
        <f t="shared" si="0"/>
        <v>22.697000372955404</v>
      </c>
      <c r="J6" s="2">
        <v>22.697000372955404</v>
      </c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</row>
    <row r="7" spans="1:38" ht="15">
      <c r="A7" s="87" t="s">
        <v>605</v>
      </c>
      <c r="B7" s="87" t="s">
        <v>606</v>
      </c>
      <c r="C7" s="2">
        <v>9</v>
      </c>
      <c r="D7" s="2"/>
      <c r="E7" s="379">
        <v>1.34</v>
      </c>
      <c r="F7" s="191">
        <v>43003</v>
      </c>
      <c r="G7" s="294" t="s">
        <v>595</v>
      </c>
      <c r="H7" s="191">
        <v>42784</v>
      </c>
      <c r="I7" s="295">
        <f t="shared" si="0"/>
        <v>23949.097794609039</v>
      </c>
      <c r="J7" s="2">
        <v>23949.097794609039</v>
      </c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C7" s="319"/>
      <c r="AD7" s="319"/>
      <c r="AE7" s="319"/>
      <c r="AF7" s="319"/>
      <c r="AG7" s="319"/>
      <c r="AH7" s="319"/>
      <c r="AI7" s="319"/>
      <c r="AJ7" s="319"/>
      <c r="AK7" s="319"/>
      <c r="AL7" s="319"/>
    </row>
    <row r="8" spans="1:38" ht="15">
      <c r="A8" s="87" t="s">
        <v>608</v>
      </c>
      <c r="B8" s="87" t="s">
        <v>609</v>
      </c>
      <c r="C8" s="2">
        <v>7</v>
      </c>
      <c r="D8" s="2"/>
      <c r="E8" s="379">
        <v>1.1599999999999999</v>
      </c>
      <c r="F8" s="294">
        <v>21</v>
      </c>
      <c r="G8" s="294" t="s">
        <v>610</v>
      </c>
      <c r="H8" s="191">
        <v>42932</v>
      </c>
      <c r="I8" s="2">
        <f t="shared" si="0"/>
        <v>15.606420927467301</v>
      </c>
      <c r="J8" s="2">
        <v>15.606420927467301</v>
      </c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319"/>
      <c r="AL8" s="319"/>
    </row>
    <row r="9" spans="1:38" ht="15">
      <c r="A9" s="87" t="s">
        <v>611</v>
      </c>
      <c r="B9" s="87" t="s">
        <v>612</v>
      </c>
      <c r="C9" s="2">
        <v>9</v>
      </c>
      <c r="D9" s="2"/>
      <c r="E9" s="294" t="s">
        <v>613</v>
      </c>
      <c r="F9" s="294">
        <v>37</v>
      </c>
      <c r="G9" s="294" t="s">
        <v>592</v>
      </c>
      <c r="H9" s="191">
        <v>42998</v>
      </c>
      <c r="I9" s="2">
        <f t="shared" si="0"/>
        <v>17.357853255770316</v>
      </c>
      <c r="J9" s="2">
        <v>17.357853255770316</v>
      </c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</row>
    <row r="10" spans="1:38" ht="15">
      <c r="A10" s="87" t="s">
        <v>614</v>
      </c>
      <c r="B10" s="87" t="s">
        <v>615</v>
      </c>
      <c r="C10" s="2">
        <v>6</v>
      </c>
      <c r="D10" s="2"/>
      <c r="E10" s="294" t="s">
        <v>616</v>
      </c>
      <c r="F10" s="191">
        <v>42938</v>
      </c>
      <c r="G10" s="294" t="s">
        <v>617</v>
      </c>
      <c r="H10" s="191">
        <v>42995</v>
      </c>
      <c r="I10" s="295">
        <f t="shared" si="0"/>
        <v>27045.85537918871</v>
      </c>
      <c r="J10" s="2">
        <v>27045.85537918871</v>
      </c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</row>
    <row r="11" spans="1:38" ht="15">
      <c r="A11" s="87" t="s">
        <v>618</v>
      </c>
      <c r="B11" s="87" t="s">
        <v>619</v>
      </c>
      <c r="C11" s="2">
        <v>9</v>
      </c>
      <c r="D11" s="2"/>
      <c r="E11" s="294" t="s">
        <v>620</v>
      </c>
      <c r="F11" s="294" t="s">
        <v>603</v>
      </c>
      <c r="G11" s="294" t="s">
        <v>621</v>
      </c>
      <c r="H11" s="191">
        <v>42790</v>
      </c>
      <c r="I11" s="2">
        <f t="shared" si="0"/>
        <v>22.048548211790283</v>
      </c>
      <c r="J11" s="2">
        <v>22.048548211790283</v>
      </c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</row>
    <row r="12" spans="1:38" ht="15">
      <c r="A12" s="87" t="s">
        <v>622</v>
      </c>
      <c r="B12" s="87" t="s">
        <v>623</v>
      </c>
      <c r="C12" s="2">
        <v>6</v>
      </c>
      <c r="D12" s="2"/>
      <c r="E12" s="294" t="s">
        <v>624</v>
      </c>
      <c r="F12" s="191">
        <v>42842</v>
      </c>
      <c r="G12" s="294" t="s">
        <v>582</v>
      </c>
      <c r="H12" s="191">
        <v>42750</v>
      </c>
      <c r="I12" s="2"/>
      <c r="J12" s="2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</row>
    <row r="13" spans="1:38" ht="15">
      <c r="A13" s="87" t="s">
        <v>625</v>
      </c>
      <c r="B13" s="87" t="s">
        <v>626</v>
      </c>
      <c r="C13" s="2">
        <v>6</v>
      </c>
      <c r="D13" s="2"/>
      <c r="E13" s="294" t="s">
        <v>627</v>
      </c>
      <c r="F13" s="191">
        <v>42999</v>
      </c>
      <c r="G13" s="294" t="s">
        <v>592</v>
      </c>
      <c r="H13" s="191">
        <v>42783</v>
      </c>
      <c r="I13" s="295">
        <f t="shared" ref="I13:I37" si="1">F13/E13^2</f>
        <v>30364.381046536262</v>
      </c>
      <c r="J13" s="2">
        <v>30364.381046536262</v>
      </c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</row>
    <row r="14" spans="1:38" ht="15">
      <c r="A14" s="87" t="s">
        <v>628</v>
      </c>
      <c r="B14" s="87" t="s">
        <v>630</v>
      </c>
      <c r="C14" s="2">
        <v>9</v>
      </c>
      <c r="D14" s="2"/>
      <c r="E14" s="294" t="s">
        <v>631</v>
      </c>
      <c r="F14" s="294">
        <v>37</v>
      </c>
      <c r="G14" s="294" t="s">
        <v>632</v>
      </c>
      <c r="H14" s="191">
        <v>42876</v>
      </c>
      <c r="I14" s="2">
        <f t="shared" si="1"/>
        <v>18.093794317570545</v>
      </c>
      <c r="J14" s="2">
        <v>18.093794317570545</v>
      </c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</row>
    <row r="15" spans="1:38" ht="15">
      <c r="A15" s="87" t="s">
        <v>635</v>
      </c>
      <c r="B15" s="87" t="s">
        <v>629</v>
      </c>
      <c r="C15" s="2">
        <v>11</v>
      </c>
      <c r="D15" s="2"/>
      <c r="E15" s="294" t="s">
        <v>607</v>
      </c>
      <c r="F15" s="191">
        <v>42794</v>
      </c>
      <c r="G15" s="294" t="s">
        <v>636</v>
      </c>
      <c r="H15" s="191">
        <v>42996</v>
      </c>
      <c r="I15" s="295">
        <f t="shared" si="1"/>
        <v>23832.702160837598</v>
      </c>
      <c r="J15" s="2">
        <v>23832.702160837598</v>
      </c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</row>
    <row r="16" spans="1:38" ht="15">
      <c r="A16" s="87" t="s">
        <v>633</v>
      </c>
      <c r="B16" s="87" t="s">
        <v>634</v>
      </c>
      <c r="E16" s="294" t="s">
        <v>640</v>
      </c>
      <c r="F16" s="191">
        <v>42907</v>
      </c>
      <c r="G16" s="294" t="s">
        <v>566</v>
      </c>
      <c r="H16" s="191">
        <v>42963</v>
      </c>
      <c r="I16" s="295">
        <f t="shared" si="1"/>
        <v>30815.139327779376</v>
      </c>
      <c r="J16" s="2">
        <v>30815.139327779376</v>
      </c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19"/>
      <c r="AI16" s="319"/>
      <c r="AJ16" s="319"/>
      <c r="AK16" s="319"/>
      <c r="AL16" s="319"/>
    </row>
    <row r="17" spans="1:39" ht="15">
      <c r="A17" s="2" t="s">
        <v>637</v>
      </c>
      <c r="B17" s="2" t="s">
        <v>642</v>
      </c>
      <c r="E17" s="294" t="s">
        <v>631</v>
      </c>
      <c r="F17" s="213" t="s">
        <v>638</v>
      </c>
      <c r="G17" s="294" t="s">
        <v>643</v>
      </c>
      <c r="H17" s="213" t="s">
        <v>644</v>
      </c>
      <c r="I17" s="2">
        <f t="shared" si="1"/>
        <v>17.360262115506874</v>
      </c>
      <c r="J17" s="2">
        <v>17.360262115506874</v>
      </c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/>
      <c r="AH17" s="319"/>
      <c r="AI17" s="319"/>
      <c r="AJ17" s="319"/>
      <c r="AK17" s="319"/>
      <c r="AL17" s="319"/>
    </row>
    <row r="18" spans="1:39" ht="15">
      <c r="A18" s="2" t="s">
        <v>639</v>
      </c>
      <c r="B18" s="2" t="s">
        <v>648</v>
      </c>
      <c r="E18" s="294" t="s">
        <v>563</v>
      </c>
      <c r="F18" s="294">
        <v>25</v>
      </c>
      <c r="G18" s="294" t="s">
        <v>604</v>
      </c>
      <c r="H18" s="191">
        <v>42754</v>
      </c>
      <c r="I18" s="2">
        <f t="shared" si="1"/>
        <v>16</v>
      </c>
      <c r="J18" s="2">
        <v>16</v>
      </c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</row>
    <row r="19" spans="1:39" ht="13">
      <c r="A19" s="2" t="s">
        <v>649</v>
      </c>
      <c r="B19" s="2" t="s">
        <v>650</v>
      </c>
      <c r="C19" s="2">
        <v>7</v>
      </c>
      <c r="E19" s="2">
        <v>1.1599999999999999</v>
      </c>
      <c r="F19" s="2">
        <v>24.6</v>
      </c>
      <c r="G19" s="2">
        <v>53</v>
      </c>
      <c r="H19" s="2">
        <v>20.5</v>
      </c>
      <c r="I19" s="2">
        <f t="shared" si="1"/>
        <v>18.281807372175983</v>
      </c>
      <c r="J19" s="2">
        <v>18.281807372175983</v>
      </c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  <c r="AD19" s="319"/>
      <c r="AE19" s="319"/>
      <c r="AF19" s="319"/>
      <c r="AG19" s="319"/>
      <c r="AH19" s="319"/>
      <c r="AI19" s="319"/>
      <c r="AJ19" s="319"/>
      <c r="AK19" s="319"/>
      <c r="AL19" s="319"/>
    </row>
    <row r="20" spans="1:39" ht="15">
      <c r="A20" s="2" t="s">
        <v>651</v>
      </c>
      <c r="B20" s="2" t="s">
        <v>652</v>
      </c>
      <c r="C20" s="2">
        <v>6</v>
      </c>
      <c r="E20" s="170">
        <v>1.0900000000000001</v>
      </c>
      <c r="F20" s="170">
        <v>17.899999999999999</v>
      </c>
      <c r="G20" s="170">
        <v>49.2</v>
      </c>
      <c r="H20" s="170">
        <v>17.100000000000001</v>
      </c>
      <c r="I20" s="2">
        <f t="shared" si="1"/>
        <v>15.066071879471421</v>
      </c>
      <c r="J20" s="2">
        <v>15.066071879471421</v>
      </c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  <c r="AD20" s="319"/>
      <c r="AE20" s="319"/>
      <c r="AF20" s="319"/>
      <c r="AG20" s="319"/>
      <c r="AH20" s="319"/>
      <c r="AI20" s="319"/>
      <c r="AJ20" s="319"/>
      <c r="AK20" s="319"/>
      <c r="AL20" s="319"/>
    </row>
    <row r="21" spans="1:39" ht="15">
      <c r="A21" s="2" t="s">
        <v>653</v>
      </c>
      <c r="B21" s="2" t="s">
        <v>654</v>
      </c>
      <c r="C21" s="2">
        <v>9</v>
      </c>
      <c r="E21" s="170">
        <v>1.38</v>
      </c>
      <c r="F21" s="170">
        <v>48.6</v>
      </c>
      <c r="G21" s="170">
        <v>51</v>
      </c>
      <c r="H21" s="170">
        <v>26</v>
      </c>
      <c r="I21" s="2">
        <f t="shared" si="1"/>
        <v>25.519848771266545</v>
      </c>
      <c r="J21" s="2">
        <v>25.519848771266545</v>
      </c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</row>
    <row r="22" spans="1:39" ht="15">
      <c r="A22" s="2" t="s">
        <v>655</v>
      </c>
      <c r="B22" s="2" t="s">
        <v>656</v>
      </c>
      <c r="C22" s="2">
        <v>7</v>
      </c>
      <c r="E22" s="170">
        <v>1.1399999999999999</v>
      </c>
      <c r="F22" s="145">
        <v>22.3</v>
      </c>
      <c r="G22" s="170">
        <v>51.3</v>
      </c>
      <c r="H22" s="170">
        <v>17</v>
      </c>
      <c r="I22" s="2">
        <f t="shared" si="1"/>
        <v>17.159125884887661</v>
      </c>
      <c r="J22" s="2">
        <v>17.159125884887661</v>
      </c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/>
      <c r="AE22" s="319"/>
      <c r="AF22" s="319"/>
      <c r="AG22" s="319"/>
      <c r="AH22" s="319"/>
      <c r="AI22" s="319"/>
      <c r="AJ22" s="319"/>
      <c r="AK22" s="319"/>
      <c r="AL22" s="319"/>
    </row>
    <row r="23" spans="1:39" ht="15">
      <c r="A23" s="2" t="s">
        <v>657</v>
      </c>
      <c r="B23" s="2" t="s">
        <v>658</v>
      </c>
      <c r="C23" s="2">
        <v>7</v>
      </c>
      <c r="D23" s="2"/>
      <c r="E23" s="170">
        <v>1.1499999999999999</v>
      </c>
      <c r="F23" s="145">
        <v>23.8</v>
      </c>
      <c r="G23" s="170">
        <v>52</v>
      </c>
      <c r="H23" s="170">
        <v>18.2</v>
      </c>
      <c r="I23" s="2">
        <f t="shared" si="1"/>
        <v>17.996219281663521</v>
      </c>
      <c r="J23" s="2">
        <v>17.996219281663521</v>
      </c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319"/>
      <c r="AL23" s="319"/>
    </row>
    <row r="24" spans="1:39" ht="13">
      <c r="A24" s="2" t="s">
        <v>659</v>
      </c>
      <c r="B24" s="2" t="s">
        <v>660</v>
      </c>
      <c r="C24" s="2">
        <v>8</v>
      </c>
      <c r="D24" s="2"/>
      <c r="E24" s="2">
        <v>1.3</v>
      </c>
      <c r="F24" s="2">
        <v>29.6</v>
      </c>
      <c r="G24" s="2">
        <v>52</v>
      </c>
      <c r="H24" s="2">
        <v>19.8</v>
      </c>
      <c r="I24" s="2">
        <f t="shared" si="1"/>
        <v>17.514792899408285</v>
      </c>
      <c r="J24" s="2">
        <v>17.514792899408285</v>
      </c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</row>
    <row r="25" spans="1:39" ht="13">
      <c r="A25" s="156" t="s">
        <v>661</v>
      </c>
      <c r="B25" s="156" t="s">
        <v>662</v>
      </c>
      <c r="C25" s="156">
        <v>9</v>
      </c>
      <c r="D25" s="156"/>
      <c r="E25" s="156">
        <v>1.24</v>
      </c>
      <c r="F25" s="156">
        <v>26.3</v>
      </c>
      <c r="G25" s="156">
        <v>52</v>
      </c>
      <c r="H25" s="156">
        <v>19.5</v>
      </c>
      <c r="I25" s="2">
        <f t="shared" si="1"/>
        <v>17.104578563995837</v>
      </c>
      <c r="J25" s="156">
        <v>17.104578563995837</v>
      </c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  <c r="AA25" s="319"/>
      <c r="AB25" s="319"/>
      <c r="AC25" s="319"/>
      <c r="AD25" s="319"/>
      <c r="AE25" s="319"/>
      <c r="AF25" s="319"/>
      <c r="AG25" s="319"/>
      <c r="AH25" s="319"/>
      <c r="AI25" s="319"/>
      <c r="AJ25" s="319"/>
      <c r="AK25" s="319"/>
      <c r="AL25" s="319"/>
      <c r="AM25" s="159"/>
    </row>
    <row r="26" spans="1:39" ht="13">
      <c r="A26" s="2" t="s">
        <v>663</v>
      </c>
      <c r="B26" s="2" t="s">
        <v>664</v>
      </c>
      <c r="C26" s="2">
        <v>10</v>
      </c>
      <c r="D26" s="2"/>
      <c r="E26" s="2">
        <v>1.42</v>
      </c>
      <c r="F26" s="2">
        <v>42.1</v>
      </c>
      <c r="G26" s="2">
        <v>50.5</v>
      </c>
      <c r="H26" s="2">
        <v>23</v>
      </c>
      <c r="I26" s="2">
        <f t="shared" si="1"/>
        <v>20.878793890101171</v>
      </c>
      <c r="J26" s="2">
        <v>20.878793890101171</v>
      </c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</row>
    <row r="27" spans="1:39" ht="13">
      <c r="A27" s="2" t="s">
        <v>665</v>
      </c>
      <c r="B27" s="2" t="s">
        <v>666</v>
      </c>
      <c r="C27" s="2">
        <v>8</v>
      </c>
      <c r="D27" s="2"/>
      <c r="E27" s="2">
        <v>1.28</v>
      </c>
      <c r="F27" s="2">
        <v>27.5</v>
      </c>
      <c r="G27" s="2">
        <v>52.3</v>
      </c>
      <c r="H27" s="2">
        <v>20.100000000000001</v>
      </c>
      <c r="I27" s="2">
        <f t="shared" si="1"/>
        <v>16.78466796875</v>
      </c>
      <c r="J27" s="2">
        <v>16.78466796875</v>
      </c>
      <c r="K27" s="319"/>
      <c r="L27" s="31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/>
      <c r="AB27" s="319"/>
      <c r="AC27" s="319"/>
      <c r="AD27" s="319"/>
      <c r="AE27" s="319"/>
      <c r="AF27" s="319"/>
      <c r="AG27" s="319"/>
      <c r="AH27" s="319"/>
      <c r="AI27" s="319"/>
      <c r="AJ27" s="319"/>
      <c r="AK27" s="319"/>
      <c r="AL27" s="319"/>
    </row>
    <row r="28" spans="1:39" ht="13">
      <c r="A28" s="2" t="s">
        <v>667</v>
      </c>
      <c r="B28" s="2" t="s">
        <v>668</v>
      </c>
      <c r="C28" s="2">
        <v>7</v>
      </c>
      <c r="D28" s="2"/>
      <c r="E28" s="2">
        <v>1.3</v>
      </c>
      <c r="F28" s="2">
        <v>35.299999999999997</v>
      </c>
      <c r="G28" s="2">
        <v>53</v>
      </c>
      <c r="H28" s="2">
        <v>21.5</v>
      </c>
      <c r="I28" s="2">
        <f t="shared" si="1"/>
        <v>20.887573964497037</v>
      </c>
      <c r="J28" s="2">
        <v>20.887573964497037</v>
      </c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19"/>
    </row>
    <row r="29" spans="1:39" ht="13">
      <c r="A29" s="2" t="s">
        <v>669</v>
      </c>
      <c r="B29" s="2" t="s">
        <v>672</v>
      </c>
      <c r="C29" s="2">
        <v>8</v>
      </c>
      <c r="D29" s="2"/>
      <c r="E29" s="2">
        <v>1.3</v>
      </c>
      <c r="F29" s="2">
        <v>26</v>
      </c>
      <c r="G29" s="2">
        <v>50.3</v>
      </c>
      <c r="H29" s="2">
        <v>17.5</v>
      </c>
      <c r="I29" s="2">
        <f t="shared" si="1"/>
        <v>15.384615384615383</v>
      </c>
      <c r="J29" s="2">
        <v>15.384615384615383</v>
      </c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</row>
    <row r="30" spans="1:39" ht="13">
      <c r="A30" s="2" t="s">
        <v>670</v>
      </c>
      <c r="B30" s="2" t="s">
        <v>671</v>
      </c>
      <c r="C30" s="2">
        <v>8</v>
      </c>
      <c r="D30" s="2"/>
      <c r="E30" s="2">
        <v>1.39</v>
      </c>
      <c r="F30" s="2">
        <v>43</v>
      </c>
      <c r="G30" s="2">
        <v>52.6</v>
      </c>
      <c r="H30" s="2">
        <v>23.6</v>
      </c>
      <c r="I30" s="2">
        <f t="shared" si="1"/>
        <v>22.255576833497233</v>
      </c>
      <c r="J30" s="2">
        <v>22.255576833497233</v>
      </c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19"/>
    </row>
    <row r="31" spans="1:39" ht="13">
      <c r="A31" s="2" t="s">
        <v>673</v>
      </c>
      <c r="B31" s="2" t="s">
        <v>674</v>
      </c>
      <c r="C31" s="2">
        <v>8</v>
      </c>
      <c r="D31" s="2"/>
      <c r="E31" s="2">
        <v>1.33</v>
      </c>
      <c r="F31" s="2">
        <v>34.5</v>
      </c>
      <c r="G31" s="2">
        <v>52.8</v>
      </c>
      <c r="H31" s="2">
        <v>21.5</v>
      </c>
      <c r="I31" s="2">
        <f t="shared" si="1"/>
        <v>19.503646333879811</v>
      </c>
      <c r="J31" s="2">
        <v>19.503646333879811</v>
      </c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</row>
    <row r="32" spans="1:39" ht="13">
      <c r="A32" s="2" t="s">
        <v>675</v>
      </c>
      <c r="B32" s="2" t="s">
        <v>676</v>
      </c>
      <c r="C32" s="2">
        <v>10</v>
      </c>
      <c r="D32" s="2"/>
      <c r="E32" s="2">
        <v>1.34</v>
      </c>
      <c r="F32" s="2">
        <v>30.6</v>
      </c>
      <c r="G32" s="2">
        <v>52.4</v>
      </c>
      <c r="H32" s="2">
        <v>18.100000000000001</v>
      </c>
      <c r="I32" s="2">
        <f t="shared" si="1"/>
        <v>17.041657384718199</v>
      </c>
      <c r="J32" s="2">
        <v>17.041657384718199</v>
      </c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</row>
    <row r="33" spans="1:38" ht="13">
      <c r="A33" s="2" t="s">
        <v>677</v>
      </c>
      <c r="B33" s="2" t="s">
        <v>678</v>
      </c>
      <c r="C33" s="2">
        <v>6</v>
      </c>
      <c r="D33" s="2"/>
      <c r="E33" s="2">
        <v>1.1000000000000001</v>
      </c>
      <c r="F33" s="2">
        <v>17</v>
      </c>
      <c r="G33" s="2">
        <v>19.3</v>
      </c>
      <c r="H33" s="2">
        <v>15</v>
      </c>
      <c r="I33" s="2">
        <f t="shared" si="1"/>
        <v>14.049586776859503</v>
      </c>
      <c r="J33" s="2">
        <v>14.049586776859503</v>
      </c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</row>
    <row r="34" spans="1:38" ht="13">
      <c r="A34" s="2" t="s">
        <v>679</v>
      </c>
      <c r="B34" s="2" t="s">
        <v>680</v>
      </c>
      <c r="C34" s="2">
        <v>9</v>
      </c>
      <c r="D34" s="2"/>
      <c r="E34" s="2">
        <v>1.37</v>
      </c>
      <c r="F34" s="2">
        <v>29.8</v>
      </c>
      <c r="G34" s="2">
        <v>51.8</v>
      </c>
      <c r="H34" s="2">
        <v>18.899999999999999</v>
      </c>
      <c r="I34" s="2">
        <f t="shared" si="1"/>
        <v>15.877244392349084</v>
      </c>
      <c r="J34" s="2">
        <v>15.877244392349084</v>
      </c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19"/>
    </row>
    <row r="35" spans="1:38" ht="13">
      <c r="A35" s="2" t="s">
        <v>681</v>
      </c>
      <c r="B35" s="2" t="s">
        <v>682</v>
      </c>
      <c r="C35" s="2">
        <v>6</v>
      </c>
      <c r="D35" s="2"/>
      <c r="E35" s="2">
        <v>1.1200000000000001</v>
      </c>
      <c r="F35" s="2">
        <v>20.5</v>
      </c>
      <c r="G35" s="2">
        <v>51.3</v>
      </c>
      <c r="H35" s="2">
        <v>17.5</v>
      </c>
      <c r="I35" s="2">
        <f t="shared" si="1"/>
        <v>16.342474489795915</v>
      </c>
      <c r="J35" s="2">
        <v>16.342474489795915</v>
      </c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19"/>
      <c r="AD35" s="319"/>
      <c r="AE35" s="319"/>
      <c r="AF35" s="319"/>
      <c r="AG35" s="319"/>
      <c r="AH35" s="319"/>
      <c r="AI35" s="319"/>
      <c r="AJ35" s="319"/>
      <c r="AK35" s="319"/>
      <c r="AL35" s="319"/>
    </row>
    <row r="36" spans="1:38" ht="13">
      <c r="A36" s="2" t="s">
        <v>683</v>
      </c>
      <c r="B36" s="2" t="s">
        <v>684</v>
      </c>
      <c r="C36" s="2">
        <v>7</v>
      </c>
      <c r="D36" s="2"/>
      <c r="E36" s="2">
        <v>1.17</v>
      </c>
      <c r="F36" s="2">
        <v>19.100000000000001</v>
      </c>
      <c r="G36" s="2">
        <v>51.5</v>
      </c>
      <c r="H36" s="2">
        <v>14.5</v>
      </c>
      <c r="I36" s="2">
        <f t="shared" si="1"/>
        <v>13.9528088246037</v>
      </c>
      <c r="J36" s="2">
        <v>13.9528088246037</v>
      </c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319"/>
      <c r="AB36" s="319"/>
      <c r="AC36" s="319"/>
      <c r="AD36" s="319"/>
      <c r="AE36" s="319"/>
      <c r="AF36" s="319"/>
      <c r="AG36" s="319"/>
      <c r="AH36" s="319"/>
      <c r="AI36" s="319"/>
      <c r="AJ36" s="319"/>
      <c r="AK36" s="319"/>
      <c r="AL36" s="319"/>
    </row>
    <row r="37" spans="1:38" ht="13">
      <c r="A37" s="2" t="s">
        <v>685</v>
      </c>
      <c r="B37" s="2" t="s">
        <v>686</v>
      </c>
      <c r="C37" s="2">
        <v>8</v>
      </c>
      <c r="D37" s="2"/>
      <c r="E37" s="2">
        <v>1.23</v>
      </c>
      <c r="F37" s="2">
        <v>23.7</v>
      </c>
      <c r="G37" s="2">
        <v>52.5</v>
      </c>
      <c r="H37" s="2">
        <v>17</v>
      </c>
      <c r="I37" s="2">
        <f t="shared" si="1"/>
        <v>15.665278604005552</v>
      </c>
      <c r="J37" s="2">
        <v>15.665278604005552</v>
      </c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  <c r="AD37" s="319"/>
      <c r="AE37" s="319"/>
      <c r="AF37" s="319"/>
      <c r="AG37" s="319"/>
      <c r="AH37" s="319"/>
      <c r="AI37" s="319"/>
      <c r="AJ37" s="319"/>
      <c r="AK37" s="319"/>
      <c r="AL37" s="319"/>
    </row>
    <row r="38" spans="1:38" ht="15.75" customHeight="1"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19"/>
      <c r="AB38" s="319"/>
      <c r="AC38" s="319"/>
      <c r="AD38" s="319"/>
      <c r="AE38" s="319"/>
      <c r="AF38" s="319"/>
      <c r="AG38" s="319"/>
      <c r="AH38" s="319"/>
      <c r="AI38" s="319"/>
      <c r="AJ38" s="319"/>
      <c r="AK38" s="319"/>
      <c r="AL38" s="319"/>
    </row>
    <row r="39" spans="1:38" ht="13">
      <c r="A39" s="2" t="s">
        <v>529</v>
      </c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19"/>
      <c r="AK39" s="319"/>
      <c r="AL39" s="319"/>
    </row>
    <row r="40" spans="1:38" ht="13">
      <c r="A40" s="87" t="s">
        <v>530</v>
      </c>
      <c r="B40" s="87" t="s">
        <v>531</v>
      </c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/>
      <c r="AI40" s="319"/>
      <c r="AJ40" s="319"/>
      <c r="AK40" s="319"/>
      <c r="AL40" s="319"/>
    </row>
    <row r="41" spans="1:38" ht="13">
      <c r="A41" s="87" t="s">
        <v>532</v>
      </c>
      <c r="B41" s="87" t="s">
        <v>533</v>
      </c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  <c r="AA41" s="319"/>
      <c r="AB41" s="319"/>
      <c r="AC41" s="319"/>
      <c r="AD41" s="319"/>
      <c r="AE41" s="319"/>
      <c r="AF41" s="319"/>
      <c r="AG41" s="319"/>
      <c r="AH41" s="319"/>
      <c r="AI41" s="319"/>
      <c r="AJ41" s="319"/>
      <c r="AK41" s="319"/>
      <c r="AL41" s="319"/>
    </row>
    <row r="42" spans="1:38" ht="13">
      <c r="A42" s="2" t="s">
        <v>534</v>
      </c>
      <c r="B42" s="2" t="s">
        <v>535</v>
      </c>
      <c r="C42" s="2">
        <v>10</v>
      </c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319"/>
      <c r="AB42" s="319"/>
      <c r="AC42" s="319"/>
      <c r="AD42" s="319"/>
      <c r="AE42" s="319"/>
      <c r="AF42" s="319"/>
      <c r="AG42" s="319"/>
      <c r="AH42" s="319"/>
      <c r="AI42" s="319"/>
      <c r="AJ42" s="319"/>
      <c r="AK42" s="319"/>
      <c r="AL42" s="319"/>
    </row>
    <row r="43" spans="1:38" ht="13">
      <c r="A43" s="2" t="s">
        <v>536</v>
      </c>
      <c r="B43" s="2" t="s">
        <v>537</v>
      </c>
      <c r="C43" s="2">
        <v>7</v>
      </c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/>
      <c r="AJ43" s="319"/>
      <c r="AK43" s="319"/>
      <c r="AL43" s="319"/>
    </row>
    <row r="44" spans="1:38" ht="15">
      <c r="A44" s="167" t="s">
        <v>538</v>
      </c>
      <c r="B44" s="167" t="s">
        <v>539</v>
      </c>
      <c r="E44" s="188" t="s">
        <v>641</v>
      </c>
      <c r="F44" s="188">
        <v>40</v>
      </c>
      <c r="G44" s="188" t="s">
        <v>687</v>
      </c>
      <c r="H44" s="188">
        <v>23</v>
      </c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  <c r="AJ44" s="319"/>
      <c r="AK44" s="319"/>
      <c r="AL44" s="319"/>
    </row>
    <row r="45" spans="1:38" ht="15">
      <c r="A45" s="168" t="s">
        <v>540</v>
      </c>
      <c r="B45" s="167" t="s">
        <v>541</v>
      </c>
      <c r="E45" s="188" t="s">
        <v>627</v>
      </c>
      <c r="F45" s="297">
        <v>42816</v>
      </c>
      <c r="G45" s="188">
        <v>50</v>
      </c>
      <c r="H45" s="188">
        <v>17</v>
      </c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</row>
    <row r="46" spans="1:38" ht="15">
      <c r="A46" s="167" t="s">
        <v>542</v>
      </c>
      <c r="B46" s="167" t="s">
        <v>543</v>
      </c>
      <c r="E46" s="298" t="s">
        <v>645</v>
      </c>
      <c r="F46" s="299" t="s">
        <v>646</v>
      </c>
      <c r="G46" s="298" t="s">
        <v>595</v>
      </c>
      <c r="H46" s="300">
        <v>42816</v>
      </c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/>
      <c r="AC46" s="319"/>
      <c r="AD46" s="319"/>
      <c r="AE46" s="319"/>
      <c r="AF46" s="319"/>
      <c r="AG46" s="319"/>
      <c r="AH46" s="319"/>
      <c r="AI46" s="319"/>
      <c r="AJ46" s="319"/>
      <c r="AK46" s="319"/>
      <c r="AL46" s="319"/>
    </row>
    <row r="47" spans="1:38" ht="15">
      <c r="A47" s="167" t="s">
        <v>544</v>
      </c>
      <c r="B47" s="167" t="s">
        <v>545</v>
      </c>
      <c r="E47" s="298" t="s">
        <v>645</v>
      </c>
      <c r="F47" s="299" t="s">
        <v>647</v>
      </c>
      <c r="G47" s="298" t="s">
        <v>688</v>
      </c>
      <c r="H47" s="300">
        <v>42875</v>
      </c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  <c r="AA47" s="319"/>
      <c r="AB47" s="319"/>
      <c r="AC47" s="319"/>
      <c r="AD47" s="319"/>
      <c r="AE47" s="319"/>
      <c r="AF47" s="319"/>
      <c r="AG47" s="319"/>
      <c r="AH47" s="319"/>
      <c r="AI47" s="319"/>
      <c r="AJ47" s="319"/>
      <c r="AK47" s="319"/>
      <c r="AL47" s="319"/>
    </row>
    <row r="48" spans="1:38" ht="15.75" customHeight="1"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</row>
    <row r="49" spans="1:39" ht="15.75" customHeight="1"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19"/>
      <c r="AB49" s="319"/>
      <c r="AC49" s="319"/>
      <c r="AD49" s="319"/>
      <c r="AE49" s="319"/>
      <c r="AF49" s="319"/>
      <c r="AG49" s="319"/>
      <c r="AH49" s="319"/>
      <c r="AI49" s="319"/>
      <c r="AJ49" s="319"/>
      <c r="AK49" s="319"/>
      <c r="AL49" s="319"/>
    </row>
    <row r="50" spans="1:39" ht="15.75" customHeight="1"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  <c r="AA50" s="319"/>
      <c r="AB50" s="319"/>
      <c r="AC50" s="319"/>
      <c r="AD50" s="319"/>
      <c r="AE50" s="319"/>
      <c r="AF50" s="319"/>
      <c r="AG50" s="319"/>
      <c r="AH50" s="319"/>
      <c r="AI50" s="319"/>
      <c r="AJ50" s="319"/>
      <c r="AK50" s="319"/>
      <c r="AL50" s="319"/>
    </row>
    <row r="51" spans="1:39" ht="15.75" customHeight="1"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  <c r="AB51" s="319"/>
      <c r="AC51" s="319"/>
      <c r="AD51" s="319"/>
      <c r="AE51" s="319"/>
      <c r="AF51" s="319"/>
      <c r="AG51" s="319"/>
      <c r="AH51" s="319"/>
      <c r="AI51" s="319"/>
      <c r="AJ51" s="319"/>
      <c r="AK51" s="319"/>
      <c r="AL51" s="319"/>
    </row>
    <row r="52" spans="1:39" ht="15.75" customHeight="1"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/>
      <c r="AK52" s="319"/>
      <c r="AL52" s="319"/>
    </row>
    <row r="53" spans="1:39" ht="13">
      <c r="A53" s="301" t="s">
        <v>689</v>
      </c>
      <c r="B53" s="302"/>
      <c r="C53" s="301" t="s">
        <v>690</v>
      </c>
      <c r="D53" s="302"/>
      <c r="E53" s="302"/>
      <c r="F53" s="302"/>
      <c r="G53" s="302"/>
      <c r="H53" s="302"/>
      <c r="I53" s="302"/>
      <c r="J53" s="302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02"/>
    </row>
    <row r="54" spans="1:39" ht="13">
      <c r="A54" s="2" t="s">
        <v>691</v>
      </c>
      <c r="B54" s="2">
        <v>5534266602</v>
      </c>
      <c r="C54" s="2" t="s">
        <v>692</v>
      </c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</row>
    <row r="55" spans="1:39" ht="13">
      <c r="A55" s="2" t="s">
        <v>693</v>
      </c>
      <c r="B55" s="2">
        <v>5515111327</v>
      </c>
      <c r="C55" s="2" t="s">
        <v>694</v>
      </c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19"/>
      <c r="AL55" s="319"/>
    </row>
    <row r="56" spans="1:39" ht="13">
      <c r="A56" s="2" t="s">
        <v>695</v>
      </c>
      <c r="B56" s="2">
        <v>5539746102</v>
      </c>
      <c r="C56" s="2" t="s">
        <v>696</v>
      </c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  <c r="AD56" s="319"/>
      <c r="AE56" s="319"/>
      <c r="AF56" s="319"/>
      <c r="AG56" s="319"/>
      <c r="AH56" s="319"/>
      <c r="AI56" s="319"/>
      <c r="AJ56" s="319"/>
      <c r="AK56" s="319"/>
      <c r="AL56" s="319"/>
    </row>
    <row r="57" spans="1:39" ht="13">
      <c r="A57" s="2" t="s">
        <v>697</v>
      </c>
      <c r="B57" s="2">
        <v>5513312339</v>
      </c>
      <c r="C57" s="2" t="s">
        <v>698</v>
      </c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319"/>
      <c r="AD57" s="319"/>
      <c r="AE57" s="319"/>
      <c r="AF57" s="319"/>
      <c r="AG57" s="319"/>
      <c r="AH57" s="319"/>
      <c r="AI57" s="319"/>
      <c r="AJ57" s="319"/>
      <c r="AK57" s="319"/>
      <c r="AL57" s="319"/>
    </row>
    <row r="58" spans="1:39" ht="13">
      <c r="A58" s="2" t="s">
        <v>699</v>
      </c>
      <c r="B58" s="2">
        <v>5540767922</v>
      </c>
      <c r="C58" s="2" t="s">
        <v>700</v>
      </c>
    </row>
    <row r="59" spans="1:39" ht="13">
      <c r="A59" s="2" t="s">
        <v>701</v>
      </c>
      <c r="B59" s="2">
        <v>5539109044</v>
      </c>
      <c r="C59" s="2" t="s">
        <v>702</v>
      </c>
    </row>
    <row r="60" spans="1:39" ht="13">
      <c r="A60" s="2" t="s">
        <v>703</v>
      </c>
      <c r="B60" s="2">
        <v>5544204010</v>
      </c>
      <c r="C60" s="2" t="s">
        <v>704</v>
      </c>
    </row>
    <row r="61" spans="1:39" ht="13">
      <c r="A61" s="2" t="s">
        <v>705</v>
      </c>
      <c r="B61" s="2">
        <v>5543133515</v>
      </c>
      <c r="C61" s="2" t="s">
        <v>706</v>
      </c>
    </row>
    <row r="62" spans="1:39" ht="13">
      <c r="A62" s="2" t="s">
        <v>707</v>
      </c>
      <c r="B62" s="2">
        <v>5518656158</v>
      </c>
      <c r="C62" s="2" t="s">
        <v>708</v>
      </c>
    </row>
    <row r="63" spans="1:39" ht="13">
      <c r="A63" s="2" t="s">
        <v>709</v>
      </c>
      <c r="B63" s="2">
        <v>5530319932</v>
      </c>
      <c r="C63" s="2" t="s">
        <v>710</v>
      </c>
    </row>
    <row r="64" spans="1:39" ht="13">
      <c r="A64" s="2" t="s">
        <v>711</v>
      </c>
      <c r="B64" s="2">
        <v>5512103883</v>
      </c>
      <c r="C64" s="2" t="s">
        <v>712</v>
      </c>
    </row>
    <row r="65" spans="1:3" ht="13">
      <c r="A65" s="2" t="s">
        <v>713</v>
      </c>
      <c r="B65" s="2">
        <v>5574611643</v>
      </c>
      <c r="C65" s="2" t="s">
        <v>714</v>
      </c>
    </row>
    <row r="66" spans="1:3" ht="13">
      <c r="A66" s="2" t="s">
        <v>715</v>
      </c>
      <c r="B66" s="2">
        <v>5542646196</v>
      </c>
      <c r="C66" s="2" t="s">
        <v>716</v>
      </c>
    </row>
    <row r="67" spans="1:3" ht="13">
      <c r="A67" s="2" t="s">
        <v>717</v>
      </c>
      <c r="B67" s="2">
        <v>5531498487</v>
      </c>
      <c r="C67" s="2" t="s">
        <v>718</v>
      </c>
    </row>
    <row r="68" spans="1:3" ht="13">
      <c r="A68" s="2" t="s">
        <v>719</v>
      </c>
      <c r="B68" s="2">
        <v>5527755893</v>
      </c>
      <c r="C68" s="2" t="s">
        <v>720</v>
      </c>
    </row>
    <row r="69" spans="1:3" ht="13">
      <c r="A69" s="2" t="s">
        <v>721</v>
      </c>
      <c r="B69" s="2">
        <v>5528987363</v>
      </c>
      <c r="C69" s="318" t="s">
        <v>753</v>
      </c>
    </row>
    <row r="70" spans="1:3" ht="13">
      <c r="A70" s="2" t="s">
        <v>722</v>
      </c>
      <c r="B70" s="2">
        <v>5518333355</v>
      </c>
      <c r="C70" s="2" t="s">
        <v>723</v>
      </c>
    </row>
    <row r="71" spans="1:3" ht="13">
      <c r="A71" s="2" t="s">
        <v>724</v>
      </c>
      <c r="B71" s="2">
        <v>5541280180</v>
      </c>
      <c r="C71" s="2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Tabla EEG(Para Montaña)</vt:lpstr>
      <vt:lpstr>Puntaje Z (proteína)</vt:lpstr>
      <vt:lpstr>Proteína</vt:lpstr>
      <vt:lpstr>Puntaje Z (Lípidos)</vt:lpstr>
      <vt:lpstr>Lípidos</vt:lpstr>
      <vt:lpstr>Medidas antropométricas(Montaña</vt:lpstr>
      <vt:lpstr>Niños Montaña Resumen </vt:lpstr>
      <vt:lpstr>Antropometricas (Ciudad)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2020-04-08T01:23:51Z</dcterms:created>
  <dcterms:modified xsi:type="dcterms:W3CDTF">2020-04-24T21:52:08Z</dcterms:modified>
</cp:coreProperties>
</file>