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biota X EEG" sheetId="1" r:id="rId3"/>
    <sheet state="visible" name="Binomios Mamá-Hijos" sheetId="2" r:id="rId4"/>
    <sheet state="visible" name="Población" sheetId="3" r:id="rId5"/>
    <sheet state="visible" name="Hoja 4" sheetId="4" r:id="rId6"/>
  </sheets>
  <definedNames/>
  <calcPr/>
</workbook>
</file>

<file path=xl/sharedStrings.xml><?xml version="1.0" encoding="utf-8"?>
<sst xmlns="http://schemas.openxmlformats.org/spreadsheetml/2006/main" count="1376" uniqueCount="591">
  <si>
    <t>Nombre</t>
  </si>
  <si>
    <t>Edad</t>
  </si>
  <si>
    <t>Sexo</t>
  </si>
  <si>
    <t>Código Colecta</t>
  </si>
  <si>
    <t>Código Extracción</t>
  </si>
  <si>
    <t>Primer (Barcode)</t>
  </si>
  <si>
    <t>EEG</t>
  </si>
  <si>
    <t>Parásitos (Muestra 1)</t>
  </si>
  <si>
    <t>Parásitos (Muestra 2)</t>
  </si>
  <si>
    <t>Parásitos (Total)</t>
  </si>
  <si>
    <t>Parásito (Nombre)</t>
  </si>
  <si>
    <t>Medidas Antropométricas</t>
  </si>
  <si>
    <t>Familia</t>
  </si>
  <si>
    <t>Notas</t>
  </si>
  <si>
    <t>RESENCIANA SANTIAGO GARCIA</t>
  </si>
  <si>
    <t>M</t>
  </si>
  <si>
    <t>N056H1</t>
  </si>
  <si>
    <t>ATGTGTGTAGAC</t>
  </si>
  <si>
    <t>-</t>
  </si>
  <si>
    <t>Falta análisis de parásitos, faltan medidas antropométricas</t>
  </si>
  <si>
    <t>REYNALDA SANTIAGO GARCIA</t>
  </si>
  <si>
    <t>N056H2</t>
  </si>
  <si>
    <t>AGCTGTCAAGCT</t>
  </si>
  <si>
    <t>Faltan medidas antropométricas</t>
  </si>
  <si>
    <t>JOSEFINA SANTIAGO GARCIA</t>
  </si>
  <si>
    <t>N056H3</t>
  </si>
  <si>
    <t>GCCTAGCCCAAT</t>
  </si>
  <si>
    <t>faltan medidas antropométricas</t>
  </si>
  <si>
    <t>GIOVANI RUIZ SATURNINO</t>
  </si>
  <si>
    <t>H</t>
  </si>
  <si>
    <t>N075H1</t>
  </si>
  <si>
    <t>GAGAGCAACAGA</t>
  </si>
  <si>
    <t>Medidas antropométricas incompletas</t>
  </si>
  <si>
    <t>DENY RUIZ SANTIAGO</t>
  </si>
  <si>
    <t>N075H2</t>
  </si>
  <si>
    <t>CCTGCGAAGTAT</t>
  </si>
  <si>
    <t>LEONEL RUIZ SATURNINO</t>
  </si>
  <si>
    <t>N075H3</t>
  </si>
  <si>
    <t>GCACACCTGATA</t>
  </si>
  <si>
    <t>Hace falta EEG, tenía 5 años durante colecta, aparece en grupo de Gatica en placa, medidas antropométricas incompletas</t>
  </si>
  <si>
    <t>ANGELINA GARCIA ESPINOSA</t>
  </si>
  <si>
    <t>N055H1</t>
  </si>
  <si>
    <t>CGCTGTGGATTA</t>
  </si>
  <si>
    <t>Aparece como muestra repetida en pozo de PCR con número 17 y como grupo de Gatica, nieto de N055M, faltan medidas antropométricas</t>
  </si>
  <si>
    <t>JOSE LUIS GARCIA ESPINOSA</t>
  </si>
  <si>
    <t>N055H2</t>
  </si>
  <si>
    <t>CGCAGATTAGTA</t>
  </si>
  <si>
    <t>Nieto de N055M, faltan medidas antropométricas</t>
  </si>
  <si>
    <t>YOLANDA GARCIA ZAMORA</t>
  </si>
  <si>
    <t>N047H2</t>
  </si>
  <si>
    <t>ACAACACTCCGA</t>
  </si>
  <si>
    <t>Falta análisis de parásitos</t>
  </si>
  <si>
    <t>MARICELA RODRIGUEZ GARCIA</t>
  </si>
  <si>
    <t>N079H1</t>
  </si>
  <si>
    <t>GATGTGGTGTTA</t>
  </si>
  <si>
    <t>ANA DELIA RUIZ RAMIREZ</t>
  </si>
  <si>
    <t>N060H1</t>
  </si>
  <si>
    <t>GATCACGAGAGG</t>
  </si>
  <si>
    <t>MIRNA SANTIAGO ZAMORA</t>
  </si>
  <si>
    <t>N078H1</t>
  </si>
  <si>
    <t>AGAGTCTTGCCA</t>
  </si>
  <si>
    <t>Ascaris L.</t>
  </si>
  <si>
    <t>EUGENIA BOLAÑOS MATEO</t>
  </si>
  <si>
    <t>N050H1</t>
  </si>
  <si>
    <t>GTAAATTCAGGC</t>
  </si>
  <si>
    <t>LAZARO BOLAÑOS MATEO</t>
  </si>
  <si>
    <t>N050H3</t>
  </si>
  <si>
    <t>TGGGTCCCACAT</t>
  </si>
  <si>
    <t>5 años, Medidas antropométricas incompletas</t>
  </si>
  <si>
    <t>LEONOR SANTIAGO ESPINOZA</t>
  </si>
  <si>
    <t>N073H1</t>
  </si>
  <si>
    <t>AGCAACATTGCA</t>
  </si>
  <si>
    <t>CARLOS DANIEL CARRANZA SANTIAGO</t>
  </si>
  <si>
    <t>G030H1</t>
  </si>
  <si>
    <t>TGTGCGATAACA</t>
  </si>
  <si>
    <t>MIGUEL ANGEL CARRANZA SANTIAGO</t>
  </si>
  <si>
    <t>G030H2</t>
  </si>
  <si>
    <t>ACCATAGCTCCG</t>
  </si>
  <si>
    <t>AMAIRANI CARRANZA SANTIAGO</t>
  </si>
  <si>
    <t>G030H3</t>
  </si>
  <si>
    <t>GCGACAATTACA</t>
  </si>
  <si>
    <t>HUGO CARRANZA SILVERIO</t>
  </si>
  <si>
    <t>G105H1</t>
  </si>
  <si>
    <t>TCTGCACTGAGC</t>
  </si>
  <si>
    <t>EDITH CARRANZA SILVERIO</t>
  </si>
  <si>
    <t>G105H2</t>
  </si>
  <si>
    <t>GCTTGAGCTTGA</t>
  </si>
  <si>
    <t>ILIANA EMILIANO DIRCIO</t>
  </si>
  <si>
    <t>G068H1</t>
  </si>
  <si>
    <t>TCGTGCGTGTTG</t>
  </si>
  <si>
    <t>Otro</t>
  </si>
  <si>
    <t>GILBERTO ORTEGA NAVA</t>
  </si>
  <si>
    <t>G029H1</t>
  </si>
  <si>
    <t>AGTAGCGGAAGA</t>
  </si>
  <si>
    <t>10 años, niño</t>
  </si>
  <si>
    <t>HORACIO ORTEGA NAVA</t>
  </si>
  <si>
    <t>G029H3</t>
  </si>
  <si>
    <t>TCCTCGAGCGAT</t>
  </si>
  <si>
    <t>Ascaris</t>
  </si>
  <si>
    <t>TEODOSIO GATICA ALBERTO</t>
  </si>
  <si>
    <t>G045H1</t>
  </si>
  <si>
    <t>TTAAGACAGTCG</t>
  </si>
  <si>
    <t>FEDERICO GATICA ALBERTO</t>
  </si>
  <si>
    <t>G045H2</t>
  </si>
  <si>
    <t>GTGCAACCAATC</t>
  </si>
  <si>
    <t>JAZMYN ARACELI DIRCIO SANTIAGO</t>
  </si>
  <si>
    <t>G102H1</t>
  </si>
  <si>
    <t>TGAACCCTATGG</t>
  </si>
  <si>
    <t>JESUS MARCELO GATICA</t>
  </si>
  <si>
    <t>G103H1</t>
  </si>
  <si>
    <t>GTTATCGCATGG</t>
  </si>
  <si>
    <t>HONORIA MORA NAVA</t>
  </si>
  <si>
    <t>G042H2</t>
  </si>
  <si>
    <t>?</t>
  </si>
  <si>
    <t>11 años, niña</t>
  </si>
  <si>
    <t>MARTINA NORMA NAVA</t>
  </si>
  <si>
    <t>G042H3</t>
  </si>
  <si>
    <t>GCAATTAGGTAC</t>
  </si>
  <si>
    <t>ADELITA NORMA NAVA</t>
  </si>
  <si>
    <t>G042H4</t>
  </si>
  <si>
    <t>x</t>
  </si>
  <si>
    <t>EEG pero no extracción, 187 huevecillos según análisis de hospital</t>
  </si>
  <si>
    <t>GALILEA CARRANZA AURELIO</t>
  </si>
  <si>
    <t>G006H1</t>
  </si>
  <si>
    <t>TCATGCTCCATT</t>
  </si>
  <si>
    <t>HERENDIRA CARRAZA AURELIO</t>
  </si>
  <si>
    <t>G006H2</t>
  </si>
  <si>
    <t>MATUSALEN SILVERIO MORALES</t>
  </si>
  <si>
    <t>G046H1</t>
  </si>
  <si>
    <t>CATACCGTGAGT</t>
  </si>
  <si>
    <t>11 años, niño</t>
  </si>
  <si>
    <t>AZALEA BERENICE NAVA GARCIA</t>
  </si>
  <si>
    <t>G033H1</t>
  </si>
  <si>
    <t>TTAGAGCCATGC</t>
  </si>
  <si>
    <t>5 años</t>
  </si>
  <si>
    <t>ELIDIA NERI SATURNINO</t>
  </si>
  <si>
    <t>G025H3</t>
  </si>
  <si>
    <t>GATTATCGACGA</t>
  </si>
  <si>
    <t>SOLEDAD CARRANZA CASTRO</t>
  </si>
  <si>
    <t>G020H3</t>
  </si>
  <si>
    <t>BERENICE CARRANZA CASTRO</t>
  </si>
  <si>
    <t>G020H4</t>
  </si>
  <si>
    <t>SALVADOR CAYETANO ESPINOZA</t>
  </si>
  <si>
    <t>G013H2</t>
  </si>
  <si>
    <t>EEG pero no extracción, falta número de huevecillos</t>
  </si>
  <si>
    <t>FRANSCISCO CAYETANO ESPINOZA</t>
  </si>
  <si>
    <t>G013H4</t>
  </si>
  <si>
    <t>ACCCAAGCGTTA</t>
  </si>
  <si>
    <t>MARIBEL GABINO SANTIAGO</t>
  </si>
  <si>
    <t>N074H1</t>
  </si>
  <si>
    <t>TACCGCTTCTTC</t>
  </si>
  <si>
    <t>Intrusión</t>
  </si>
  <si>
    <t>Omara Yareid Sánchez Vázquez</t>
  </si>
  <si>
    <t>U002H3</t>
  </si>
  <si>
    <t>A05</t>
  </si>
  <si>
    <t>TAATCGGTGCCA</t>
  </si>
  <si>
    <t>Brenda Alondra Martínez Pacheco</t>
  </si>
  <si>
    <t>U003H1</t>
  </si>
  <si>
    <t>A07</t>
  </si>
  <si>
    <t>ACTTGGTGTAAG</t>
  </si>
  <si>
    <t>Andrea Isabela Sánchez Santos</t>
  </si>
  <si>
    <t>U004H1</t>
  </si>
  <si>
    <t>A09</t>
  </si>
  <si>
    <t>GTATTTCGGACG</t>
  </si>
  <si>
    <t>José Ángel Salgado Núñez</t>
  </si>
  <si>
    <t>U005H3</t>
  </si>
  <si>
    <t>EEG pero no extracción</t>
  </si>
  <si>
    <t>Jessica Ramírez Hernández</t>
  </si>
  <si>
    <t>U006H1</t>
  </si>
  <si>
    <t>A13</t>
  </si>
  <si>
    <t>GAAACATCCCAC</t>
  </si>
  <si>
    <t>Monserrat Miranda Valdez</t>
  </si>
  <si>
    <t>U007H1</t>
  </si>
  <si>
    <t>A16</t>
  </si>
  <si>
    <t>TTGATCCGGTAG</t>
  </si>
  <si>
    <t>Luz Noelia Arizmendi Ramírez</t>
  </si>
  <si>
    <t>U009H2</t>
  </si>
  <si>
    <t>A20</t>
  </si>
  <si>
    <t>TCTTGGAGGTCA</t>
  </si>
  <si>
    <t>Carlos David Pérez García</t>
  </si>
  <si>
    <t>U010H1</t>
  </si>
  <si>
    <t>EEG pero no entregaron copro, faltan medidas antropométricas</t>
  </si>
  <si>
    <t>Víctor Alexandro Feria Cuevas</t>
  </si>
  <si>
    <t>U011H2</t>
  </si>
  <si>
    <t>A24</t>
  </si>
  <si>
    <t>GCATAGCATCAA</t>
  </si>
  <si>
    <t>María Fernanda Bobadilla García</t>
  </si>
  <si>
    <t>U012H1</t>
  </si>
  <si>
    <t>A26</t>
  </si>
  <si>
    <t>CGTGACAATAGT</t>
  </si>
  <si>
    <t>Alejandro Bobadilla García</t>
  </si>
  <si>
    <t>U012H2</t>
  </si>
  <si>
    <t>A27</t>
  </si>
  <si>
    <t>CGGGTGTTTGCT</t>
  </si>
  <si>
    <t>Stephanie María Contreras Ávila</t>
  </si>
  <si>
    <t>U013H</t>
  </si>
  <si>
    <t>A29</t>
  </si>
  <si>
    <t>TCACCTCCTTGT</t>
  </si>
  <si>
    <t>Lucía López Velázquez</t>
  </si>
  <si>
    <t>U014H1</t>
  </si>
  <si>
    <t>A31</t>
  </si>
  <si>
    <t>ATCAGTACTAGG</t>
  </si>
  <si>
    <t>Yael Santiago Ferias</t>
  </si>
  <si>
    <t>U015H</t>
  </si>
  <si>
    <t>Alejandro Galicia Martínez</t>
  </si>
  <si>
    <t>U016H1</t>
  </si>
  <si>
    <t>A36</t>
  </si>
  <si>
    <t>CGCTACAACTCG</t>
  </si>
  <si>
    <t>Gael Galicia Martínez</t>
  </si>
  <si>
    <t>U016H2</t>
  </si>
  <si>
    <t>A35</t>
  </si>
  <si>
    <t>TCAGTTCTCGTT</t>
  </si>
  <si>
    <t>Regina Segura Lara</t>
  </si>
  <si>
    <t>U017H1</t>
  </si>
  <si>
    <t>EEG pero no extracción (no es de la UPN)</t>
  </si>
  <si>
    <t>N = 56</t>
  </si>
  <si>
    <t>Sin análisis de microbiota = 6</t>
  </si>
  <si>
    <t>n montaña = 39</t>
  </si>
  <si>
    <t>Sin análisis de parásitos = 2</t>
  </si>
  <si>
    <t>n ciudad = 17</t>
  </si>
  <si>
    <t>Sin EEG = 1</t>
  </si>
  <si>
    <t>NIÑOS SIN EEG NI EXTRACCIÓN CON ANÁLISIS DE PARÁSITOS</t>
  </si>
  <si>
    <t>Jésus Aurelio García</t>
  </si>
  <si>
    <t>G012H2M8</t>
  </si>
  <si>
    <t>Hortencia Aurelio García</t>
  </si>
  <si>
    <t>G012H3F</t>
  </si>
  <si>
    <t>Kael Gatica Alberto</t>
  </si>
  <si>
    <t>G045H3F5</t>
  </si>
  <si>
    <t>Sandybel Garcia Gonzalez</t>
  </si>
  <si>
    <t>G080H2F</t>
  </si>
  <si>
    <t>Wilbert Carranza Aurelio</t>
  </si>
  <si>
    <t>G095H1M5</t>
  </si>
  <si>
    <t>Serena Aurelio Hernández</t>
  </si>
  <si>
    <t>G096H1F11</t>
  </si>
  <si>
    <t>Antonio Marcelo Gatica</t>
  </si>
  <si>
    <t>G103H2M-Ene</t>
  </si>
  <si>
    <t>N016H2</t>
  </si>
  <si>
    <t>Pedro Garcia Zamora</t>
  </si>
  <si>
    <t>N047H1M11</t>
  </si>
  <si>
    <t>Inés Rodriguez Amado</t>
  </si>
  <si>
    <t>N048H1F</t>
  </si>
  <si>
    <t>Eugenia Bolaños Mateo</t>
  </si>
  <si>
    <t>N050H2M</t>
  </si>
  <si>
    <t>Rene Mateo Santos</t>
  </si>
  <si>
    <t>N051H1M8</t>
  </si>
  <si>
    <t>1 Ascaris, probables Ancylostoma</t>
  </si>
  <si>
    <t>Epifania Rubio Espinoza</t>
  </si>
  <si>
    <t>N052H1F12</t>
  </si>
  <si>
    <t>Cristina Espinoza Miguel</t>
  </si>
  <si>
    <t>N057H1F5</t>
  </si>
  <si>
    <t>Nayelli Espinoza Estrada</t>
  </si>
  <si>
    <t>N065H1F6</t>
  </si>
  <si>
    <t>Candido Vázquez Santiago</t>
  </si>
  <si>
    <t>N066H1M6</t>
  </si>
  <si>
    <t>Jaime Rubio Espinoza</t>
  </si>
  <si>
    <t>N076H1M11</t>
  </si>
  <si>
    <t>26 Parásitos desconocidos</t>
  </si>
  <si>
    <t>Gabriel Ruiz García</t>
  </si>
  <si>
    <t>N113H9M8</t>
  </si>
  <si>
    <t>Nayeli Alfonso Espinoza</t>
  </si>
  <si>
    <t>N123H1F8</t>
  </si>
  <si>
    <t>Patricia García Reinaldo</t>
  </si>
  <si>
    <t>N127H1F8</t>
  </si>
  <si>
    <t>Primer</t>
  </si>
  <si>
    <t>ALICIA GARCIA ESPINOZA</t>
  </si>
  <si>
    <t>N056M</t>
  </si>
  <si>
    <t>TCCCTTGTCTCC</t>
  </si>
  <si>
    <t>Muestra descartada por baja profundidad</t>
  </si>
  <si>
    <t>MARCELA SATURNINO ALEJO</t>
  </si>
  <si>
    <t>N075M</t>
  </si>
  <si>
    <t>GCTGTACGGATT</t>
  </si>
  <si>
    <t>No tiene EEG</t>
  </si>
  <si>
    <t>NATALIA REMIGIO AURELIA</t>
  </si>
  <si>
    <t>N055M</t>
  </si>
  <si>
    <t>TGCATACACTGG</t>
  </si>
  <si>
    <t xml:space="preserve">Abuela </t>
  </si>
  <si>
    <t>Nieta de N055M</t>
  </si>
  <si>
    <t>Nieto de N055M</t>
  </si>
  <si>
    <t xml:space="preserve">GUADALUPE ZAMORA ELIDIA </t>
  </si>
  <si>
    <t>N047M</t>
  </si>
  <si>
    <t>GCGATATATCGC</t>
  </si>
  <si>
    <t>ISIDORA GARCIA ESPINOZA</t>
  </si>
  <si>
    <t>N079M</t>
  </si>
  <si>
    <t>ACCAGTGACTCA</t>
  </si>
  <si>
    <t xml:space="preserve">REGINA RAMIREZ ESPINOZA </t>
  </si>
  <si>
    <t>N060M</t>
  </si>
  <si>
    <t>CACTACGCTAGA</t>
  </si>
  <si>
    <t>MARIA OLIRIA ZAMORA</t>
  </si>
  <si>
    <t>N078M</t>
  </si>
  <si>
    <t>TACTACGTGGGC</t>
  </si>
  <si>
    <t>Corroborar edad</t>
  </si>
  <si>
    <t>LAURENTINA MATEO HILARIO</t>
  </si>
  <si>
    <t>N050M</t>
  </si>
  <si>
    <t>CGGTCAATTGAC</t>
  </si>
  <si>
    <t>JOVITA ESPINOZA MORALES</t>
  </si>
  <si>
    <t>N073M</t>
  </si>
  <si>
    <t>GGTGACTAGTTC</t>
  </si>
  <si>
    <t xml:space="preserve">EUGENIA SANTIAGO MORALES </t>
  </si>
  <si>
    <t>G030M</t>
  </si>
  <si>
    <t>CGTAAGATGCCT</t>
  </si>
  <si>
    <t>ARCANGELA SILVERIO TORIBIO</t>
  </si>
  <si>
    <t>G105M</t>
  </si>
  <si>
    <t>ACGAGACTGATT</t>
  </si>
  <si>
    <t>Falta mamá</t>
  </si>
  <si>
    <t>SUSANA NAVA GIL</t>
  </si>
  <si>
    <t>G029M</t>
  </si>
  <si>
    <t>AGTCGAACGAGG</t>
  </si>
  <si>
    <t>LORENA ALBERTO MARCELO</t>
  </si>
  <si>
    <t>G045M</t>
  </si>
  <si>
    <t>CGAGCAATCCTA</t>
  </si>
  <si>
    <t>IIDALIA JAZMYN SANTIAGO GARCIA</t>
  </si>
  <si>
    <t>G102M</t>
  </si>
  <si>
    <t>TGCAGTCCTCGA</t>
  </si>
  <si>
    <t>ANTONIA GATICA GARCIA</t>
  </si>
  <si>
    <t>G103M</t>
  </si>
  <si>
    <t>GGCCAGTTCCTA</t>
  </si>
  <si>
    <t>Falta mamá, falta secuenciación</t>
  </si>
  <si>
    <t>ALBINA MORALES MAURILIO</t>
  </si>
  <si>
    <t>G046M</t>
  </si>
  <si>
    <t>GTGGAGTCTCAT</t>
  </si>
  <si>
    <t>MARDONIA GARCIA GATICA</t>
  </si>
  <si>
    <t>G033M</t>
  </si>
  <si>
    <t>AGTCGTGCACAT</t>
  </si>
  <si>
    <t>estaba embarazada durante colecta</t>
  </si>
  <si>
    <t xml:space="preserve">LUCIA SATURNINO  SANTIAGO </t>
  </si>
  <si>
    <t>G025M</t>
  </si>
  <si>
    <t>GCGTTCTAGCTG</t>
  </si>
  <si>
    <t xml:space="preserve">MARILUZ CASTRO AVILES </t>
  </si>
  <si>
    <t>G020M</t>
  </si>
  <si>
    <t>ATGGGTTCCGTC</t>
  </si>
  <si>
    <t>Falta secuenciación</t>
  </si>
  <si>
    <t>Adriana Vázquez Rojas</t>
  </si>
  <si>
    <t>U002M</t>
  </si>
  <si>
    <t>A04</t>
  </si>
  <si>
    <t>TTAACCTTCCTG</t>
  </si>
  <si>
    <t>Monserrat Pacheco Acevez</t>
  </si>
  <si>
    <t>U003M</t>
  </si>
  <si>
    <t>A06</t>
  </si>
  <si>
    <t>TGGTCGCATCGT</t>
  </si>
  <si>
    <t>María Inés Núñez Velázquez</t>
  </si>
  <si>
    <t>U005M</t>
  </si>
  <si>
    <t>A10</t>
  </si>
  <si>
    <t>GACATTGTCACG</t>
  </si>
  <si>
    <t>Falta encontrar copro de hijo</t>
  </si>
  <si>
    <t>ENCONTRAR COPRO</t>
  </si>
  <si>
    <t>María Isabel Hernández Rangel</t>
  </si>
  <si>
    <t>U006M</t>
  </si>
  <si>
    <t>A12</t>
  </si>
  <si>
    <t>GGATCGTAATAC</t>
  </si>
  <si>
    <t>tomaba pastillas para adelgazar</t>
  </si>
  <si>
    <t>Erika Natalia Valdez Sánchez</t>
  </si>
  <si>
    <t>U007M</t>
  </si>
  <si>
    <t>A15</t>
  </si>
  <si>
    <t>TGCCGTATGCCA</t>
  </si>
  <si>
    <t>Luz María Ramirez Ventura</t>
  </si>
  <si>
    <t>A19</t>
  </si>
  <si>
    <t>TGTAAGACTTGG</t>
  </si>
  <si>
    <t>Janette García Sánchez</t>
  </si>
  <si>
    <t>U010M</t>
  </si>
  <si>
    <t>A21</t>
  </si>
  <si>
    <t>TATCTATCCTGC</t>
  </si>
  <si>
    <t>Falta hijo</t>
  </si>
  <si>
    <t>Maribel Cuevas Alvarado</t>
  </si>
  <si>
    <t>U011M</t>
  </si>
  <si>
    <t>A23</t>
  </si>
  <si>
    <t>GGCAACAACCAT</t>
  </si>
  <si>
    <t>Lizette García García</t>
  </si>
  <si>
    <t>U012M</t>
  </si>
  <si>
    <t>A25</t>
  </si>
  <si>
    <t>CGTACTCTCGAG</t>
  </si>
  <si>
    <t>Martha Hortencia Ávila Rodante</t>
  </si>
  <si>
    <t>U013M</t>
  </si>
  <si>
    <t>A28</t>
  </si>
  <si>
    <t>CGGATCTAGTGT</t>
  </si>
  <si>
    <t>Yeny Velázquez Roque</t>
  </si>
  <si>
    <t>U014M</t>
  </si>
  <si>
    <t>A30</t>
  </si>
  <si>
    <t>TTGCCAAGAGTC</t>
  </si>
  <si>
    <t>Maricela Martínez Juárez</t>
  </si>
  <si>
    <t>U016M</t>
  </si>
  <si>
    <t>A34</t>
  </si>
  <si>
    <t>GTGTTAGATGTG</t>
  </si>
  <si>
    <t>Mamá adoptiva</t>
  </si>
  <si>
    <t>Adoptado</t>
  </si>
  <si>
    <t>Adoptado, 11 años, niño</t>
  </si>
  <si>
    <t>16 binomios en montaña (+1 abuela +1 muestra descartada)</t>
  </si>
  <si>
    <t>9 binomios en ciudad (+1 con muestra faltante, +1 con madre adoptiva)</t>
  </si>
  <si>
    <t>Código extracción</t>
  </si>
  <si>
    <t>GGTTCGGTCCAT</t>
  </si>
  <si>
    <t>GATICA</t>
  </si>
  <si>
    <t>Hombre adulto</t>
  </si>
  <si>
    <t>G030P</t>
  </si>
  <si>
    <t>CARLOS CARRANZA AURELIO</t>
  </si>
  <si>
    <t>papá</t>
  </si>
  <si>
    <t>Gatica</t>
  </si>
  <si>
    <t>---</t>
  </si>
  <si>
    <t>GTCACGGACATT</t>
  </si>
  <si>
    <t>NARANJO</t>
  </si>
  <si>
    <t>N048P</t>
  </si>
  <si>
    <t>ONESIMO RODRIGUEZ AMADO</t>
  </si>
  <si>
    <t>Naranjo</t>
  </si>
  <si>
    <t>CGTGCTTAGGCT</t>
  </si>
  <si>
    <t>N058P</t>
  </si>
  <si>
    <t>MARTIN AURELIO CATARINA</t>
  </si>
  <si>
    <t>GCTCTCCGTAGA</t>
  </si>
  <si>
    <t>N069P</t>
  </si>
  <si>
    <t>ANSELMO RUBIO SANTIAGO</t>
  </si>
  <si>
    <t>GTAGAGGTAGAG</t>
  </si>
  <si>
    <t>N072P</t>
  </si>
  <si>
    <t>ALBERTO MATEO SANTOS</t>
  </si>
  <si>
    <t>cuestionario posterior</t>
  </si>
  <si>
    <t>ACGCGAACTAAT</t>
  </si>
  <si>
    <t>N127P</t>
  </si>
  <si>
    <t>GABINO GARCIA ESPINOZA</t>
  </si>
  <si>
    <t>TGGCAAATCTAG</t>
  </si>
  <si>
    <t>N132P</t>
  </si>
  <si>
    <t>RAUL MIGUEL LORENZO</t>
  </si>
  <si>
    <t>AGTTGTAGTCCG</t>
  </si>
  <si>
    <t>N134P</t>
  </si>
  <si>
    <t>CLAUDIO SANTIAGO ZAMORA</t>
  </si>
  <si>
    <t>CTGATCCATCTT</t>
  </si>
  <si>
    <t>N136P</t>
  </si>
  <si>
    <t>MARIANO MAURO VAZQUEZ</t>
  </si>
  <si>
    <t>GCGAGCGAAGTA</t>
  </si>
  <si>
    <t>N138P</t>
  </si>
  <si>
    <t>VICTORINO AMADO ENRIQUE</t>
  </si>
  <si>
    <t>TACCGAAGGTAT</t>
  </si>
  <si>
    <t>G012P</t>
  </si>
  <si>
    <t>NATALIO AURELIO ALBERTO</t>
  </si>
  <si>
    <t>GTTAAGCTGACC</t>
  </si>
  <si>
    <t>G016P</t>
  </si>
  <si>
    <t>VALETIN GARCIA GATICA</t>
  </si>
  <si>
    <t>CGTGATCCGCTA</t>
  </si>
  <si>
    <t>G020P</t>
  </si>
  <si>
    <t>ALFONSO CARRANZA SANTIAGO</t>
  </si>
  <si>
    <t>AGCTATGTATGG</t>
  </si>
  <si>
    <t>G025P</t>
  </si>
  <si>
    <t>JOSE NERI  MORA</t>
  </si>
  <si>
    <t>TCGTCAAACCCG</t>
  </si>
  <si>
    <t>G028P</t>
  </si>
  <si>
    <t>LINO NAVA SILVERIO</t>
  </si>
  <si>
    <t>TATGTGCCGGCT</t>
  </si>
  <si>
    <t>G033P</t>
  </si>
  <si>
    <t>LEONARDO NAVA CALIXTO</t>
  </si>
  <si>
    <t>ATCTACCGAAGC</t>
  </si>
  <si>
    <t>G045P</t>
  </si>
  <si>
    <t>VILLAR GATICA GARCIA</t>
  </si>
  <si>
    <t>CACTCATCATTC</t>
  </si>
  <si>
    <t>G068P</t>
  </si>
  <si>
    <t>EULALIO EMILIANO GARCIA</t>
  </si>
  <si>
    <t>ATGCCATGCCGT</t>
  </si>
  <si>
    <t>G105P</t>
  </si>
  <si>
    <t>MARCIAL CARRANZA SANTIAGO</t>
  </si>
  <si>
    <t>GGTTATTTGGCG</t>
  </si>
  <si>
    <t>G111P</t>
  </si>
  <si>
    <t>ORLANDO SATURNINO SILVERIO</t>
  </si>
  <si>
    <t>ACGGGTCATCAT</t>
  </si>
  <si>
    <t>G113P</t>
  </si>
  <si>
    <t>ROGELIO GONZALEZ MARCOS</t>
  </si>
  <si>
    <t/>
  </si>
  <si>
    <t>FABIAN RUIZ RAMIREZ</t>
  </si>
  <si>
    <t>N135P</t>
  </si>
  <si>
    <t>MARCELINO RUIZ RODRIGUEZ</t>
  </si>
  <si>
    <t>N060P</t>
  </si>
  <si>
    <t>BERNANDINO ORTEGA SANTIAGO</t>
  </si>
  <si>
    <t>G029P</t>
  </si>
  <si>
    <t>MUESTRA</t>
  </si>
  <si>
    <t>SIN BACK UP</t>
  </si>
  <si>
    <t>N000M</t>
  </si>
  <si>
    <t>N000P</t>
  </si>
  <si>
    <t>N047P</t>
  </si>
  <si>
    <t>N047H1</t>
  </si>
  <si>
    <t>N047H3</t>
  </si>
  <si>
    <t>X</t>
  </si>
  <si>
    <t>N050H2</t>
  </si>
  <si>
    <t>N050H4</t>
  </si>
  <si>
    <t>BINOMIO</t>
  </si>
  <si>
    <t>TRINOMIO</t>
  </si>
  <si>
    <t>N051M</t>
  </si>
  <si>
    <t>BI</t>
  </si>
  <si>
    <t>N051H1</t>
  </si>
  <si>
    <t>N051H2</t>
  </si>
  <si>
    <t>N053M</t>
  </si>
  <si>
    <t>TRI</t>
  </si>
  <si>
    <t>N053P</t>
  </si>
  <si>
    <t>N053H1</t>
  </si>
  <si>
    <t>N053H2</t>
  </si>
  <si>
    <t>N054M</t>
  </si>
  <si>
    <t>N054P</t>
  </si>
  <si>
    <t>N054H1</t>
  </si>
  <si>
    <t>N056H4</t>
  </si>
  <si>
    <t>N060H</t>
  </si>
  <si>
    <t>N060H2</t>
  </si>
  <si>
    <t>N061P</t>
  </si>
  <si>
    <t>N061H1</t>
  </si>
  <si>
    <t>N062M</t>
  </si>
  <si>
    <t>N062H1</t>
  </si>
  <si>
    <t>N064M</t>
  </si>
  <si>
    <t>N064H2</t>
  </si>
  <si>
    <t>N066M</t>
  </si>
  <si>
    <t>N066P</t>
  </si>
  <si>
    <t>N070H</t>
  </si>
  <si>
    <t>N073P</t>
  </si>
  <si>
    <t>N073H2</t>
  </si>
  <si>
    <t>N073H3</t>
  </si>
  <si>
    <t>N074M</t>
  </si>
  <si>
    <t>N074H2</t>
  </si>
  <si>
    <t>N075P</t>
  </si>
  <si>
    <t>N075H4</t>
  </si>
  <si>
    <t>N077M</t>
  </si>
  <si>
    <t>N077P</t>
  </si>
  <si>
    <t>N077H</t>
  </si>
  <si>
    <t>TRI ?</t>
  </si>
  <si>
    <t>N078P</t>
  </si>
  <si>
    <t>N078H2</t>
  </si>
  <si>
    <t>N079H2</t>
  </si>
  <si>
    <t>N097H3</t>
  </si>
  <si>
    <t>G005M</t>
  </si>
  <si>
    <t>G006M</t>
  </si>
  <si>
    <t>4 (falta sólo mamá)</t>
  </si>
  <si>
    <t>G012M</t>
  </si>
  <si>
    <t>G012H1</t>
  </si>
  <si>
    <t>G013M</t>
  </si>
  <si>
    <t>6 (sólo está H4)</t>
  </si>
  <si>
    <t>G013H1</t>
  </si>
  <si>
    <t>G013H3</t>
  </si>
  <si>
    <t>G013H5</t>
  </si>
  <si>
    <t>G019M</t>
  </si>
  <si>
    <t>G019H1</t>
  </si>
  <si>
    <t>G020H1</t>
  </si>
  <si>
    <t>G020H2</t>
  </si>
  <si>
    <t>G020H5</t>
  </si>
  <si>
    <t>G020H6</t>
  </si>
  <si>
    <t>G020H7</t>
  </si>
  <si>
    <t>G025H1</t>
  </si>
  <si>
    <t>G025H4</t>
  </si>
  <si>
    <t>G029H2</t>
  </si>
  <si>
    <t>G029H4</t>
  </si>
  <si>
    <t>G029H5</t>
  </si>
  <si>
    <t>G030H4</t>
  </si>
  <si>
    <t>G030H5</t>
  </si>
  <si>
    <t>G033H2</t>
  </si>
  <si>
    <t>G036P</t>
  </si>
  <si>
    <t>G039P</t>
  </si>
  <si>
    <t>G042M</t>
  </si>
  <si>
    <t>8 (sólo está H2,H3)</t>
  </si>
  <si>
    <t>G042H1</t>
  </si>
  <si>
    <t>G042H5</t>
  </si>
  <si>
    <t>G045H3</t>
  </si>
  <si>
    <t>G045H4</t>
  </si>
  <si>
    <t>G054H1</t>
  </si>
  <si>
    <t>G068M</t>
  </si>
  <si>
    <t>9 (sólo está H1)</t>
  </si>
  <si>
    <t>G068H2</t>
  </si>
  <si>
    <t>G075H2</t>
  </si>
  <si>
    <t>G080M</t>
  </si>
  <si>
    <t>G080H2</t>
  </si>
  <si>
    <t>G082H1</t>
  </si>
  <si>
    <t>G082H2</t>
  </si>
  <si>
    <t>G084M</t>
  </si>
  <si>
    <t>G086M</t>
  </si>
  <si>
    <t>G086P</t>
  </si>
  <si>
    <t>G086H1</t>
  </si>
  <si>
    <t>G088M</t>
  </si>
  <si>
    <t>G089M</t>
  </si>
  <si>
    <t>G089H1</t>
  </si>
  <si>
    <t>G090M</t>
  </si>
  <si>
    <t>G091M</t>
  </si>
  <si>
    <t>G092M</t>
  </si>
  <si>
    <t>G092H1</t>
  </si>
  <si>
    <t>G093H2</t>
  </si>
  <si>
    <t>G094M</t>
  </si>
  <si>
    <t>G095M</t>
  </si>
  <si>
    <t>G095H1</t>
  </si>
  <si>
    <t>G095H2</t>
  </si>
  <si>
    <t>G096H2</t>
  </si>
  <si>
    <t>G097M</t>
  </si>
  <si>
    <t>G098H1</t>
  </si>
  <si>
    <t>G099H1</t>
  </si>
  <si>
    <t>G099H2</t>
  </si>
  <si>
    <t>G099H3</t>
  </si>
  <si>
    <t>G102H2</t>
  </si>
  <si>
    <t>(falta H2 y H3)</t>
  </si>
  <si>
    <t>G102H3</t>
  </si>
  <si>
    <t>G102H4</t>
  </si>
  <si>
    <t>G103P</t>
  </si>
  <si>
    <t>G103H2</t>
  </si>
  <si>
    <t>G104M</t>
  </si>
  <si>
    <t>muestra pequeña</t>
  </si>
  <si>
    <t>G105H3</t>
  </si>
  <si>
    <t>G110M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</si>
</sst>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/>
    <font>
      <color rgb="FF000000"/>
      <name val="Arial"/>
    </font>
    <font>
      <name val="Arial"/>
    </font>
    <font>
      <sz val="10.0"/>
      <name val="Arial"/>
    </font>
    <font>
      <sz val="10.0"/>
      <color rgb="FF006100"/>
      <name val="Arial"/>
    </font>
    <font>
      <sz val="11.0"/>
      <name val="Calibri"/>
    </font>
    <font>
      <sz val="11.0"/>
      <color rgb="FF000000"/>
      <name val="Inconsolata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3">
    <border/>
    <border>
      <left/>
      <right/>
      <top/>
      <bottom/>
    </border>
    <border>
      <right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4" fontId="1" numFmtId="0" xfId="0" applyAlignment="1" applyFill="1" applyFont="1">
      <alignment readingOrder="0"/>
    </xf>
    <xf borderId="0" fillId="2" fontId="1" numFmtId="0" xfId="0" applyAlignment="1" applyFont="1">
      <alignment horizontal="right" readingOrder="0"/>
    </xf>
    <xf borderId="0" fillId="4" fontId="1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horizontal="right"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0" fontId="1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3" fontId="0" numFmtId="0" xfId="0" applyAlignment="1" applyFont="1">
      <alignment readingOrder="0"/>
    </xf>
    <xf borderId="1" fillId="6" fontId="4" numFmtId="0" xfId="0" applyAlignment="1" applyBorder="1" applyFont="1">
      <alignment shrinkToFit="0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1" fillId="6" fontId="5" numFmtId="0" xfId="0" applyAlignment="1" applyBorder="1" applyFont="1">
      <alignment shrinkToFit="0" wrapText="0"/>
    </xf>
    <xf borderId="0" fillId="6" fontId="4" numFmtId="0" xfId="0" applyFont="1"/>
    <xf borderId="0" fillId="0" fontId="4" numFmtId="0" xfId="0" applyFont="1"/>
    <xf borderId="0" fillId="2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0" numFmtId="0" xfId="0" applyAlignment="1" applyFont="1">
      <alignment readingOrder="0"/>
    </xf>
    <xf borderId="0" fillId="6" fontId="0" numFmtId="0" xfId="0" applyAlignment="1" applyFont="1">
      <alignment shrinkToFit="0" wrapText="0"/>
    </xf>
    <xf borderId="0" fillId="6" fontId="0" numFmtId="0" xfId="0" applyAlignment="1" applyFont="1">
      <alignment readingOrder="0" shrinkToFit="0" wrapText="0"/>
    </xf>
    <xf borderId="0" fillId="4" fontId="4" numFmtId="0" xfId="0" applyAlignment="1" applyFont="1">
      <alignment readingOrder="0"/>
    </xf>
    <xf borderId="0" fillId="6" fontId="4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2" fontId="4" numFmtId="0" xfId="0" applyAlignment="1" applyFont="1">
      <alignment horizontal="right" readingOrder="0"/>
    </xf>
    <xf borderId="0" fillId="7" fontId="1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7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7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4" fontId="3" numFmtId="0" xfId="0" applyAlignment="1" applyFont="1">
      <alignment horizontal="right" vertical="bottom"/>
    </xf>
    <xf borderId="0" fillId="7" fontId="3" numFmtId="0" xfId="0" applyAlignment="1" applyFont="1">
      <alignment horizontal="right" vertical="bottom"/>
    </xf>
    <xf borderId="0" fillId="7" fontId="6" numFmtId="0" xfId="0" applyAlignment="1" applyFont="1">
      <alignment horizontal="right" vertical="bottom"/>
    </xf>
    <xf borderId="2" fillId="0" fontId="3" numFmtId="0" xfId="0" applyAlignment="1" applyBorder="1" applyFont="1">
      <alignment shrinkToFit="0" vertical="bottom" wrapText="0"/>
    </xf>
    <xf borderId="0" fillId="7" fontId="1" numFmtId="0" xfId="0" applyFont="1"/>
    <xf borderId="0" fillId="7" fontId="3" numFmtId="0" xfId="0" applyAlignment="1" applyFont="1">
      <alignment horizontal="right" readingOrder="0" vertical="bottom"/>
    </xf>
    <xf quotePrefix="1" borderId="0" fillId="0" fontId="1" numFmtId="0" xfId="0" applyAlignment="1" applyFont="1">
      <alignment readingOrder="0"/>
    </xf>
    <xf borderId="0" fillId="2" fontId="6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5" max="5" width="14.5"/>
    <col customWidth="1" min="6" max="6" width="17.75"/>
    <col customWidth="1" min="8" max="8" width="16.75"/>
    <col customWidth="1" min="9" max="9" width="17.63"/>
    <col customWidth="1" min="10" max="10" width="13.38"/>
    <col customWidth="1" min="11" max="11" width="14.25"/>
    <col customWidth="1" min="12" max="12" width="13.38"/>
    <col customWidth="1" min="14" max="14" width="10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10.0</v>
      </c>
      <c r="C2" s="1" t="s">
        <v>15</v>
      </c>
      <c r="D2" s="1" t="s">
        <v>16</v>
      </c>
      <c r="E2" s="1">
        <v>22.0</v>
      </c>
      <c r="F2" s="1" t="s">
        <v>17</v>
      </c>
      <c r="G2" s="1">
        <v>1.0</v>
      </c>
      <c r="H2" s="2" t="s">
        <v>18</v>
      </c>
      <c r="I2" s="2" t="s">
        <v>18</v>
      </c>
      <c r="J2" s="2" t="s">
        <v>18</v>
      </c>
      <c r="K2" s="2" t="s">
        <v>18</v>
      </c>
      <c r="L2" s="2">
        <v>0.0</v>
      </c>
      <c r="N2" s="1" t="s">
        <v>19</v>
      </c>
    </row>
    <row r="3">
      <c r="A3" s="1" t="s">
        <v>20</v>
      </c>
      <c r="B3" s="1">
        <v>8.0</v>
      </c>
      <c r="C3" s="1" t="s">
        <v>15</v>
      </c>
      <c r="D3" s="1" t="s">
        <v>21</v>
      </c>
      <c r="E3" s="1">
        <v>23.0</v>
      </c>
      <c r="F3" s="1" t="s">
        <v>22</v>
      </c>
      <c r="G3" s="1">
        <v>1.0</v>
      </c>
      <c r="H3" s="1">
        <v>0.0</v>
      </c>
      <c r="I3" s="1">
        <v>0.0</v>
      </c>
      <c r="J3" s="1">
        <v>0.0</v>
      </c>
      <c r="K3" s="1">
        <v>0.0</v>
      </c>
      <c r="L3" s="2">
        <v>0.0</v>
      </c>
      <c r="N3" s="3" t="s">
        <v>23</v>
      </c>
      <c r="P3" s="1"/>
    </row>
    <row r="4">
      <c r="A4" s="1" t="s">
        <v>24</v>
      </c>
      <c r="B4" s="1">
        <v>6.0</v>
      </c>
      <c r="C4" s="1" t="s">
        <v>15</v>
      </c>
      <c r="D4" s="1" t="s">
        <v>25</v>
      </c>
      <c r="E4" s="1">
        <v>24.0</v>
      </c>
      <c r="F4" s="1" t="s">
        <v>26</v>
      </c>
      <c r="G4" s="1">
        <v>1.0</v>
      </c>
      <c r="H4" s="1">
        <v>0.0</v>
      </c>
      <c r="I4" s="1">
        <v>0.0</v>
      </c>
      <c r="J4" s="1">
        <v>0.0</v>
      </c>
      <c r="K4" s="1">
        <v>0.0</v>
      </c>
      <c r="L4" s="2">
        <v>0.0</v>
      </c>
      <c r="N4" s="3" t="s">
        <v>27</v>
      </c>
      <c r="P4" s="1"/>
    </row>
    <row r="5">
      <c r="A5" s="1" t="s">
        <v>28</v>
      </c>
      <c r="B5" s="1">
        <v>9.0</v>
      </c>
      <c r="C5" s="1" t="s">
        <v>29</v>
      </c>
      <c r="D5" s="1" t="s">
        <v>30</v>
      </c>
      <c r="E5" s="1">
        <v>49.0</v>
      </c>
      <c r="F5" s="1" t="s">
        <v>31</v>
      </c>
      <c r="G5" s="1">
        <v>1.0</v>
      </c>
      <c r="H5" s="1">
        <v>0.0</v>
      </c>
      <c r="I5" s="1">
        <v>0.0</v>
      </c>
      <c r="J5" s="1">
        <v>0.0</v>
      </c>
      <c r="K5" s="1">
        <v>0.0</v>
      </c>
      <c r="L5" s="1">
        <v>1.0</v>
      </c>
      <c r="N5" s="1" t="s">
        <v>32</v>
      </c>
      <c r="P5" s="1"/>
    </row>
    <row r="6">
      <c r="A6" s="1" t="s">
        <v>33</v>
      </c>
      <c r="B6" s="1">
        <v>7.0</v>
      </c>
      <c r="C6" s="1" t="s">
        <v>29</v>
      </c>
      <c r="D6" s="1" t="s">
        <v>34</v>
      </c>
      <c r="E6" s="1">
        <v>50.0</v>
      </c>
      <c r="F6" s="1" t="s">
        <v>35</v>
      </c>
      <c r="G6" s="1">
        <v>1.0</v>
      </c>
      <c r="H6" s="1">
        <v>0.0</v>
      </c>
      <c r="I6" s="1">
        <v>0.0</v>
      </c>
      <c r="J6" s="1">
        <v>0.0</v>
      </c>
      <c r="K6" s="1">
        <v>0.0</v>
      </c>
      <c r="L6" s="1">
        <v>1.0</v>
      </c>
      <c r="N6" s="1" t="s">
        <v>32</v>
      </c>
      <c r="P6" s="1"/>
    </row>
    <row r="7">
      <c r="A7" s="4" t="s">
        <v>36</v>
      </c>
      <c r="B7" s="1">
        <v>5.0</v>
      </c>
      <c r="C7" s="1" t="s">
        <v>29</v>
      </c>
      <c r="D7" s="1" t="s">
        <v>37</v>
      </c>
      <c r="E7" s="1">
        <v>51.0</v>
      </c>
      <c r="F7" s="1" t="s">
        <v>38</v>
      </c>
      <c r="G7" s="2">
        <v>0.0</v>
      </c>
      <c r="H7" s="1">
        <v>0.0</v>
      </c>
      <c r="I7" s="1">
        <v>0.0</v>
      </c>
      <c r="J7" s="1">
        <v>0.0</v>
      </c>
      <c r="K7" s="1">
        <v>0.0</v>
      </c>
      <c r="L7" s="1">
        <v>1.0</v>
      </c>
      <c r="N7" s="1" t="s">
        <v>39</v>
      </c>
      <c r="P7" s="1"/>
    </row>
    <row r="8">
      <c r="A8" s="1" t="s">
        <v>40</v>
      </c>
      <c r="B8" s="1">
        <v>7.0</v>
      </c>
      <c r="C8" s="1" t="s">
        <v>15</v>
      </c>
      <c r="D8" s="1" t="s">
        <v>41</v>
      </c>
      <c r="E8" s="1">
        <v>27.0</v>
      </c>
      <c r="F8" s="1" t="s">
        <v>42</v>
      </c>
      <c r="G8" s="1">
        <v>1.0</v>
      </c>
      <c r="H8" s="1">
        <v>0.0</v>
      </c>
      <c r="I8" s="1">
        <v>0.0</v>
      </c>
      <c r="J8" s="1">
        <v>0.0</v>
      </c>
      <c r="K8" s="1">
        <v>0.0</v>
      </c>
      <c r="L8" s="2">
        <v>0.0</v>
      </c>
      <c r="N8" s="1" t="s">
        <v>43</v>
      </c>
      <c r="P8" s="1"/>
    </row>
    <row r="9">
      <c r="A9" s="1" t="s">
        <v>44</v>
      </c>
      <c r="B9" s="1">
        <v>6.0</v>
      </c>
      <c r="C9" s="1" t="s">
        <v>29</v>
      </c>
      <c r="D9" s="1" t="s">
        <v>45</v>
      </c>
      <c r="E9" s="1">
        <v>28.0</v>
      </c>
      <c r="F9" s="1" t="s">
        <v>46</v>
      </c>
      <c r="G9" s="1">
        <v>1.0</v>
      </c>
      <c r="H9" s="1">
        <v>0.0</v>
      </c>
      <c r="I9" s="1">
        <v>0.0</v>
      </c>
      <c r="J9" s="1">
        <v>0.0</v>
      </c>
      <c r="K9" s="1">
        <v>0.0</v>
      </c>
      <c r="L9" s="2">
        <v>0.0</v>
      </c>
      <c r="N9" s="1" t="s">
        <v>47</v>
      </c>
      <c r="P9" s="1"/>
    </row>
    <row r="10">
      <c r="A10" s="1" t="s">
        <v>48</v>
      </c>
      <c r="B10" s="1">
        <v>7.0</v>
      </c>
      <c r="C10" s="1" t="s">
        <v>15</v>
      </c>
      <c r="D10" s="1" t="s">
        <v>49</v>
      </c>
      <c r="E10" s="1">
        <v>10.0</v>
      </c>
      <c r="F10" s="1" t="s">
        <v>50</v>
      </c>
      <c r="G10" s="1">
        <v>1.0</v>
      </c>
      <c r="H10" s="2" t="s">
        <v>18</v>
      </c>
      <c r="I10" s="2" t="s">
        <v>18</v>
      </c>
      <c r="J10" s="2" t="s">
        <v>18</v>
      </c>
      <c r="K10" s="2" t="s">
        <v>18</v>
      </c>
      <c r="L10" s="1">
        <v>1.0</v>
      </c>
      <c r="N10" s="1" t="s">
        <v>51</v>
      </c>
      <c r="P10" s="1"/>
    </row>
    <row r="11">
      <c r="A11" s="1" t="s">
        <v>52</v>
      </c>
      <c r="B11" s="1">
        <v>6.0</v>
      </c>
      <c r="C11" s="1" t="s">
        <v>15</v>
      </c>
      <c r="D11" s="1" t="s">
        <v>53</v>
      </c>
      <c r="E11" s="1">
        <v>63.0</v>
      </c>
      <c r="F11" s="1" t="s">
        <v>54</v>
      </c>
      <c r="G11" s="1">
        <v>1.0</v>
      </c>
      <c r="H11" s="1">
        <v>0.0</v>
      </c>
      <c r="I11" s="1">
        <v>0.0</v>
      </c>
      <c r="J11" s="1">
        <v>0.0</v>
      </c>
      <c r="K11" s="1">
        <v>0.0</v>
      </c>
      <c r="L11" s="1">
        <v>1.0</v>
      </c>
      <c r="P11" s="1"/>
    </row>
    <row r="12">
      <c r="A12" s="1" t="s">
        <v>55</v>
      </c>
      <c r="B12" s="1">
        <v>9.0</v>
      </c>
      <c r="C12" s="1" t="s">
        <v>15</v>
      </c>
      <c r="D12" s="1" t="s">
        <v>56</v>
      </c>
      <c r="E12" s="1">
        <v>30.0</v>
      </c>
      <c r="F12" s="1" t="s">
        <v>57</v>
      </c>
      <c r="G12" s="1">
        <v>1.0</v>
      </c>
      <c r="H12" s="1">
        <v>0.0</v>
      </c>
      <c r="I12" s="1">
        <v>0.0</v>
      </c>
      <c r="J12" s="1">
        <v>0.0</v>
      </c>
      <c r="K12" s="1">
        <v>0.0</v>
      </c>
      <c r="L12" s="1">
        <v>1.0</v>
      </c>
      <c r="N12" s="1" t="s">
        <v>32</v>
      </c>
      <c r="P12" s="1"/>
    </row>
    <row r="13">
      <c r="A13" s="1" t="s">
        <v>58</v>
      </c>
      <c r="B13" s="1">
        <v>10.0</v>
      </c>
      <c r="C13" s="1" t="s">
        <v>15</v>
      </c>
      <c r="D13" s="1" t="s">
        <v>59</v>
      </c>
      <c r="E13" s="1">
        <v>45.0</v>
      </c>
      <c r="F13" s="1" t="s">
        <v>60</v>
      </c>
      <c r="G13" s="1">
        <v>1.0</v>
      </c>
      <c r="H13" s="1">
        <v>60.0</v>
      </c>
      <c r="I13" s="1">
        <v>84.0</v>
      </c>
      <c r="J13" s="1">
        <v>72.0</v>
      </c>
      <c r="K13" s="5" t="s">
        <v>61</v>
      </c>
      <c r="L13" s="1">
        <v>1.0</v>
      </c>
      <c r="N13" s="1" t="s">
        <v>32</v>
      </c>
      <c r="P13" s="1"/>
    </row>
    <row r="14">
      <c r="A14" s="1" t="s">
        <v>62</v>
      </c>
      <c r="B14" s="1">
        <v>8.0</v>
      </c>
      <c r="C14" s="1" t="s">
        <v>15</v>
      </c>
      <c r="D14" s="1" t="s">
        <v>63</v>
      </c>
      <c r="E14" s="1">
        <v>6.0</v>
      </c>
      <c r="F14" s="1" t="s">
        <v>64</v>
      </c>
      <c r="G14" s="1">
        <v>1.0</v>
      </c>
      <c r="H14" s="1">
        <v>0.0</v>
      </c>
      <c r="I14" s="1">
        <v>0.0</v>
      </c>
      <c r="J14" s="1">
        <v>0.0</v>
      </c>
      <c r="K14" s="1">
        <v>0.0</v>
      </c>
      <c r="L14" s="1">
        <v>1.0</v>
      </c>
      <c r="P14" s="1"/>
    </row>
    <row r="15">
      <c r="A15" s="1" t="s">
        <v>65</v>
      </c>
      <c r="B15" s="1">
        <v>5.0</v>
      </c>
      <c r="C15" s="1" t="s">
        <v>29</v>
      </c>
      <c r="D15" s="1" t="s">
        <v>66</v>
      </c>
      <c r="E15" s="1">
        <v>4.0</v>
      </c>
      <c r="F15" s="1" t="s">
        <v>67</v>
      </c>
      <c r="G15" s="1">
        <v>1.0</v>
      </c>
      <c r="H15" s="1">
        <v>0.0</v>
      </c>
      <c r="I15" s="1">
        <v>0.0</v>
      </c>
      <c r="J15" s="1">
        <v>0.0</v>
      </c>
      <c r="K15" s="1">
        <v>0.0</v>
      </c>
      <c r="L15" s="1">
        <v>1.0</v>
      </c>
      <c r="N15" s="1" t="s">
        <v>68</v>
      </c>
      <c r="P15" s="1"/>
    </row>
    <row r="16">
      <c r="A16" s="1" t="s">
        <v>69</v>
      </c>
      <c r="B16" s="1">
        <v>8.0</v>
      </c>
      <c r="C16" s="1" t="s">
        <v>15</v>
      </c>
      <c r="D16" s="1" t="s">
        <v>70</v>
      </c>
      <c r="E16" s="1">
        <v>13.0</v>
      </c>
      <c r="F16" s="1" t="s">
        <v>71</v>
      </c>
      <c r="G16" s="1">
        <v>1.0</v>
      </c>
      <c r="H16" s="1">
        <v>129.0</v>
      </c>
      <c r="I16" s="1">
        <v>165.0</v>
      </c>
      <c r="J16" s="1">
        <v>147.0</v>
      </c>
      <c r="K16" s="5" t="s">
        <v>61</v>
      </c>
      <c r="L16" s="1">
        <v>1.0</v>
      </c>
      <c r="N16" s="1" t="s">
        <v>32</v>
      </c>
      <c r="P16" s="1"/>
    </row>
    <row r="17">
      <c r="A17" s="1" t="s">
        <v>72</v>
      </c>
      <c r="B17" s="1">
        <v>9.0</v>
      </c>
      <c r="C17" s="1" t="s">
        <v>29</v>
      </c>
      <c r="D17" s="1" t="s">
        <v>73</v>
      </c>
      <c r="E17" s="1">
        <v>101.0</v>
      </c>
      <c r="F17" s="1" t="s">
        <v>74</v>
      </c>
      <c r="G17" s="1">
        <v>1.0</v>
      </c>
      <c r="H17" s="1">
        <v>0.0</v>
      </c>
      <c r="I17" s="1">
        <v>0.0</v>
      </c>
      <c r="J17" s="1">
        <v>0.0</v>
      </c>
      <c r="K17" s="1">
        <v>0.0</v>
      </c>
      <c r="L17" s="1">
        <v>1.0</v>
      </c>
      <c r="P17" s="1"/>
    </row>
    <row r="18">
      <c r="A18" s="1" t="s">
        <v>75</v>
      </c>
      <c r="B18" s="1">
        <v>8.0</v>
      </c>
      <c r="C18" s="1" t="s">
        <v>29</v>
      </c>
      <c r="D18" s="1" t="s">
        <v>76</v>
      </c>
      <c r="E18" s="1">
        <v>102.0</v>
      </c>
      <c r="F18" s="1" t="s">
        <v>77</v>
      </c>
      <c r="G18" s="1">
        <v>1.0</v>
      </c>
      <c r="H18" s="1">
        <v>0.0</v>
      </c>
      <c r="I18" s="1">
        <v>0.0</v>
      </c>
      <c r="J18" s="1">
        <v>0.0</v>
      </c>
      <c r="K18" s="1">
        <v>0.0</v>
      </c>
      <c r="L18" s="1">
        <v>1.0</v>
      </c>
      <c r="P18" s="1"/>
    </row>
    <row r="19">
      <c r="A19" s="1" t="s">
        <v>78</v>
      </c>
      <c r="B19" s="1">
        <v>7.0</v>
      </c>
      <c r="C19" s="1" t="s">
        <v>15</v>
      </c>
      <c r="D19" s="1" t="s">
        <v>79</v>
      </c>
      <c r="E19" s="1">
        <v>103.0</v>
      </c>
      <c r="F19" s="1" t="s">
        <v>80</v>
      </c>
      <c r="G19" s="1">
        <v>1.0</v>
      </c>
      <c r="H19" s="1">
        <v>0.0</v>
      </c>
      <c r="I19" s="1">
        <v>0.0</v>
      </c>
      <c r="J19" s="1">
        <v>0.0</v>
      </c>
      <c r="K19" s="1">
        <v>0.0</v>
      </c>
      <c r="L19" s="1">
        <v>1.0</v>
      </c>
      <c r="P19" s="1"/>
    </row>
    <row r="20">
      <c r="A20" s="1" t="s">
        <v>81</v>
      </c>
      <c r="B20" s="1">
        <v>10.0</v>
      </c>
      <c r="C20" s="1" t="s">
        <v>29</v>
      </c>
      <c r="D20" s="1" t="s">
        <v>82</v>
      </c>
      <c r="E20" s="1">
        <v>135.0</v>
      </c>
      <c r="F20" s="1" t="s">
        <v>83</v>
      </c>
      <c r="G20" s="1">
        <v>1.0</v>
      </c>
      <c r="H20" s="1">
        <v>0.0</v>
      </c>
      <c r="I20" s="1">
        <v>0.0</v>
      </c>
      <c r="J20" s="1">
        <v>0.0</v>
      </c>
      <c r="K20" s="1">
        <v>0.0</v>
      </c>
      <c r="L20" s="1">
        <v>1.0</v>
      </c>
      <c r="P20" s="1"/>
    </row>
    <row r="21">
      <c r="A21" s="1" t="s">
        <v>84</v>
      </c>
      <c r="B21" s="1">
        <v>8.0</v>
      </c>
      <c r="C21" s="1" t="s">
        <v>15</v>
      </c>
      <c r="D21" s="1" t="s">
        <v>85</v>
      </c>
      <c r="E21" s="1">
        <v>136.0</v>
      </c>
      <c r="F21" s="1" t="s">
        <v>86</v>
      </c>
      <c r="G21" s="1">
        <v>1.0</v>
      </c>
      <c r="H21" s="1">
        <v>0.0</v>
      </c>
      <c r="I21" s="1">
        <v>0.0</v>
      </c>
      <c r="J21" s="1">
        <v>0.0</v>
      </c>
      <c r="K21" s="1">
        <v>0.0</v>
      </c>
      <c r="L21" s="1">
        <v>1.0</v>
      </c>
      <c r="P21" s="1"/>
    </row>
    <row r="22">
      <c r="A22" s="1" t="s">
        <v>87</v>
      </c>
      <c r="B22" s="1">
        <v>6.0</v>
      </c>
      <c r="C22" s="1" t="s">
        <v>15</v>
      </c>
      <c r="D22" s="1" t="s">
        <v>88</v>
      </c>
      <c r="E22" s="1">
        <v>92.0</v>
      </c>
      <c r="F22" s="1" t="s">
        <v>89</v>
      </c>
      <c r="G22" s="1">
        <v>1.0</v>
      </c>
      <c r="H22" s="1">
        <v>9.0</v>
      </c>
      <c r="I22" s="1">
        <v>9.0</v>
      </c>
      <c r="J22" s="1">
        <v>9.0</v>
      </c>
      <c r="K22" s="5" t="s">
        <v>90</v>
      </c>
      <c r="L22" s="2">
        <v>0.0</v>
      </c>
      <c r="N22" s="3" t="s">
        <v>23</v>
      </c>
      <c r="P22" s="1"/>
    </row>
    <row r="23">
      <c r="A23" s="1" t="s">
        <v>91</v>
      </c>
      <c r="B23" s="1">
        <v>10.0</v>
      </c>
      <c r="C23" s="1" t="s">
        <v>29</v>
      </c>
      <c r="D23" s="1" t="s">
        <v>92</v>
      </c>
      <c r="E23" s="1">
        <v>74.0</v>
      </c>
      <c r="F23" s="1" t="s">
        <v>93</v>
      </c>
      <c r="G23" s="1">
        <v>1.0</v>
      </c>
      <c r="H23" s="1">
        <v>0.0</v>
      </c>
      <c r="I23" s="1">
        <v>0.0</v>
      </c>
      <c r="J23" s="1">
        <v>0.0</v>
      </c>
      <c r="K23" s="1">
        <v>0.0</v>
      </c>
      <c r="L23" s="1">
        <v>1.0</v>
      </c>
      <c r="N23" s="1" t="s">
        <v>94</v>
      </c>
      <c r="P23" s="1"/>
    </row>
    <row r="24">
      <c r="A24" s="1" t="s">
        <v>95</v>
      </c>
      <c r="B24" s="1">
        <v>6.0</v>
      </c>
      <c r="C24" s="1" t="s">
        <v>29</v>
      </c>
      <c r="D24" s="1" t="s">
        <v>96</v>
      </c>
      <c r="E24" s="1">
        <v>76.0</v>
      </c>
      <c r="F24" s="1" t="s">
        <v>97</v>
      </c>
      <c r="G24" s="1">
        <v>1.0</v>
      </c>
      <c r="H24" s="1">
        <v>21.0</v>
      </c>
      <c r="I24" s="1" t="s">
        <v>18</v>
      </c>
      <c r="J24" s="1">
        <v>21.0</v>
      </c>
      <c r="K24" s="5" t="s">
        <v>98</v>
      </c>
      <c r="L24" s="1">
        <v>1.0</v>
      </c>
      <c r="N24" s="1" t="s">
        <v>32</v>
      </c>
      <c r="P24" s="1"/>
    </row>
    <row r="25">
      <c r="A25" s="1" t="s">
        <v>99</v>
      </c>
      <c r="B25" s="1">
        <v>10.0</v>
      </c>
      <c r="C25" s="1" t="s">
        <v>29</v>
      </c>
      <c r="D25" s="1" t="s">
        <v>100</v>
      </c>
      <c r="E25" s="1">
        <v>95.0</v>
      </c>
      <c r="F25" s="1" t="s">
        <v>101</v>
      </c>
      <c r="G25" s="1">
        <v>1.0</v>
      </c>
      <c r="H25" s="1">
        <v>178.0</v>
      </c>
      <c r="I25" s="1" t="s">
        <v>18</v>
      </c>
      <c r="J25" s="1">
        <v>178.0</v>
      </c>
      <c r="K25" s="5" t="s">
        <v>98</v>
      </c>
      <c r="L25" s="1">
        <v>1.0</v>
      </c>
      <c r="P25" s="1"/>
    </row>
    <row r="26">
      <c r="A26" s="1" t="s">
        <v>102</v>
      </c>
      <c r="B26" s="1">
        <v>8.0</v>
      </c>
      <c r="C26" s="1" t="s">
        <v>29</v>
      </c>
      <c r="D26" s="1" t="s">
        <v>103</v>
      </c>
      <c r="E26" s="1">
        <v>96.0</v>
      </c>
      <c r="F26" s="1" t="s">
        <v>104</v>
      </c>
      <c r="G26" s="1">
        <v>1.0</v>
      </c>
      <c r="H26" s="1">
        <v>8.0</v>
      </c>
      <c r="I26" s="1">
        <v>8.0</v>
      </c>
      <c r="J26" s="1">
        <v>8.0</v>
      </c>
      <c r="K26" s="5" t="s">
        <v>98</v>
      </c>
      <c r="L26" s="1">
        <v>1.0</v>
      </c>
      <c r="P26" s="1"/>
    </row>
    <row r="27">
      <c r="A27" s="1" t="s">
        <v>105</v>
      </c>
      <c r="B27" s="1">
        <v>9.0</v>
      </c>
      <c r="C27" s="1" t="s">
        <v>15</v>
      </c>
      <c r="D27" s="1" t="s">
        <v>106</v>
      </c>
      <c r="E27" s="1">
        <v>117.0</v>
      </c>
      <c r="F27" s="1" t="s">
        <v>107</v>
      </c>
      <c r="G27" s="1">
        <v>1.0</v>
      </c>
      <c r="H27" s="1">
        <v>0.0</v>
      </c>
      <c r="I27" s="1">
        <v>0.0</v>
      </c>
      <c r="J27" s="1">
        <v>0.0</v>
      </c>
      <c r="K27" s="1">
        <v>0.0</v>
      </c>
      <c r="L27" s="1">
        <v>1.0</v>
      </c>
      <c r="P27" s="1"/>
    </row>
    <row r="28">
      <c r="A28" s="1" t="s">
        <v>108</v>
      </c>
      <c r="B28" s="1">
        <v>9.0</v>
      </c>
      <c r="C28" s="1" t="s">
        <v>29</v>
      </c>
      <c r="D28" s="1" t="s">
        <v>109</v>
      </c>
      <c r="E28" s="1">
        <v>131.0</v>
      </c>
      <c r="F28" s="1" t="s">
        <v>110</v>
      </c>
      <c r="G28" s="1">
        <v>1.0</v>
      </c>
      <c r="H28" s="1">
        <v>0.0</v>
      </c>
      <c r="I28" s="1">
        <v>0.0</v>
      </c>
      <c r="J28" s="1">
        <v>0.0</v>
      </c>
      <c r="K28" s="1">
        <v>0.0</v>
      </c>
      <c r="L28" s="1">
        <v>1.0</v>
      </c>
      <c r="P28" s="1"/>
    </row>
    <row r="29">
      <c r="A29" s="1" t="s">
        <v>111</v>
      </c>
      <c r="B29" s="1">
        <v>11.0</v>
      </c>
      <c r="C29" s="1" t="s">
        <v>15</v>
      </c>
      <c r="D29" s="1" t="s">
        <v>112</v>
      </c>
      <c r="E29" s="1">
        <v>108.0</v>
      </c>
      <c r="F29" s="5" t="s">
        <v>113</v>
      </c>
      <c r="G29" s="1">
        <v>1.0</v>
      </c>
      <c r="H29" s="1">
        <v>209.0</v>
      </c>
      <c r="I29" s="1" t="s">
        <v>18</v>
      </c>
      <c r="J29" s="1">
        <v>209.0</v>
      </c>
      <c r="K29" s="5" t="s">
        <v>98</v>
      </c>
      <c r="L29" s="1">
        <v>1.0</v>
      </c>
      <c r="N29" s="1" t="s">
        <v>114</v>
      </c>
      <c r="P29" s="1"/>
    </row>
    <row r="30">
      <c r="A30" s="1" t="s">
        <v>115</v>
      </c>
      <c r="B30" s="1">
        <v>9.0</v>
      </c>
      <c r="C30" s="1" t="s">
        <v>15</v>
      </c>
      <c r="D30" s="1" t="s">
        <v>116</v>
      </c>
      <c r="E30" s="1">
        <v>109.0</v>
      </c>
      <c r="F30" s="1" t="s">
        <v>117</v>
      </c>
      <c r="G30" s="1">
        <v>1.0</v>
      </c>
      <c r="H30" s="1">
        <v>215.0</v>
      </c>
      <c r="I30" s="1" t="s">
        <v>18</v>
      </c>
      <c r="J30" s="1">
        <v>215.0</v>
      </c>
      <c r="K30" s="5" t="s">
        <v>98</v>
      </c>
      <c r="L30" s="1">
        <v>1.0</v>
      </c>
      <c r="P30" s="1"/>
    </row>
    <row r="31">
      <c r="A31" s="1" t="s">
        <v>118</v>
      </c>
      <c r="B31" s="1">
        <v>7.0</v>
      </c>
      <c r="C31" s="1" t="s">
        <v>15</v>
      </c>
      <c r="D31" s="1" t="s">
        <v>119</v>
      </c>
      <c r="E31" s="2" t="s">
        <v>120</v>
      </c>
      <c r="F31" s="2" t="s">
        <v>120</v>
      </c>
      <c r="G31" s="1">
        <v>1.0</v>
      </c>
      <c r="H31" s="1">
        <v>63.0</v>
      </c>
      <c r="I31" s="1">
        <v>57.0</v>
      </c>
      <c r="J31" s="1">
        <v>60.0</v>
      </c>
      <c r="K31" s="5" t="s">
        <v>61</v>
      </c>
      <c r="L31" s="1">
        <v>1.0</v>
      </c>
      <c r="N31" s="1" t="s">
        <v>121</v>
      </c>
      <c r="P31" s="1"/>
    </row>
    <row r="32">
      <c r="A32" s="1" t="s">
        <v>122</v>
      </c>
      <c r="B32" s="1">
        <v>8.0</v>
      </c>
      <c r="C32" s="1" t="s">
        <v>15</v>
      </c>
      <c r="D32" s="1" t="s">
        <v>123</v>
      </c>
      <c r="E32" s="1">
        <v>155.0</v>
      </c>
      <c r="F32" s="1" t="s">
        <v>124</v>
      </c>
      <c r="G32" s="1">
        <v>1.0</v>
      </c>
      <c r="H32" s="1">
        <v>0.0</v>
      </c>
      <c r="I32" s="1">
        <v>0.0</v>
      </c>
      <c r="J32" s="1">
        <v>0.0</v>
      </c>
      <c r="K32" s="1">
        <v>0.0</v>
      </c>
      <c r="L32" s="1">
        <v>1.0</v>
      </c>
      <c r="P32" s="1"/>
    </row>
    <row r="33">
      <c r="A33" s="1" t="s">
        <v>125</v>
      </c>
      <c r="B33" s="1">
        <v>6.0</v>
      </c>
      <c r="C33" s="1" t="s">
        <v>15</v>
      </c>
      <c r="D33" s="1" t="s">
        <v>126</v>
      </c>
      <c r="E33" s="1">
        <v>154.0</v>
      </c>
      <c r="F33" s="5" t="s">
        <v>113</v>
      </c>
      <c r="G33" s="1">
        <v>1.0</v>
      </c>
      <c r="H33" s="1">
        <v>0.0</v>
      </c>
      <c r="I33" s="1">
        <v>0.0</v>
      </c>
      <c r="J33" s="1">
        <v>0.0</v>
      </c>
      <c r="K33" s="1">
        <v>0.0</v>
      </c>
      <c r="L33" s="1">
        <v>1.0</v>
      </c>
      <c r="P33" s="1"/>
    </row>
    <row r="34">
      <c r="A34" s="1" t="s">
        <v>127</v>
      </c>
      <c r="B34" s="2">
        <v>11.0</v>
      </c>
      <c r="C34" s="1" t="s">
        <v>29</v>
      </c>
      <c r="D34" s="1" t="s">
        <v>128</v>
      </c>
      <c r="E34" s="1">
        <v>161.0</v>
      </c>
      <c r="F34" s="1" t="s">
        <v>129</v>
      </c>
      <c r="G34" s="1">
        <v>1.0</v>
      </c>
      <c r="H34" s="1">
        <v>0.0</v>
      </c>
      <c r="I34" s="1">
        <v>0.0</v>
      </c>
      <c r="J34" s="1">
        <v>0.0</v>
      </c>
      <c r="K34" s="1">
        <v>0.0</v>
      </c>
      <c r="L34" s="1">
        <v>1.0</v>
      </c>
      <c r="N34" s="1" t="s">
        <v>130</v>
      </c>
      <c r="P34" s="1"/>
    </row>
    <row r="35">
      <c r="A35" s="1" t="s">
        <v>131</v>
      </c>
      <c r="B35" s="1">
        <v>5.0</v>
      </c>
      <c r="C35" s="1" t="s">
        <v>15</v>
      </c>
      <c r="D35" s="1" t="s">
        <v>132</v>
      </c>
      <c r="E35" s="1">
        <v>82.0</v>
      </c>
      <c r="F35" s="1" t="s">
        <v>133</v>
      </c>
      <c r="G35" s="1">
        <v>1.0</v>
      </c>
      <c r="H35" s="1">
        <v>24.0</v>
      </c>
      <c r="I35" s="1" t="s">
        <v>18</v>
      </c>
      <c r="J35" s="1">
        <v>24.0</v>
      </c>
      <c r="K35" s="5" t="s">
        <v>98</v>
      </c>
      <c r="L35" s="1">
        <v>1.0</v>
      </c>
      <c r="N35" s="1" t="s">
        <v>134</v>
      </c>
      <c r="P35" s="1"/>
    </row>
    <row r="36">
      <c r="A36" s="1" t="s">
        <v>135</v>
      </c>
      <c r="B36" s="1">
        <v>6.0</v>
      </c>
      <c r="C36" s="1" t="s">
        <v>15</v>
      </c>
      <c r="D36" s="1" t="s">
        <v>136</v>
      </c>
      <c r="E36" s="1">
        <v>151.0</v>
      </c>
      <c r="F36" s="1" t="s">
        <v>137</v>
      </c>
      <c r="G36" s="1">
        <v>1.0</v>
      </c>
      <c r="H36" s="1">
        <v>96.0</v>
      </c>
      <c r="I36" s="1" t="s">
        <v>18</v>
      </c>
      <c r="J36" s="1">
        <v>96.0</v>
      </c>
      <c r="K36" s="5" t="s">
        <v>98</v>
      </c>
      <c r="L36" s="1">
        <v>1.0</v>
      </c>
      <c r="P36" s="1"/>
    </row>
    <row r="37">
      <c r="A37" s="1" t="s">
        <v>138</v>
      </c>
      <c r="B37" s="1">
        <v>10.0</v>
      </c>
      <c r="C37" s="1" t="s">
        <v>15</v>
      </c>
      <c r="D37" s="1" t="s">
        <v>139</v>
      </c>
      <c r="E37" s="1">
        <v>124.0</v>
      </c>
      <c r="F37" s="5" t="s">
        <v>113</v>
      </c>
      <c r="G37" s="1">
        <v>1.0</v>
      </c>
      <c r="H37" s="1">
        <v>30.0</v>
      </c>
      <c r="I37" s="1" t="s">
        <v>18</v>
      </c>
      <c r="J37" s="1">
        <v>30.0</v>
      </c>
      <c r="K37" s="5" t="s">
        <v>98</v>
      </c>
      <c r="L37" s="1">
        <v>1.0</v>
      </c>
      <c r="P37" s="1"/>
    </row>
    <row r="38">
      <c r="A38" s="1" t="s">
        <v>140</v>
      </c>
      <c r="B38" s="1">
        <v>9.0</v>
      </c>
      <c r="C38" s="1" t="s">
        <v>15</v>
      </c>
      <c r="D38" s="1" t="s">
        <v>141</v>
      </c>
      <c r="E38" s="1">
        <v>125.0</v>
      </c>
      <c r="F38" s="5" t="s">
        <v>113</v>
      </c>
      <c r="G38" s="1">
        <v>1.0</v>
      </c>
      <c r="H38" s="1">
        <v>281.0</v>
      </c>
      <c r="I38" s="1" t="s">
        <v>18</v>
      </c>
      <c r="J38" s="1">
        <v>281.0</v>
      </c>
      <c r="K38" s="5" t="s">
        <v>98</v>
      </c>
      <c r="L38" s="1">
        <v>1.0</v>
      </c>
      <c r="P38" s="1"/>
    </row>
    <row r="39">
      <c r="A39" s="1" t="s">
        <v>142</v>
      </c>
      <c r="B39" s="1">
        <v>10.0</v>
      </c>
      <c r="C39" s="1" t="s">
        <v>29</v>
      </c>
      <c r="D39" s="1" t="s">
        <v>143</v>
      </c>
      <c r="E39" s="2" t="s">
        <v>120</v>
      </c>
      <c r="F39" s="2" t="s">
        <v>120</v>
      </c>
      <c r="G39" s="1">
        <v>1.0</v>
      </c>
      <c r="H39" s="6" t="s">
        <v>113</v>
      </c>
      <c r="I39" s="6" t="s">
        <v>113</v>
      </c>
      <c r="J39" s="6" t="s">
        <v>113</v>
      </c>
      <c r="K39" s="7" t="s">
        <v>98</v>
      </c>
      <c r="L39" s="1">
        <v>1.0</v>
      </c>
      <c r="N39" s="1" t="s">
        <v>144</v>
      </c>
      <c r="P39" s="1"/>
    </row>
    <row r="40">
      <c r="A40" s="1" t="s">
        <v>145</v>
      </c>
      <c r="B40" s="1">
        <v>6.0</v>
      </c>
      <c r="C40" s="1" t="s">
        <v>29</v>
      </c>
      <c r="D40" s="1" t="s">
        <v>146</v>
      </c>
      <c r="E40" s="8">
        <v>114.0</v>
      </c>
      <c r="F40" s="1" t="s">
        <v>147</v>
      </c>
      <c r="G40" s="1">
        <v>1.0</v>
      </c>
      <c r="H40" s="1">
        <v>58.0</v>
      </c>
      <c r="I40" s="1" t="s">
        <v>18</v>
      </c>
      <c r="J40" s="1">
        <v>58.0</v>
      </c>
      <c r="K40" s="5" t="s">
        <v>98</v>
      </c>
      <c r="L40" s="1">
        <v>1.0</v>
      </c>
      <c r="P40" s="1"/>
    </row>
    <row r="41">
      <c r="A41" s="2" t="s">
        <v>148</v>
      </c>
      <c r="B41" s="2">
        <v>2.0</v>
      </c>
      <c r="C41" s="2" t="s">
        <v>15</v>
      </c>
      <c r="D41" s="2" t="s">
        <v>149</v>
      </c>
      <c r="E41" s="2">
        <v>17.0</v>
      </c>
      <c r="F41" s="2" t="s">
        <v>150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9"/>
      <c r="N41" s="2" t="s">
        <v>151</v>
      </c>
    </row>
    <row r="42">
      <c r="A42" s="1" t="s">
        <v>152</v>
      </c>
      <c r="B42" s="1">
        <v>6.0</v>
      </c>
      <c r="C42" s="1" t="s">
        <v>15</v>
      </c>
      <c r="D42" s="1" t="s">
        <v>153</v>
      </c>
      <c r="E42" s="10" t="s">
        <v>154</v>
      </c>
      <c r="F42" s="1" t="s">
        <v>155</v>
      </c>
      <c r="G42" s="1">
        <v>1.0</v>
      </c>
      <c r="H42" s="1">
        <v>0.0</v>
      </c>
      <c r="I42" s="1">
        <v>0.0</v>
      </c>
      <c r="J42" s="1">
        <v>0.0</v>
      </c>
      <c r="K42" s="1">
        <v>0.0</v>
      </c>
      <c r="L42" s="1">
        <v>1.0</v>
      </c>
    </row>
    <row r="43">
      <c r="A43" s="1" t="s">
        <v>156</v>
      </c>
      <c r="B43" s="1">
        <v>6.0</v>
      </c>
      <c r="C43" s="1" t="s">
        <v>15</v>
      </c>
      <c r="D43" s="1" t="s">
        <v>157</v>
      </c>
      <c r="E43" s="10" t="s">
        <v>158</v>
      </c>
      <c r="F43" s="1" t="s">
        <v>159</v>
      </c>
      <c r="G43" s="1">
        <v>1.0</v>
      </c>
      <c r="H43" s="1">
        <v>0.0</v>
      </c>
      <c r="I43" s="1">
        <v>0.0</v>
      </c>
      <c r="J43" s="1">
        <v>0.0</v>
      </c>
      <c r="K43" s="1">
        <v>0.0</v>
      </c>
      <c r="L43" s="1">
        <v>1.0</v>
      </c>
      <c r="N43" s="1"/>
    </row>
    <row r="44">
      <c r="A44" s="1" t="s">
        <v>160</v>
      </c>
      <c r="B44" s="1">
        <v>7.0</v>
      </c>
      <c r="C44" s="1" t="s">
        <v>15</v>
      </c>
      <c r="D44" s="1" t="s">
        <v>161</v>
      </c>
      <c r="E44" s="10" t="s">
        <v>162</v>
      </c>
      <c r="F44" s="1" t="s">
        <v>163</v>
      </c>
      <c r="G44" s="1">
        <v>1.0</v>
      </c>
      <c r="H44" s="1">
        <v>0.0</v>
      </c>
      <c r="I44" s="1">
        <v>0.0</v>
      </c>
      <c r="J44" s="1">
        <v>0.0</v>
      </c>
      <c r="K44" s="1">
        <v>0.0</v>
      </c>
      <c r="L44" s="1">
        <v>1.0</v>
      </c>
    </row>
    <row r="45">
      <c r="A45" s="1" t="s">
        <v>164</v>
      </c>
      <c r="B45" s="1">
        <v>9.0</v>
      </c>
      <c r="C45" s="1" t="s">
        <v>29</v>
      </c>
      <c r="D45" s="1" t="s">
        <v>165</v>
      </c>
      <c r="E45" s="2" t="s">
        <v>120</v>
      </c>
      <c r="F45" s="2" t="s">
        <v>120</v>
      </c>
      <c r="G45" s="1">
        <v>1.0</v>
      </c>
      <c r="H45" s="1">
        <v>0.0</v>
      </c>
      <c r="I45" s="1">
        <v>0.0</v>
      </c>
      <c r="J45" s="1">
        <v>0.0</v>
      </c>
      <c r="K45" s="1">
        <v>0.0</v>
      </c>
      <c r="L45" s="1">
        <v>1.0</v>
      </c>
      <c r="N45" s="1" t="s">
        <v>166</v>
      </c>
    </row>
    <row r="46">
      <c r="A46" s="1" t="s">
        <v>167</v>
      </c>
      <c r="B46" s="1">
        <v>9.0</v>
      </c>
      <c r="C46" s="1" t="s">
        <v>15</v>
      </c>
      <c r="D46" s="1" t="s">
        <v>168</v>
      </c>
      <c r="E46" s="10" t="s">
        <v>169</v>
      </c>
      <c r="F46" s="1" t="s">
        <v>170</v>
      </c>
      <c r="G46" s="1">
        <v>1.0</v>
      </c>
      <c r="H46" s="1">
        <v>0.0</v>
      </c>
      <c r="I46" s="1">
        <v>0.0</v>
      </c>
      <c r="J46" s="1">
        <v>0.0</v>
      </c>
      <c r="K46" s="1">
        <v>0.0</v>
      </c>
      <c r="L46" s="1">
        <v>1.0</v>
      </c>
    </row>
    <row r="47">
      <c r="A47" s="1" t="s">
        <v>171</v>
      </c>
      <c r="B47" s="1">
        <v>8.0</v>
      </c>
      <c r="C47" s="1" t="s">
        <v>15</v>
      </c>
      <c r="D47" s="1" t="s">
        <v>172</v>
      </c>
      <c r="E47" s="10" t="s">
        <v>173</v>
      </c>
      <c r="F47" s="1" t="s">
        <v>174</v>
      </c>
      <c r="G47" s="1">
        <v>1.0</v>
      </c>
      <c r="H47" s="1">
        <v>0.0</v>
      </c>
      <c r="I47" s="1">
        <v>0.0</v>
      </c>
      <c r="J47" s="1">
        <v>0.0</v>
      </c>
      <c r="K47" s="1">
        <v>0.0</v>
      </c>
      <c r="L47" s="1">
        <v>1.0</v>
      </c>
    </row>
    <row r="48">
      <c r="A48" s="1" t="s">
        <v>175</v>
      </c>
      <c r="B48" s="1">
        <v>10.0</v>
      </c>
      <c r="C48" s="1" t="s">
        <v>15</v>
      </c>
      <c r="D48" s="1" t="s">
        <v>176</v>
      </c>
      <c r="E48" s="10" t="s">
        <v>177</v>
      </c>
      <c r="F48" s="1" t="s">
        <v>178</v>
      </c>
      <c r="G48" s="1">
        <v>1.0</v>
      </c>
      <c r="H48" s="1">
        <v>0.0</v>
      </c>
      <c r="I48" s="1">
        <v>0.0</v>
      </c>
      <c r="J48" s="1">
        <v>0.0</v>
      </c>
      <c r="K48" s="1">
        <v>0.0</v>
      </c>
      <c r="L48" s="1">
        <v>1.0</v>
      </c>
    </row>
    <row r="49">
      <c r="A49" s="1" t="s">
        <v>179</v>
      </c>
      <c r="B49" s="1">
        <v>9.0</v>
      </c>
      <c r="C49" s="1" t="s">
        <v>29</v>
      </c>
      <c r="D49" s="1" t="s">
        <v>180</v>
      </c>
      <c r="E49" s="2" t="s">
        <v>120</v>
      </c>
      <c r="F49" s="2" t="s">
        <v>120</v>
      </c>
      <c r="G49" s="1">
        <v>1.0</v>
      </c>
      <c r="H49" s="1">
        <v>0.0</v>
      </c>
      <c r="I49" s="1">
        <v>0.0</v>
      </c>
      <c r="J49" s="1">
        <v>0.0</v>
      </c>
      <c r="K49" s="1">
        <v>0.0</v>
      </c>
      <c r="L49" s="2">
        <v>0.0</v>
      </c>
      <c r="N49" s="1" t="s">
        <v>181</v>
      </c>
    </row>
    <row r="50">
      <c r="A50" s="1" t="s">
        <v>182</v>
      </c>
      <c r="B50" s="1">
        <v>6.0</v>
      </c>
      <c r="C50" s="1" t="s">
        <v>29</v>
      </c>
      <c r="D50" s="1" t="s">
        <v>183</v>
      </c>
      <c r="E50" s="10" t="s">
        <v>184</v>
      </c>
      <c r="F50" s="1" t="s">
        <v>185</v>
      </c>
      <c r="G50" s="1">
        <v>1.0</v>
      </c>
      <c r="H50" s="1">
        <v>0.0</v>
      </c>
      <c r="I50" s="1">
        <v>0.0</v>
      </c>
      <c r="J50" s="1">
        <v>0.0</v>
      </c>
      <c r="K50" s="1">
        <v>0.0</v>
      </c>
      <c r="L50" s="1">
        <v>1.0</v>
      </c>
    </row>
    <row r="51">
      <c r="A51" s="1" t="s">
        <v>186</v>
      </c>
      <c r="B51" s="1">
        <v>9.0</v>
      </c>
      <c r="C51" s="1" t="s">
        <v>15</v>
      </c>
      <c r="D51" s="1" t="s">
        <v>187</v>
      </c>
      <c r="E51" s="10" t="s">
        <v>188</v>
      </c>
      <c r="F51" s="1" t="s">
        <v>189</v>
      </c>
      <c r="G51" s="1">
        <v>1.0</v>
      </c>
      <c r="H51" s="1">
        <v>0.0</v>
      </c>
      <c r="I51" s="1">
        <v>0.0</v>
      </c>
      <c r="J51" s="1">
        <v>0.0</v>
      </c>
      <c r="K51" s="1">
        <v>0.0</v>
      </c>
      <c r="L51" s="1">
        <v>1.0</v>
      </c>
    </row>
    <row r="52">
      <c r="A52" s="1" t="s">
        <v>190</v>
      </c>
      <c r="B52" s="1">
        <v>6.0</v>
      </c>
      <c r="C52" s="1" t="s">
        <v>29</v>
      </c>
      <c r="D52" s="1" t="s">
        <v>191</v>
      </c>
      <c r="E52" s="10" t="s">
        <v>192</v>
      </c>
      <c r="F52" s="1" t="s">
        <v>193</v>
      </c>
      <c r="G52" s="1">
        <v>1.0</v>
      </c>
      <c r="H52" s="1">
        <v>0.0</v>
      </c>
      <c r="I52" s="1">
        <v>0.0</v>
      </c>
      <c r="J52" s="1">
        <v>0.0</v>
      </c>
      <c r="K52" s="1">
        <v>0.0</v>
      </c>
      <c r="L52" s="1">
        <v>1.0</v>
      </c>
    </row>
    <row r="53">
      <c r="A53" s="1" t="s">
        <v>194</v>
      </c>
      <c r="B53" s="1">
        <v>9.0</v>
      </c>
      <c r="C53" s="1" t="s">
        <v>15</v>
      </c>
      <c r="D53" s="1" t="s">
        <v>195</v>
      </c>
      <c r="E53" s="10" t="s">
        <v>196</v>
      </c>
      <c r="F53" s="1" t="s">
        <v>197</v>
      </c>
      <c r="G53" s="1">
        <v>1.0</v>
      </c>
      <c r="H53" s="1">
        <v>0.0</v>
      </c>
      <c r="I53" s="1">
        <v>0.0</v>
      </c>
      <c r="J53" s="1">
        <v>0.0</v>
      </c>
      <c r="K53" s="1">
        <v>0.0</v>
      </c>
      <c r="L53" s="1">
        <v>1.0</v>
      </c>
      <c r="N53" s="1"/>
    </row>
    <row r="54">
      <c r="A54" s="1" t="s">
        <v>198</v>
      </c>
      <c r="B54" s="1">
        <v>5.0</v>
      </c>
      <c r="C54" s="1" t="s">
        <v>15</v>
      </c>
      <c r="D54" s="1" t="s">
        <v>199</v>
      </c>
      <c r="E54" s="10" t="s">
        <v>200</v>
      </c>
      <c r="F54" s="1" t="s">
        <v>201</v>
      </c>
      <c r="G54" s="1">
        <v>1.0</v>
      </c>
      <c r="H54" s="1">
        <v>0.0</v>
      </c>
      <c r="I54" s="1">
        <v>0.0</v>
      </c>
      <c r="J54" s="1">
        <v>0.0</v>
      </c>
      <c r="K54" s="1">
        <v>0.0</v>
      </c>
      <c r="L54" s="1">
        <v>1.0</v>
      </c>
      <c r="N54" s="1"/>
    </row>
    <row r="55">
      <c r="A55" s="1" t="s">
        <v>202</v>
      </c>
      <c r="B55" s="1">
        <v>6.0</v>
      </c>
      <c r="C55" s="1" t="s">
        <v>29</v>
      </c>
      <c r="D55" s="1" t="s">
        <v>203</v>
      </c>
      <c r="E55" s="2" t="s">
        <v>120</v>
      </c>
      <c r="F55" s="2" t="s">
        <v>120</v>
      </c>
      <c r="G55" s="1">
        <v>1.0</v>
      </c>
      <c r="H55" s="1">
        <v>0.0</v>
      </c>
      <c r="I55" s="1">
        <v>0.0</v>
      </c>
      <c r="J55" s="1">
        <v>0.0</v>
      </c>
      <c r="K55" s="1">
        <v>0.0</v>
      </c>
      <c r="L55" s="2">
        <v>0.0</v>
      </c>
      <c r="N55" s="1" t="s">
        <v>181</v>
      </c>
    </row>
    <row r="56">
      <c r="A56" s="1" t="s">
        <v>204</v>
      </c>
      <c r="B56" s="1">
        <v>9.0</v>
      </c>
      <c r="C56" s="1" t="s">
        <v>29</v>
      </c>
      <c r="D56" s="1" t="s">
        <v>205</v>
      </c>
      <c r="E56" s="10" t="s">
        <v>206</v>
      </c>
      <c r="F56" s="1" t="s">
        <v>207</v>
      </c>
      <c r="G56" s="1">
        <v>1.0</v>
      </c>
      <c r="H56" s="1">
        <v>0.0</v>
      </c>
      <c r="I56" s="1">
        <v>0.0</v>
      </c>
      <c r="J56" s="1">
        <v>0.0</v>
      </c>
      <c r="K56" s="1">
        <v>0.0</v>
      </c>
      <c r="L56" s="1">
        <v>1.0</v>
      </c>
    </row>
    <row r="57">
      <c r="A57" s="1" t="s">
        <v>208</v>
      </c>
      <c r="B57" s="2">
        <v>11.0</v>
      </c>
      <c r="C57" s="1" t="s">
        <v>29</v>
      </c>
      <c r="D57" s="1" t="s">
        <v>209</v>
      </c>
      <c r="E57" s="10" t="s">
        <v>210</v>
      </c>
      <c r="F57" s="1" t="s">
        <v>211</v>
      </c>
      <c r="G57" s="1">
        <v>1.0</v>
      </c>
      <c r="H57" s="1">
        <v>0.0</v>
      </c>
      <c r="I57" s="1">
        <v>0.0</v>
      </c>
      <c r="J57" s="1">
        <v>0.0</v>
      </c>
      <c r="K57" s="1">
        <v>0.0</v>
      </c>
      <c r="L57" s="1">
        <v>1.0</v>
      </c>
      <c r="N57" s="1" t="s">
        <v>130</v>
      </c>
    </row>
    <row r="58">
      <c r="A58" s="1" t="s">
        <v>212</v>
      </c>
      <c r="B58" s="1">
        <v>7.0</v>
      </c>
      <c r="C58" s="1" t="s">
        <v>15</v>
      </c>
      <c r="D58" s="1" t="s">
        <v>213</v>
      </c>
      <c r="E58" s="2" t="s">
        <v>120</v>
      </c>
      <c r="F58" s="2" t="s">
        <v>120</v>
      </c>
      <c r="G58" s="1">
        <v>1.0</v>
      </c>
      <c r="H58" s="1">
        <v>0.0</v>
      </c>
      <c r="I58" s="1">
        <v>0.0</v>
      </c>
      <c r="J58" s="1">
        <v>0.0</v>
      </c>
      <c r="K58" s="1">
        <v>0.0</v>
      </c>
      <c r="L58" s="1">
        <v>1.0</v>
      </c>
      <c r="N58" s="1" t="s">
        <v>214</v>
      </c>
    </row>
    <row r="60">
      <c r="A60" s="1" t="s">
        <v>215</v>
      </c>
      <c r="B60" s="1" t="s">
        <v>216</v>
      </c>
    </row>
    <row r="61">
      <c r="A61" s="1" t="s">
        <v>217</v>
      </c>
      <c r="B61" s="1" t="s">
        <v>218</v>
      </c>
    </row>
    <row r="62">
      <c r="A62" s="1" t="s">
        <v>219</v>
      </c>
      <c r="B62" s="1" t="s">
        <v>220</v>
      </c>
    </row>
    <row r="65">
      <c r="A65" s="11" t="s">
        <v>221</v>
      </c>
      <c r="B65" s="12"/>
      <c r="C65" s="12"/>
    </row>
    <row r="66">
      <c r="A66" s="1" t="s">
        <v>222</v>
      </c>
      <c r="D66" s="1" t="s">
        <v>223</v>
      </c>
      <c r="E66" s="1" t="s">
        <v>120</v>
      </c>
      <c r="F66" s="1" t="s">
        <v>120</v>
      </c>
      <c r="G66" s="1">
        <v>0.0</v>
      </c>
      <c r="H66" s="1">
        <v>953.0</v>
      </c>
      <c r="I66" s="1">
        <v>1056.0</v>
      </c>
      <c r="J66" s="1">
        <v>1004.5</v>
      </c>
      <c r="K66" s="5" t="s">
        <v>61</v>
      </c>
    </row>
    <row r="67">
      <c r="A67" s="1" t="s">
        <v>224</v>
      </c>
      <c r="D67" s="1" t="s">
        <v>225</v>
      </c>
      <c r="E67" s="1" t="s">
        <v>120</v>
      </c>
      <c r="F67" s="1" t="s">
        <v>120</v>
      </c>
      <c r="G67" s="1">
        <v>0.0</v>
      </c>
      <c r="H67" s="1">
        <v>1.0</v>
      </c>
      <c r="I67" s="1">
        <v>1.0</v>
      </c>
      <c r="J67" s="1">
        <v>1.0</v>
      </c>
      <c r="K67" s="5" t="s">
        <v>61</v>
      </c>
    </row>
    <row r="68">
      <c r="A68" s="1" t="s">
        <v>226</v>
      </c>
      <c r="D68" s="1" t="s">
        <v>227</v>
      </c>
      <c r="E68" s="1" t="s">
        <v>120</v>
      </c>
      <c r="F68" s="1" t="s">
        <v>120</v>
      </c>
      <c r="G68" s="1">
        <v>0.0</v>
      </c>
      <c r="H68" s="1">
        <v>147.0</v>
      </c>
      <c r="I68" s="1">
        <v>108.0</v>
      </c>
      <c r="J68" s="1">
        <v>127.5</v>
      </c>
      <c r="K68" s="5" t="s">
        <v>61</v>
      </c>
    </row>
    <row r="69">
      <c r="A69" s="1" t="s">
        <v>228</v>
      </c>
      <c r="D69" s="1" t="s">
        <v>229</v>
      </c>
      <c r="E69" s="1" t="s">
        <v>120</v>
      </c>
      <c r="F69" s="1" t="s">
        <v>120</v>
      </c>
      <c r="G69" s="1">
        <v>0.0</v>
      </c>
      <c r="H69" s="1">
        <v>15.0</v>
      </c>
      <c r="I69" s="1">
        <v>14.0</v>
      </c>
      <c r="J69" s="1">
        <v>14.5</v>
      </c>
      <c r="K69" s="5" t="s">
        <v>61</v>
      </c>
    </row>
    <row r="70">
      <c r="A70" s="1" t="s">
        <v>230</v>
      </c>
      <c r="D70" s="1" t="s">
        <v>231</v>
      </c>
      <c r="E70" s="1" t="s">
        <v>120</v>
      </c>
      <c r="F70" s="1" t="s">
        <v>120</v>
      </c>
      <c r="G70" s="1">
        <v>0.0</v>
      </c>
      <c r="H70" s="1">
        <v>87.0</v>
      </c>
      <c r="I70" s="1">
        <v>84.0</v>
      </c>
      <c r="J70" s="1">
        <v>85.5</v>
      </c>
      <c r="K70" s="5" t="s">
        <v>61</v>
      </c>
    </row>
    <row r="71">
      <c r="A71" s="1" t="s">
        <v>232</v>
      </c>
      <c r="D71" s="1" t="s">
        <v>233</v>
      </c>
      <c r="E71" s="1" t="s">
        <v>120</v>
      </c>
      <c r="F71" s="1" t="s">
        <v>120</v>
      </c>
      <c r="G71" s="1">
        <v>0.0</v>
      </c>
      <c r="H71" s="1">
        <v>81.0</v>
      </c>
      <c r="I71" s="1">
        <v>135.0</v>
      </c>
      <c r="J71" s="1">
        <v>108.0</v>
      </c>
      <c r="K71" s="5" t="s">
        <v>61</v>
      </c>
    </row>
    <row r="72">
      <c r="A72" s="1" t="s">
        <v>234</v>
      </c>
      <c r="D72" s="1" t="s">
        <v>235</v>
      </c>
      <c r="E72" s="1" t="s">
        <v>120</v>
      </c>
      <c r="F72" s="1" t="s">
        <v>120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</row>
    <row r="73">
      <c r="A73" s="1" t="s">
        <v>113</v>
      </c>
      <c r="D73" s="1" t="s">
        <v>236</v>
      </c>
      <c r="E73" s="1" t="s">
        <v>120</v>
      </c>
      <c r="F73" s="1" t="s">
        <v>120</v>
      </c>
      <c r="G73" s="1">
        <v>0.0</v>
      </c>
      <c r="H73" s="1">
        <v>598.0</v>
      </c>
      <c r="I73" s="1">
        <v>654.0</v>
      </c>
      <c r="J73" s="1">
        <v>626.0</v>
      </c>
      <c r="K73" s="5" t="s">
        <v>61</v>
      </c>
    </row>
    <row r="74">
      <c r="A74" s="1" t="s">
        <v>237</v>
      </c>
      <c r="D74" s="1" t="s">
        <v>238</v>
      </c>
      <c r="E74" s="1" t="s">
        <v>120</v>
      </c>
      <c r="F74" s="1" t="s">
        <v>120</v>
      </c>
      <c r="G74" s="1">
        <v>0.0</v>
      </c>
      <c r="H74" s="1">
        <v>17.0</v>
      </c>
      <c r="I74" s="1">
        <v>17.0</v>
      </c>
      <c r="J74" s="1">
        <v>17.0</v>
      </c>
      <c r="K74" s="5" t="s">
        <v>61</v>
      </c>
    </row>
    <row r="75">
      <c r="A75" s="1" t="s">
        <v>239</v>
      </c>
      <c r="D75" s="1" t="s">
        <v>240</v>
      </c>
      <c r="E75" s="1" t="s">
        <v>120</v>
      </c>
      <c r="F75" s="1" t="s">
        <v>120</v>
      </c>
      <c r="G75" s="1">
        <v>0.0</v>
      </c>
      <c r="H75" s="1">
        <v>9.0</v>
      </c>
      <c r="I75" s="1">
        <v>6.0</v>
      </c>
      <c r="J75" s="1">
        <v>7.5</v>
      </c>
      <c r="K75" s="5" t="s">
        <v>61</v>
      </c>
    </row>
    <row r="76">
      <c r="A76" s="1" t="s">
        <v>241</v>
      </c>
      <c r="D76" s="1" t="s">
        <v>242</v>
      </c>
      <c r="E76" s="1" t="s">
        <v>120</v>
      </c>
      <c r="F76" s="1" t="s">
        <v>120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1" t="s">
        <v>243</v>
      </c>
      <c r="D77" s="1" t="s">
        <v>244</v>
      </c>
      <c r="E77" s="1" t="s">
        <v>120</v>
      </c>
      <c r="F77" s="1" t="s">
        <v>120</v>
      </c>
      <c r="G77" s="1">
        <v>0.0</v>
      </c>
      <c r="H77" s="1">
        <v>19.0</v>
      </c>
      <c r="I77" s="1">
        <v>30.0</v>
      </c>
      <c r="J77" s="1">
        <v>24.5</v>
      </c>
      <c r="K77" s="1" t="s">
        <v>18</v>
      </c>
      <c r="L77" s="1" t="s">
        <v>245</v>
      </c>
    </row>
    <row r="78">
      <c r="A78" s="1" t="s">
        <v>246</v>
      </c>
      <c r="D78" s="1" t="s">
        <v>247</v>
      </c>
      <c r="E78" s="1" t="s">
        <v>120</v>
      </c>
      <c r="F78" s="1" t="s">
        <v>120</v>
      </c>
      <c r="G78" s="1">
        <v>0.0</v>
      </c>
      <c r="H78" s="1">
        <v>162.0</v>
      </c>
      <c r="I78" s="1">
        <v>165.0</v>
      </c>
      <c r="J78" s="1">
        <v>163.5</v>
      </c>
      <c r="K78" s="5" t="s">
        <v>61</v>
      </c>
    </row>
    <row r="79">
      <c r="A79" s="1" t="s">
        <v>248</v>
      </c>
      <c r="D79" s="1" t="s">
        <v>249</v>
      </c>
      <c r="E79" s="1" t="s">
        <v>120</v>
      </c>
      <c r="F79" s="1" t="s">
        <v>120</v>
      </c>
      <c r="G79" s="1">
        <v>0.0</v>
      </c>
      <c r="H79" s="1">
        <v>79.0</v>
      </c>
      <c r="I79" s="1">
        <v>53.0</v>
      </c>
      <c r="J79" s="1">
        <v>66.0</v>
      </c>
      <c r="K79" s="5" t="s">
        <v>61</v>
      </c>
    </row>
    <row r="80">
      <c r="A80" s="1" t="s">
        <v>250</v>
      </c>
      <c r="D80" s="1" t="s">
        <v>251</v>
      </c>
      <c r="E80" s="1" t="s">
        <v>120</v>
      </c>
      <c r="F80" s="1" t="s">
        <v>120</v>
      </c>
      <c r="G80" s="1">
        <v>0.0</v>
      </c>
      <c r="H80" s="1">
        <v>63.0</v>
      </c>
      <c r="I80" s="1">
        <v>51.0</v>
      </c>
      <c r="J80" s="1">
        <v>57.0</v>
      </c>
      <c r="K80" s="5" t="s">
        <v>61</v>
      </c>
    </row>
    <row r="81">
      <c r="A81" s="1" t="s">
        <v>252</v>
      </c>
      <c r="D81" s="1" t="s">
        <v>253</v>
      </c>
      <c r="E81" s="1" t="s">
        <v>120</v>
      </c>
      <c r="F81" s="1" t="s">
        <v>120</v>
      </c>
      <c r="G81" s="1">
        <v>0.0</v>
      </c>
      <c r="H81" s="1">
        <v>5.0</v>
      </c>
      <c r="I81" s="1">
        <v>7.0</v>
      </c>
      <c r="J81" s="1">
        <v>6.0</v>
      </c>
      <c r="K81" s="5" t="s">
        <v>61</v>
      </c>
    </row>
    <row r="82">
      <c r="A82" s="1" t="s">
        <v>254</v>
      </c>
      <c r="D82" s="1" t="s">
        <v>255</v>
      </c>
      <c r="E82" s="1" t="s">
        <v>120</v>
      </c>
      <c r="F82" s="1" t="s">
        <v>120</v>
      </c>
      <c r="G82" s="1">
        <v>0.0</v>
      </c>
      <c r="H82" s="13">
        <v>3069.0</v>
      </c>
      <c r="I82" s="1" t="s">
        <v>18</v>
      </c>
      <c r="J82" s="13">
        <v>3069.0</v>
      </c>
      <c r="K82" s="5" t="s">
        <v>61</v>
      </c>
      <c r="L82" s="1" t="s">
        <v>256</v>
      </c>
    </row>
    <row r="83">
      <c r="A83" s="1" t="s">
        <v>257</v>
      </c>
      <c r="D83" s="1" t="s">
        <v>258</v>
      </c>
      <c r="E83" s="1" t="s">
        <v>120</v>
      </c>
      <c r="F83" s="1" t="s">
        <v>120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</row>
    <row r="84">
      <c r="A84" s="1" t="s">
        <v>259</v>
      </c>
      <c r="D84" s="1" t="s">
        <v>260</v>
      </c>
      <c r="E84" s="1" t="s">
        <v>120</v>
      </c>
      <c r="F84" s="1" t="s">
        <v>120</v>
      </c>
      <c r="G84" s="1">
        <v>0.0</v>
      </c>
      <c r="H84" s="1">
        <v>303.0</v>
      </c>
      <c r="I84" s="1">
        <v>279.0</v>
      </c>
      <c r="J84" s="1">
        <v>291.0</v>
      </c>
      <c r="K84" s="5" t="s">
        <v>61</v>
      </c>
    </row>
    <row r="85">
      <c r="A85" s="1" t="s">
        <v>261</v>
      </c>
      <c r="D85" s="1" t="s">
        <v>262</v>
      </c>
      <c r="E85" s="1" t="s">
        <v>120</v>
      </c>
      <c r="F85" s="1" t="s">
        <v>120</v>
      </c>
      <c r="G85" s="1">
        <v>0.0</v>
      </c>
      <c r="H85" s="1">
        <v>75.0</v>
      </c>
      <c r="I85" s="1">
        <v>45.0</v>
      </c>
      <c r="J85" s="1">
        <v>60.0</v>
      </c>
      <c r="K85" s="5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6" max="6" width="17.75"/>
    <col customWidth="1" min="8" max="8" width="14.5"/>
    <col customWidth="1" min="10" max="10" width="32.88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263</v>
      </c>
      <c r="G1" s="14" t="s">
        <v>9</v>
      </c>
      <c r="H1" s="14" t="s">
        <v>10</v>
      </c>
      <c r="I1" s="14" t="s">
        <v>11</v>
      </c>
      <c r="J1" s="14" t="s">
        <v>13</v>
      </c>
    </row>
    <row r="2">
      <c r="A2" s="15" t="s">
        <v>264</v>
      </c>
      <c r="B2" s="15">
        <v>23.0</v>
      </c>
      <c r="C2" s="15" t="s">
        <v>15</v>
      </c>
      <c r="D2" s="15" t="s">
        <v>265</v>
      </c>
      <c r="E2" s="15">
        <v>21.0</v>
      </c>
      <c r="F2" s="16" t="s">
        <v>266</v>
      </c>
      <c r="G2" s="15"/>
      <c r="H2" s="15"/>
      <c r="I2" s="15"/>
      <c r="J2" s="15" t="s">
        <v>267</v>
      </c>
    </row>
    <row r="3">
      <c r="A3" s="14" t="s">
        <v>14</v>
      </c>
      <c r="B3" s="14">
        <v>10.0</v>
      </c>
      <c r="C3" s="14" t="s">
        <v>15</v>
      </c>
      <c r="D3" s="14" t="s">
        <v>16</v>
      </c>
      <c r="E3" s="14">
        <v>22.0</v>
      </c>
      <c r="F3" s="1" t="s">
        <v>17</v>
      </c>
      <c r="G3" s="14" t="s">
        <v>18</v>
      </c>
      <c r="H3" s="14" t="s">
        <v>18</v>
      </c>
      <c r="I3" s="14">
        <v>0.0</v>
      </c>
      <c r="J3" s="14" t="s">
        <v>51</v>
      </c>
    </row>
    <row r="4">
      <c r="A4" s="14" t="s">
        <v>20</v>
      </c>
      <c r="B4" s="14">
        <v>8.0</v>
      </c>
      <c r="C4" s="14" t="s">
        <v>15</v>
      </c>
      <c r="D4" s="14" t="s">
        <v>21</v>
      </c>
      <c r="E4" s="14">
        <v>23.0</v>
      </c>
      <c r="F4" s="1" t="s">
        <v>22</v>
      </c>
      <c r="G4" s="14">
        <v>0.0</v>
      </c>
      <c r="H4" s="14">
        <v>0.0</v>
      </c>
      <c r="I4" s="14">
        <v>0.0</v>
      </c>
      <c r="J4" s="17"/>
    </row>
    <row r="5">
      <c r="A5" s="14" t="s">
        <v>24</v>
      </c>
      <c r="B5" s="14">
        <v>6.0</v>
      </c>
      <c r="C5" s="14" t="s">
        <v>15</v>
      </c>
      <c r="D5" s="14" t="s">
        <v>25</v>
      </c>
      <c r="E5" s="14">
        <v>24.0</v>
      </c>
      <c r="F5" s="1" t="s">
        <v>26</v>
      </c>
      <c r="G5" s="14">
        <v>0.0</v>
      </c>
      <c r="H5" s="14">
        <v>0.0</v>
      </c>
      <c r="I5" s="14">
        <v>0.0</v>
      </c>
      <c r="J5" s="17"/>
    </row>
    <row r="6">
      <c r="A6" s="18" t="s">
        <v>268</v>
      </c>
      <c r="B6" s="15">
        <v>23.0</v>
      </c>
      <c r="C6" s="15" t="s">
        <v>15</v>
      </c>
      <c r="D6" s="15" t="s">
        <v>269</v>
      </c>
      <c r="E6" s="15">
        <v>47.0</v>
      </c>
      <c r="F6" s="15" t="s">
        <v>270</v>
      </c>
      <c r="G6" s="15"/>
      <c r="H6" s="15"/>
      <c r="I6" s="15"/>
      <c r="J6" s="15"/>
    </row>
    <row r="7">
      <c r="A7" s="14" t="s">
        <v>28</v>
      </c>
      <c r="B7" s="14">
        <v>9.0</v>
      </c>
      <c r="C7" s="14" t="s">
        <v>29</v>
      </c>
      <c r="D7" s="14" t="s">
        <v>30</v>
      </c>
      <c r="E7" s="14">
        <v>49.0</v>
      </c>
      <c r="F7" s="1" t="s">
        <v>31</v>
      </c>
      <c r="G7" s="14">
        <v>0.0</v>
      </c>
      <c r="H7" s="14">
        <v>0.0</v>
      </c>
      <c r="I7" s="14">
        <v>1.0</v>
      </c>
      <c r="J7" s="14"/>
    </row>
    <row r="8">
      <c r="A8" s="14" t="s">
        <v>33</v>
      </c>
      <c r="B8" s="14">
        <v>7.0</v>
      </c>
      <c r="C8" s="14" t="s">
        <v>29</v>
      </c>
      <c r="D8" s="14" t="s">
        <v>34</v>
      </c>
      <c r="E8" s="14">
        <v>50.0</v>
      </c>
      <c r="F8" s="1" t="s">
        <v>35</v>
      </c>
      <c r="G8" s="14">
        <v>0.0</v>
      </c>
      <c r="H8" s="14">
        <v>0.0</v>
      </c>
      <c r="I8" s="14">
        <v>1.0</v>
      </c>
      <c r="J8" s="14"/>
    </row>
    <row r="9">
      <c r="A9" s="19" t="s">
        <v>36</v>
      </c>
      <c r="B9" s="14">
        <v>5.0</v>
      </c>
      <c r="C9" s="14" t="s">
        <v>29</v>
      </c>
      <c r="D9" s="14" t="s">
        <v>37</v>
      </c>
      <c r="E9" s="14">
        <v>51.0</v>
      </c>
      <c r="F9" s="1" t="s">
        <v>38</v>
      </c>
      <c r="G9" s="14">
        <v>0.0</v>
      </c>
      <c r="H9" s="14">
        <v>0.0</v>
      </c>
      <c r="I9" s="14">
        <v>1.0</v>
      </c>
      <c r="J9" s="14" t="s">
        <v>271</v>
      </c>
    </row>
    <row r="10">
      <c r="A10" s="16" t="s">
        <v>272</v>
      </c>
      <c r="B10" s="15">
        <v>49.0</v>
      </c>
      <c r="C10" s="15" t="s">
        <v>15</v>
      </c>
      <c r="D10" s="15" t="s">
        <v>273</v>
      </c>
      <c r="E10" s="15">
        <v>26.0</v>
      </c>
      <c r="F10" s="15" t="s">
        <v>274</v>
      </c>
      <c r="G10" s="15"/>
      <c r="H10" s="15"/>
      <c r="I10" s="15"/>
      <c r="J10" s="16" t="s">
        <v>275</v>
      </c>
    </row>
    <row r="11">
      <c r="A11" s="16" t="s">
        <v>40</v>
      </c>
      <c r="B11" s="14">
        <v>7.0</v>
      </c>
      <c r="C11" s="14" t="s">
        <v>15</v>
      </c>
      <c r="D11" s="14" t="s">
        <v>41</v>
      </c>
      <c r="E11" s="14">
        <v>27.0</v>
      </c>
      <c r="F11" s="1" t="s">
        <v>42</v>
      </c>
      <c r="G11" s="14">
        <v>0.0</v>
      </c>
      <c r="H11" s="14">
        <v>0.0</v>
      </c>
      <c r="I11" s="14">
        <v>0.0</v>
      </c>
      <c r="J11" s="16" t="s">
        <v>276</v>
      </c>
    </row>
    <row r="12">
      <c r="A12" s="16" t="s">
        <v>44</v>
      </c>
      <c r="B12" s="14">
        <v>6.0</v>
      </c>
      <c r="C12" s="14" t="s">
        <v>29</v>
      </c>
      <c r="D12" s="14" t="s">
        <v>45</v>
      </c>
      <c r="E12" s="14">
        <v>28.0</v>
      </c>
      <c r="F12" s="1" t="s">
        <v>46</v>
      </c>
      <c r="G12" s="14">
        <v>0.0</v>
      </c>
      <c r="H12" s="14">
        <v>0.0</v>
      </c>
      <c r="I12" s="14">
        <v>0.0</v>
      </c>
      <c r="J12" s="16" t="s">
        <v>277</v>
      </c>
    </row>
    <row r="13">
      <c r="A13" s="15" t="s">
        <v>278</v>
      </c>
      <c r="B13" s="15">
        <v>49.0</v>
      </c>
      <c r="C13" s="15" t="s">
        <v>15</v>
      </c>
      <c r="D13" s="15" t="s">
        <v>279</v>
      </c>
      <c r="E13" s="15">
        <v>8.0</v>
      </c>
      <c r="F13" s="15" t="s">
        <v>280</v>
      </c>
      <c r="G13" s="15"/>
      <c r="H13" s="15"/>
      <c r="I13" s="15"/>
      <c r="J13" s="15"/>
    </row>
    <row r="14">
      <c r="A14" s="14" t="s">
        <v>48</v>
      </c>
      <c r="B14" s="14">
        <v>7.0</v>
      </c>
      <c r="C14" s="14" t="s">
        <v>15</v>
      </c>
      <c r="D14" s="14" t="s">
        <v>49</v>
      </c>
      <c r="E14" s="14">
        <v>10.0</v>
      </c>
      <c r="F14" s="20" t="s">
        <v>50</v>
      </c>
      <c r="G14" s="14" t="s">
        <v>18</v>
      </c>
      <c r="H14" s="14" t="s">
        <v>18</v>
      </c>
      <c r="I14" s="14">
        <v>1.0</v>
      </c>
      <c r="J14" s="14" t="s">
        <v>51</v>
      </c>
    </row>
    <row r="15">
      <c r="A15" s="21" t="s">
        <v>281</v>
      </c>
      <c r="B15" s="15">
        <v>34.0</v>
      </c>
      <c r="C15" s="15" t="s">
        <v>15</v>
      </c>
      <c r="D15" s="15" t="s">
        <v>282</v>
      </c>
      <c r="E15" s="15">
        <v>62.0</v>
      </c>
      <c r="F15" s="15" t="s">
        <v>283</v>
      </c>
      <c r="G15" s="15"/>
      <c r="H15" s="15"/>
      <c r="I15" s="15"/>
      <c r="J15" s="22"/>
    </row>
    <row r="16">
      <c r="A16" s="14" t="s">
        <v>52</v>
      </c>
      <c r="B16" s="14">
        <v>6.0</v>
      </c>
      <c r="C16" s="14" t="s">
        <v>15</v>
      </c>
      <c r="D16" s="14" t="s">
        <v>53</v>
      </c>
      <c r="E16" s="14">
        <v>63.0</v>
      </c>
      <c r="F16" s="20" t="s">
        <v>54</v>
      </c>
      <c r="G16" s="14">
        <v>0.0</v>
      </c>
      <c r="H16" s="14">
        <v>0.0</v>
      </c>
      <c r="I16" s="14">
        <v>1.0</v>
      </c>
      <c r="J16" s="23"/>
    </row>
    <row r="17">
      <c r="A17" s="15" t="s">
        <v>284</v>
      </c>
      <c r="B17" s="15" t="s">
        <v>113</v>
      </c>
      <c r="C17" s="15" t="s">
        <v>15</v>
      </c>
      <c r="D17" s="15" t="s">
        <v>285</v>
      </c>
      <c r="E17" s="15">
        <v>29.0</v>
      </c>
      <c r="F17" s="15" t="s">
        <v>286</v>
      </c>
      <c r="G17" s="15"/>
      <c r="H17" s="15"/>
      <c r="I17" s="15"/>
      <c r="J17" s="15"/>
    </row>
    <row r="18">
      <c r="A18" s="14" t="s">
        <v>55</v>
      </c>
      <c r="B18" s="14">
        <v>9.0</v>
      </c>
      <c r="C18" s="14" t="s">
        <v>15</v>
      </c>
      <c r="D18" s="14" t="s">
        <v>56</v>
      </c>
      <c r="E18" s="14">
        <v>30.0</v>
      </c>
      <c r="F18" s="20" t="s">
        <v>57</v>
      </c>
      <c r="G18" s="14">
        <v>0.0</v>
      </c>
      <c r="H18" s="14">
        <v>0.0</v>
      </c>
      <c r="I18" s="14">
        <v>1.0</v>
      </c>
      <c r="J18" s="14"/>
    </row>
    <row r="19">
      <c r="A19" s="15" t="s">
        <v>287</v>
      </c>
      <c r="B19" s="15">
        <v>76.0</v>
      </c>
      <c r="C19" s="15" t="s">
        <v>15</v>
      </c>
      <c r="D19" s="15" t="s">
        <v>288</v>
      </c>
      <c r="E19" s="15">
        <v>43.0</v>
      </c>
      <c r="F19" s="15" t="s">
        <v>289</v>
      </c>
      <c r="G19" s="15"/>
      <c r="H19" s="15"/>
      <c r="I19" s="15"/>
      <c r="J19" s="15" t="s">
        <v>290</v>
      </c>
    </row>
    <row r="20">
      <c r="A20" s="14" t="s">
        <v>58</v>
      </c>
      <c r="B20" s="14">
        <v>10.0</v>
      </c>
      <c r="C20" s="14" t="s">
        <v>15</v>
      </c>
      <c r="D20" s="14" t="s">
        <v>59</v>
      </c>
      <c r="E20" s="14">
        <v>45.0</v>
      </c>
      <c r="F20" s="1" t="s">
        <v>60</v>
      </c>
      <c r="G20" s="14">
        <v>72.0</v>
      </c>
      <c r="H20" s="14" t="s">
        <v>61</v>
      </c>
      <c r="I20" s="14">
        <v>1.0</v>
      </c>
      <c r="J20" s="14"/>
    </row>
    <row r="21">
      <c r="A21" s="15" t="s">
        <v>291</v>
      </c>
      <c r="B21" s="15">
        <v>24.0</v>
      </c>
      <c r="C21" s="15" t="s">
        <v>15</v>
      </c>
      <c r="D21" s="15" t="s">
        <v>292</v>
      </c>
      <c r="E21" s="15">
        <v>3.0</v>
      </c>
      <c r="F21" s="15" t="s">
        <v>293</v>
      </c>
      <c r="G21" s="15"/>
      <c r="H21" s="15"/>
      <c r="I21" s="15"/>
      <c r="J21" s="22"/>
    </row>
    <row r="22">
      <c r="A22" s="14" t="s">
        <v>62</v>
      </c>
      <c r="B22" s="14">
        <v>8.0</v>
      </c>
      <c r="C22" s="14" t="s">
        <v>15</v>
      </c>
      <c r="D22" s="14" t="s">
        <v>63</v>
      </c>
      <c r="E22" s="14">
        <v>6.0</v>
      </c>
      <c r="F22" s="1" t="s">
        <v>64</v>
      </c>
      <c r="G22" s="14">
        <v>0.0</v>
      </c>
      <c r="H22" s="14">
        <v>0.0</v>
      </c>
      <c r="I22" s="14">
        <v>1.0</v>
      </c>
      <c r="J22" s="23"/>
    </row>
    <row r="23">
      <c r="A23" s="14" t="s">
        <v>65</v>
      </c>
      <c r="B23" s="14">
        <v>5.0</v>
      </c>
      <c r="C23" s="14" t="s">
        <v>29</v>
      </c>
      <c r="D23" s="14" t="s">
        <v>66</v>
      </c>
      <c r="E23" s="14">
        <v>4.0</v>
      </c>
      <c r="F23" s="1" t="s">
        <v>67</v>
      </c>
      <c r="G23" s="14">
        <v>0.0</v>
      </c>
      <c r="H23" s="14">
        <v>0.0</v>
      </c>
      <c r="I23" s="14">
        <v>1.0</v>
      </c>
      <c r="J23" s="14" t="s">
        <v>134</v>
      </c>
    </row>
    <row r="24">
      <c r="A24" s="15" t="s">
        <v>294</v>
      </c>
      <c r="B24" s="15">
        <v>29.0</v>
      </c>
      <c r="C24" s="15" t="s">
        <v>15</v>
      </c>
      <c r="D24" s="15" t="s">
        <v>295</v>
      </c>
      <c r="E24" s="15">
        <v>12.0</v>
      </c>
      <c r="F24" s="15" t="s">
        <v>296</v>
      </c>
      <c r="G24" s="15"/>
      <c r="H24" s="15"/>
      <c r="I24" s="15"/>
      <c r="J24" s="15"/>
    </row>
    <row r="25">
      <c r="A25" s="14" t="s">
        <v>69</v>
      </c>
      <c r="B25" s="14">
        <v>8.0</v>
      </c>
      <c r="C25" s="14" t="s">
        <v>15</v>
      </c>
      <c r="D25" s="14" t="s">
        <v>70</v>
      </c>
      <c r="E25" s="14">
        <v>13.0</v>
      </c>
      <c r="F25" s="1" t="s">
        <v>71</v>
      </c>
      <c r="G25" s="14">
        <v>147.0</v>
      </c>
      <c r="H25" s="14" t="s">
        <v>61</v>
      </c>
      <c r="I25" s="14">
        <v>1.0</v>
      </c>
      <c r="J25" s="14"/>
    </row>
    <row r="26">
      <c r="A26" s="15" t="s">
        <v>297</v>
      </c>
      <c r="B26" s="15">
        <v>27.0</v>
      </c>
      <c r="C26" s="15" t="s">
        <v>15</v>
      </c>
      <c r="D26" s="15" t="s">
        <v>298</v>
      </c>
      <c r="E26" s="15">
        <v>99.0</v>
      </c>
      <c r="F26" s="15" t="s">
        <v>299</v>
      </c>
      <c r="G26" s="15"/>
      <c r="H26" s="15"/>
      <c r="I26" s="15"/>
      <c r="J26" s="22"/>
    </row>
    <row r="27">
      <c r="A27" s="14" t="s">
        <v>72</v>
      </c>
      <c r="B27" s="14">
        <v>9.0</v>
      </c>
      <c r="C27" s="14" t="s">
        <v>29</v>
      </c>
      <c r="D27" s="14" t="s">
        <v>73</v>
      </c>
      <c r="E27" s="14">
        <v>101.0</v>
      </c>
      <c r="F27" s="20" t="s">
        <v>74</v>
      </c>
      <c r="G27" s="14">
        <v>0.0</v>
      </c>
      <c r="H27" s="14">
        <v>0.0</v>
      </c>
      <c r="I27" s="14">
        <v>1.0</v>
      </c>
      <c r="J27" s="23"/>
    </row>
    <row r="28">
      <c r="A28" s="14" t="s">
        <v>75</v>
      </c>
      <c r="B28" s="14">
        <v>8.0</v>
      </c>
      <c r="C28" s="14" t="s">
        <v>29</v>
      </c>
      <c r="D28" s="14" t="s">
        <v>76</v>
      </c>
      <c r="E28" s="14">
        <v>102.0</v>
      </c>
      <c r="F28" s="20" t="s">
        <v>77</v>
      </c>
      <c r="G28" s="14">
        <v>0.0</v>
      </c>
      <c r="H28" s="14">
        <v>0.0</v>
      </c>
      <c r="I28" s="14">
        <v>1.0</v>
      </c>
      <c r="J28" s="23"/>
    </row>
    <row r="29">
      <c r="A29" s="14" t="s">
        <v>78</v>
      </c>
      <c r="B29" s="14">
        <v>7.0</v>
      </c>
      <c r="C29" s="14" t="s">
        <v>15</v>
      </c>
      <c r="D29" s="14" t="s">
        <v>79</v>
      </c>
      <c r="E29" s="14">
        <v>103.0</v>
      </c>
      <c r="F29" s="20" t="s">
        <v>80</v>
      </c>
      <c r="G29" s="14">
        <v>0.0</v>
      </c>
      <c r="H29" s="14">
        <v>0.0</v>
      </c>
      <c r="I29" s="14">
        <v>1.0</v>
      </c>
      <c r="J29" s="23"/>
    </row>
    <row r="30">
      <c r="A30" s="15" t="s">
        <v>300</v>
      </c>
      <c r="B30" s="15">
        <v>26.0</v>
      </c>
      <c r="C30" s="15" t="s">
        <v>15</v>
      </c>
      <c r="D30" s="15" t="s">
        <v>301</v>
      </c>
      <c r="E30" s="15">
        <v>134.0</v>
      </c>
      <c r="F30" s="15" t="s">
        <v>302</v>
      </c>
      <c r="G30" s="15"/>
      <c r="H30" s="15"/>
      <c r="I30" s="15"/>
      <c r="J30" s="22"/>
    </row>
    <row r="31">
      <c r="A31" s="14" t="s">
        <v>81</v>
      </c>
      <c r="B31" s="14">
        <v>10.0</v>
      </c>
      <c r="C31" s="14" t="s">
        <v>29</v>
      </c>
      <c r="D31" s="14" t="s">
        <v>82</v>
      </c>
      <c r="E31" s="14">
        <v>135.0</v>
      </c>
      <c r="F31" s="1" t="s">
        <v>83</v>
      </c>
      <c r="G31" s="14">
        <v>0.0</v>
      </c>
      <c r="H31" s="14">
        <v>0.0</v>
      </c>
      <c r="I31" s="14">
        <v>1.0</v>
      </c>
      <c r="J31" s="23"/>
    </row>
    <row r="32">
      <c r="A32" s="14" t="s">
        <v>84</v>
      </c>
      <c r="B32" s="14">
        <v>8.0</v>
      </c>
      <c r="C32" s="14" t="s">
        <v>15</v>
      </c>
      <c r="D32" s="14" t="s">
        <v>85</v>
      </c>
      <c r="E32" s="14">
        <v>136.0</v>
      </c>
      <c r="F32" s="1" t="s">
        <v>86</v>
      </c>
      <c r="G32" s="14">
        <v>0.0</v>
      </c>
      <c r="H32" s="14">
        <v>0.0</v>
      </c>
      <c r="I32" s="14">
        <v>1.0</v>
      </c>
      <c r="J32" s="23"/>
    </row>
    <row r="33">
      <c r="A33" s="24" t="s">
        <v>87</v>
      </c>
      <c r="B33" s="24">
        <v>6.0</v>
      </c>
      <c r="C33" s="24" t="s">
        <v>15</v>
      </c>
      <c r="D33" s="24" t="s">
        <v>88</v>
      </c>
      <c r="E33" s="24">
        <v>92.0</v>
      </c>
      <c r="F33" s="25" t="s">
        <v>89</v>
      </c>
      <c r="G33" s="24">
        <v>9.0</v>
      </c>
      <c r="H33" s="24" t="s">
        <v>90</v>
      </c>
      <c r="I33" s="24">
        <v>0.0</v>
      </c>
      <c r="J33" s="26" t="s">
        <v>303</v>
      </c>
    </row>
    <row r="34">
      <c r="A34" s="27" t="s">
        <v>304</v>
      </c>
      <c r="B34" s="27">
        <v>30.0</v>
      </c>
      <c r="C34" s="15" t="s">
        <v>15</v>
      </c>
      <c r="D34" s="15" t="s">
        <v>305</v>
      </c>
      <c r="E34" s="15">
        <v>73.0</v>
      </c>
      <c r="F34" s="15" t="s">
        <v>306</v>
      </c>
      <c r="G34" s="15"/>
      <c r="H34" s="15"/>
      <c r="I34" s="15"/>
      <c r="J34" s="15"/>
    </row>
    <row r="35">
      <c r="A35" s="14" t="s">
        <v>91</v>
      </c>
      <c r="B35" s="14">
        <v>10.0</v>
      </c>
      <c r="C35" s="14" t="s">
        <v>29</v>
      </c>
      <c r="D35" s="14" t="s">
        <v>92</v>
      </c>
      <c r="E35" s="14">
        <v>74.0</v>
      </c>
      <c r="F35" s="20" t="s">
        <v>93</v>
      </c>
      <c r="G35" s="14">
        <v>0.0</v>
      </c>
      <c r="H35" s="14">
        <v>0.0</v>
      </c>
      <c r="I35" s="14">
        <v>1.0</v>
      </c>
      <c r="J35" s="14"/>
    </row>
    <row r="36">
      <c r="A36" s="14" t="s">
        <v>95</v>
      </c>
      <c r="B36" s="14">
        <v>6.0</v>
      </c>
      <c r="C36" s="14" t="s">
        <v>29</v>
      </c>
      <c r="D36" s="14" t="s">
        <v>96</v>
      </c>
      <c r="E36" s="14">
        <v>76.0</v>
      </c>
      <c r="F36" s="20" t="s">
        <v>97</v>
      </c>
      <c r="G36" s="14">
        <v>21.0</v>
      </c>
      <c r="H36" s="14" t="s">
        <v>98</v>
      </c>
      <c r="I36" s="14">
        <v>1.0</v>
      </c>
      <c r="J36" s="14"/>
    </row>
    <row r="37">
      <c r="A37" s="27" t="s">
        <v>307</v>
      </c>
      <c r="B37" s="27">
        <v>35.0</v>
      </c>
      <c r="C37" s="15" t="s">
        <v>15</v>
      </c>
      <c r="D37" s="15" t="s">
        <v>308</v>
      </c>
      <c r="E37" s="15">
        <v>94.0</v>
      </c>
      <c r="F37" s="15" t="s">
        <v>309</v>
      </c>
      <c r="G37" s="15"/>
      <c r="H37" s="15"/>
      <c r="I37" s="15"/>
      <c r="J37" s="22"/>
    </row>
    <row r="38">
      <c r="A38" s="14" t="s">
        <v>99</v>
      </c>
      <c r="B38" s="14">
        <v>10.0</v>
      </c>
      <c r="C38" s="14" t="s">
        <v>29</v>
      </c>
      <c r="D38" s="14" t="s">
        <v>100</v>
      </c>
      <c r="E38" s="14">
        <v>95.0</v>
      </c>
      <c r="F38" s="20" t="s">
        <v>101</v>
      </c>
      <c r="G38" s="14">
        <v>178.0</v>
      </c>
      <c r="H38" s="14" t="s">
        <v>98</v>
      </c>
      <c r="I38" s="14">
        <v>1.0</v>
      </c>
      <c r="J38" s="23"/>
    </row>
    <row r="39">
      <c r="A39" s="14" t="s">
        <v>102</v>
      </c>
      <c r="B39" s="14">
        <v>8.0</v>
      </c>
      <c r="C39" s="14" t="s">
        <v>29</v>
      </c>
      <c r="D39" s="14" t="s">
        <v>103</v>
      </c>
      <c r="E39" s="14">
        <v>96.0</v>
      </c>
      <c r="F39" s="20" t="s">
        <v>104</v>
      </c>
      <c r="G39" s="14">
        <v>8.0</v>
      </c>
      <c r="H39" s="14" t="s">
        <v>98</v>
      </c>
      <c r="I39" s="14">
        <v>1.0</v>
      </c>
      <c r="J39" s="23"/>
    </row>
    <row r="40">
      <c r="A40" s="28" t="s">
        <v>310</v>
      </c>
      <c r="B40" s="28">
        <v>31.0</v>
      </c>
      <c r="C40" s="15" t="s">
        <v>15</v>
      </c>
      <c r="D40" s="15" t="s">
        <v>311</v>
      </c>
      <c r="E40" s="15">
        <v>116.0</v>
      </c>
      <c r="F40" s="15" t="s">
        <v>312</v>
      </c>
      <c r="G40" s="15"/>
      <c r="H40" s="15"/>
      <c r="I40" s="15"/>
      <c r="J40" s="22"/>
    </row>
    <row r="41">
      <c r="A41" s="14" t="s">
        <v>105</v>
      </c>
      <c r="B41" s="14">
        <v>9.0</v>
      </c>
      <c r="C41" s="14" t="s">
        <v>15</v>
      </c>
      <c r="D41" s="14" t="s">
        <v>106</v>
      </c>
      <c r="E41" s="14">
        <v>117.0</v>
      </c>
      <c r="F41" s="20" t="s">
        <v>107</v>
      </c>
      <c r="G41" s="14">
        <v>0.0</v>
      </c>
      <c r="H41" s="14">
        <v>0.0</v>
      </c>
      <c r="I41" s="14">
        <v>1.0</v>
      </c>
      <c r="J41" s="23"/>
    </row>
    <row r="42">
      <c r="A42" s="21" t="s">
        <v>313</v>
      </c>
      <c r="B42" s="15">
        <v>50.0</v>
      </c>
      <c r="C42" s="15" t="s">
        <v>15</v>
      </c>
      <c r="D42" s="15" t="s">
        <v>314</v>
      </c>
      <c r="E42" s="15">
        <v>130.0</v>
      </c>
      <c r="F42" s="15" t="s">
        <v>315</v>
      </c>
      <c r="G42" s="15"/>
      <c r="H42" s="15"/>
      <c r="I42" s="15"/>
      <c r="J42" s="22"/>
    </row>
    <row r="43">
      <c r="A43" s="14" t="s">
        <v>108</v>
      </c>
      <c r="B43" s="14">
        <v>9.0</v>
      </c>
      <c r="C43" s="14" t="s">
        <v>29</v>
      </c>
      <c r="D43" s="14" t="s">
        <v>109</v>
      </c>
      <c r="E43" s="14">
        <v>131.0</v>
      </c>
      <c r="F43" s="20" t="s">
        <v>110</v>
      </c>
      <c r="G43" s="14">
        <v>0.0</v>
      </c>
      <c r="H43" s="14">
        <v>0.0</v>
      </c>
      <c r="I43" s="14">
        <v>1.0</v>
      </c>
      <c r="J43" s="23"/>
    </row>
    <row r="44">
      <c r="A44" s="24" t="s">
        <v>111</v>
      </c>
      <c r="B44" s="24">
        <v>11.0</v>
      </c>
      <c r="C44" s="24" t="s">
        <v>15</v>
      </c>
      <c r="D44" s="24" t="s">
        <v>112</v>
      </c>
      <c r="E44" s="24">
        <v>108.0</v>
      </c>
      <c r="F44" s="29" t="s">
        <v>113</v>
      </c>
      <c r="G44" s="24">
        <v>209.0</v>
      </c>
      <c r="H44" s="24" t="s">
        <v>98</v>
      </c>
      <c r="I44" s="24">
        <v>1.0</v>
      </c>
      <c r="J44" s="24" t="s">
        <v>316</v>
      </c>
    </row>
    <row r="45">
      <c r="A45" s="24" t="s">
        <v>115</v>
      </c>
      <c r="B45" s="24">
        <v>9.0</v>
      </c>
      <c r="C45" s="24" t="s">
        <v>15</v>
      </c>
      <c r="D45" s="24" t="s">
        <v>116</v>
      </c>
      <c r="E45" s="24">
        <v>109.0</v>
      </c>
      <c r="F45" s="25" t="s">
        <v>117</v>
      </c>
      <c r="G45" s="24">
        <v>215.0</v>
      </c>
      <c r="H45" s="24" t="s">
        <v>98</v>
      </c>
      <c r="I45" s="24">
        <v>1.0</v>
      </c>
      <c r="J45" s="24" t="s">
        <v>303</v>
      </c>
    </row>
    <row r="46">
      <c r="A46" s="24" t="s">
        <v>122</v>
      </c>
      <c r="B46" s="24">
        <v>8.0</v>
      </c>
      <c r="C46" s="24" t="s">
        <v>15</v>
      </c>
      <c r="D46" s="24" t="s">
        <v>123</v>
      </c>
      <c r="E46" s="24">
        <v>155.0</v>
      </c>
      <c r="F46" s="25" t="s">
        <v>124</v>
      </c>
      <c r="G46" s="24">
        <v>0.0</v>
      </c>
      <c r="H46" s="24">
        <v>0.0</v>
      </c>
      <c r="I46" s="24">
        <v>1.0</v>
      </c>
      <c r="J46" s="24" t="s">
        <v>303</v>
      </c>
    </row>
    <row r="47">
      <c r="A47" s="24" t="s">
        <v>125</v>
      </c>
      <c r="B47" s="24">
        <v>6.0</v>
      </c>
      <c r="C47" s="24" t="s">
        <v>15</v>
      </c>
      <c r="D47" s="24" t="s">
        <v>126</v>
      </c>
      <c r="E47" s="24">
        <v>154.0</v>
      </c>
      <c r="F47" s="29" t="s">
        <v>113</v>
      </c>
      <c r="G47" s="24">
        <v>0.0</v>
      </c>
      <c r="H47" s="24">
        <v>0.0</v>
      </c>
      <c r="I47" s="24">
        <v>1.0</v>
      </c>
      <c r="J47" s="24" t="s">
        <v>316</v>
      </c>
    </row>
    <row r="48">
      <c r="A48" s="21" t="s">
        <v>317</v>
      </c>
      <c r="B48" s="21">
        <v>35.0</v>
      </c>
      <c r="C48" s="15" t="s">
        <v>15</v>
      </c>
      <c r="D48" s="15" t="s">
        <v>318</v>
      </c>
      <c r="E48" s="15">
        <v>159.0</v>
      </c>
      <c r="F48" s="15" t="s">
        <v>319</v>
      </c>
      <c r="G48" s="15"/>
      <c r="H48" s="15"/>
      <c r="I48" s="15"/>
      <c r="J48" s="15"/>
    </row>
    <row r="49">
      <c r="A49" s="14" t="s">
        <v>127</v>
      </c>
      <c r="B49" s="14">
        <v>11.0</v>
      </c>
      <c r="C49" s="14" t="s">
        <v>29</v>
      </c>
      <c r="D49" s="14" t="s">
        <v>128</v>
      </c>
      <c r="E49" s="14">
        <v>161.0</v>
      </c>
      <c r="F49" s="20" t="s">
        <v>129</v>
      </c>
      <c r="G49" s="14">
        <v>0.0</v>
      </c>
      <c r="H49" s="14">
        <v>0.0</v>
      </c>
      <c r="I49" s="14">
        <v>1.0</v>
      </c>
      <c r="J49" s="14" t="s">
        <v>130</v>
      </c>
    </row>
    <row r="50">
      <c r="A50" s="21" t="s">
        <v>320</v>
      </c>
      <c r="B50" s="15">
        <v>24.0</v>
      </c>
      <c r="C50" s="15" t="s">
        <v>15</v>
      </c>
      <c r="D50" s="15" t="s">
        <v>321</v>
      </c>
      <c r="E50" s="15">
        <v>81.0</v>
      </c>
      <c r="F50" s="15" t="s">
        <v>322</v>
      </c>
      <c r="G50" s="15"/>
      <c r="H50" s="15"/>
      <c r="I50" s="15"/>
      <c r="J50" s="15" t="s">
        <v>323</v>
      </c>
    </row>
    <row r="51">
      <c r="A51" s="14" t="s">
        <v>131</v>
      </c>
      <c r="B51" s="14">
        <v>5.0</v>
      </c>
      <c r="C51" s="14" t="s">
        <v>15</v>
      </c>
      <c r="D51" s="14" t="s">
        <v>132</v>
      </c>
      <c r="E51" s="14">
        <v>82.0</v>
      </c>
      <c r="F51" s="20" t="s">
        <v>133</v>
      </c>
      <c r="G51" s="14">
        <v>24.0</v>
      </c>
      <c r="H51" s="14" t="s">
        <v>98</v>
      </c>
      <c r="I51" s="14">
        <v>1.0</v>
      </c>
      <c r="J51" s="14" t="s">
        <v>134</v>
      </c>
    </row>
    <row r="52">
      <c r="A52" s="21" t="s">
        <v>324</v>
      </c>
      <c r="B52" s="15">
        <v>40.0</v>
      </c>
      <c r="C52" s="15" t="s">
        <v>15</v>
      </c>
      <c r="D52" s="15" t="s">
        <v>325</v>
      </c>
      <c r="E52" s="15">
        <v>148.0</v>
      </c>
      <c r="F52" s="15" t="s">
        <v>326</v>
      </c>
      <c r="G52" s="15"/>
      <c r="H52" s="15"/>
      <c r="I52" s="15"/>
      <c r="J52" s="22"/>
    </row>
    <row r="53">
      <c r="A53" s="14" t="s">
        <v>135</v>
      </c>
      <c r="B53" s="14">
        <v>6.0</v>
      </c>
      <c r="C53" s="14" t="s">
        <v>15</v>
      </c>
      <c r="D53" s="14" t="s">
        <v>136</v>
      </c>
      <c r="E53" s="14">
        <v>151.0</v>
      </c>
      <c r="F53" s="20" t="s">
        <v>137</v>
      </c>
      <c r="G53" s="14">
        <v>96.0</v>
      </c>
      <c r="H53" s="14" t="s">
        <v>98</v>
      </c>
      <c r="I53" s="14">
        <v>1.0</v>
      </c>
      <c r="J53" s="23"/>
    </row>
    <row r="54">
      <c r="A54" s="21" t="s">
        <v>327</v>
      </c>
      <c r="B54" s="15">
        <v>29.0</v>
      </c>
      <c r="C54" s="15" t="s">
        <v>15</v>
      </c>
      <c r="D54" s="15" t="s">
        <v>328</v>
      </c>
      <c r="E54" s="15">
        <v>121.0</v>
      </c>
      <c r="F54" s="15" t="s">
        <v>329</v>
      </c>
      <c r="G54" s="15"/>
      <c r="H54" s="15"/>
      <c r="I54" s="15"/>
      <c r="J54" s="22"/>
    </row>
    <row r="55">
      <c r="A55" s="14" t="s">
        <v>138</v>
      </c>
      <c r="B55" s="14">
        <v>10.0</v>
      </c>
      <c r="C55" s="14" t="s">
        <v>15</v>
      </c>
      <c r="D55" s="14" t="s">
        <v>139</v>
      </c>
      <c r="E55" s="14">
        <v>124.0</v>
      </c>
      <c r="F55" s="29" t="s">
        <v>113</v>
      </c>
      <c r="G55" s="14">
        <v>30.0</v>
      </c>
      <c r="H55" s="14" t="s">
        <v>98</v>
      </c>
      <c r="I55" s="14">
        <v>1.0</v>
      </c>
      <c r="J55" s="14" t="s">
        <v>330</v>
      </c>
    </row>
    <row r="56">
      <c r="A56" s="14" t="s">
        <v>140</v>
      </c>
      <c r="B56" s="14">
        <v>9.0</v>
      </c>
      <c r="C56" s="14" t="s">
        <v>15</v>
      </c>
      <c r="D56" s="14" t="s">
        <v>141</v>
      </c>
      <c r="E56" s="14">
        <v>125.0</v>
      </c>
      <c r="F56" s="29" t="s">
        <v>113</v>
      </c>
      <c r="G56" s="14">
        <v>281.0</v>
      </c>
      <c r="H56" s="14" t="s">
        <v>98</v>
      </c>
      <c r="I56" s="14">
        <v>1.0</v>
      </c>
      <c r="J56" s="14" t="s">
        <v>330</v>
      </c>
    </row>
    <row r="57">
      <c r="A57" s="24" t="s">
        <v>145</v>
      </c>
      <c r="B57" s="24">
        <v>6.0</v>
      </c>
      <c r="C57" s="24" t="s">
        <v>29</v>
      </c>
      <c r="D57" s="24" t="s">
        <v>146</v>
      </c>
      <c r="E57" s="24">
        <v>114.0</v>
      </c>
      <c r="F57" s="25" t="s">
        <v>147</v>
      </c>
      <c r="G57" s="24">
        <v>58.0</v>
      </c>
      <c r="H57" s="24" t="s">
        <v>98</v>
      </c>
      <c r="I57" s="24">
        <v>1.0</v>
      </c>
      <c r="J57" s="24" t="s">
        <v>303</v>
      </c>
    </row>
    <row r="58">
      <c r="A58" s="15" t="s">
        <v>331</v>
      </c>
      <c r="B58" s="15" t="s">
        <v>18</v>
      </c>
      <c r="C58" s="15" t="s">
        <v>15</v>
      </c>
      <c r="D58" s="15" t="s">
        <v>332</v>
      </c>
      <c r="E58" s="30" t="s">
        <v>333</v>
      </c>
      <c r="F58" s="15" t="s">
        <v>334</v>
      </c>
      <c r="G58" s="15"/>
      <c r="H58" s="15"/>
      <c r="I58" s="15"/>
      <c r="J58" s="22"/>
    </row>
    <row r="59">
      <c r="A59" s="14" t="s">
        <v>152</v>
      </c>
      <c r="B59" s="14">
        <v>6.0</v>
      </c>
      <c r="C59" s="14" t="s">
        <v>15</v>
      </c>
      <c r="D59" s="14" t="s">
        <v>153</v>
      </c>
      <c r="E59" s="31" t="s">
        <v>154</v>
      </c>
      <c r="F59" s="14" t="s">
        <v>155</v>
      </c>
      <c r="G59" s="14">
        <v>0.0</v>
      </c>
      <c r="H59" s="14">
        <v>0.0</v>
      </c>
      <c r="I59" s="14">
        <v>1.0</v>
      </c>
      <c r="J59" s="23"/>
    </row>
    <row r="60">
      <c r="A60" s="15" t="s">
        <v>335</v>
      </c>
      <c r="B60" s="15" t="s">
        <v>18</v>
      </c>
      <c r="C60" s="15" t="s">
        <v>15</v>
      </c>
      <c r="D60" s="15" t="s">
        <v>336</v>
      </c>
      <c r="E60" s="30" t="s">
        <v>337</v>
      </c>
      <c r="F60" s="15" t="s">
        <v>338</v>
      </c>
      <c r="G60" s="15"/>
      <c r="H60" s="15"/>
      <c r="I60" s="15"/>
      <c r="J60" s="15"/>
    </row>
    <row r="61">
      <c r="A61" s="14" t="s">
        <v>156</v>
      </c>
      <c r="B61" s="14">
        <v>6.0</v>
      </c>
      <c r="C61" s="14" t="s">
        <v>15</v>
      </c>
      <c r="D61" s="14" t="s">
        <v>157</v>
      </c>
      <c r="E61" s="31" t="s">
        <v>158</v>
      </c>
      <c r="F61" s="14" t="s">
        <v>159</v>
      </c>
      <c r="G61" s="14">
        <v>0.0</v>
      </c>
      <c r="H61" s="14">
        <v>0.0</v>
      </c>
      <c r="I61" s="14">
        <v>1.0</v>
      </c>
      <c r="J61" s="14"/>
    </row>
    <row r="62">
      <c r="A62" s="24" t="s">
        <v>160</v>
      </c>
      <c r="B62" s="24">
        <v>7.0</v>
      </c>
      <c r="C62" s="24" t="s">
        <v>15</v>
      </c>
      <c r="D62" s="24" t="s">
        <v>161</v>
      </c>
      <c r="E62" s="32" t="s">
        <v>162</v>
      </c>
      <c r="F62" s="24" t="s">
        <v>163</v>
      </c>
      <c r="G62" s="24">
        <v>0.0</v>
      </c>
      <c r="H62" s="24">
        <v>0.0</v>
      </c>
      <c r="I62" s="24">
        <v>1.0</v>
      </c>
      <c r="J62" s="24" t="s">
        <v>303</v>
      </c>
    </row>
    <row r="63">
      <c r="A63" s="15" t="s">
        <v>339</v>
      </c>
      <c r="B63" s="15"/>
      <c r="C63" s="15" t="s">
        <v>15</v>
      </c>
      <c r="D63" s="15" t="s">
        <v>340</v>
      </c>
      <c r="E63" s="30" t="s">
        <v>341</v>
      </c>
      <c r="F63" s="15" t="s">
        <v>342</v>
      </c>
      <c r="G63" s="15"/>
      <c r="H63" s="15"/>
      <c r="I63" s="15"/>
      <c r="J63" s="24" t="s">
        <v>343</v>
      </c>
    </row>
    <row r="64">
      <c r="A64" s="14" t="s">
        <v>164</v>
      </c>
      <c r="B64" s="14">
        <v>9.0</v>
      </c>
      <c r="C64" s="14" t="s">
        <v>29</v>
      </c>
      <c r="D64" s="14" t="s">
        <v>165</v>
      </c>
      <c r="E64" s="16" t="s">
        <v>120</v>
      </c>
      <c r="F64" s="16" t="s">
        <v>120</v>
      </c>
      <c r="G64" s="14">
        <v>0.0</v>
      </c>
      <c r="H64" s="14">
        <v>0.0</v>
      </c>
      <c r="I64" s="14">
        <v>1.0</v>
      </c>
      <c r="J64" s="24" t="s">
        <v>344</v>
      </c>
    </row>
    <row r="65">
      <c r="A65" s="15" t="s">
        <v>345</v>
      </c>
      <c r="B65" s="15"/>
      <c r="C65" s="15" t="s">
        <v>15</v>
      </c>
      <c r="D65" s="15" t="s">
        <v>346</v>
      </c>
      <c r="E65" s="30" t="s">
        <v>347</v>
      </c>
      <c r="F65" s="15" t="s">
        <v>348</v>
      </c>
      <c r="G65" s="15"/>
      <c r="H65" s="15"/>
      <c r="I65" s="15"/>
      <c r="J65" s="22"/>
    </row>
    <row r="66">
      <c r="A66" s="14" t="s">
        <v>167</v>
      </c>
      <c r="B66" s="14">
        <v>9.0</v>
      </c>
      <c r="C66" s="14" t="s">
        <v>15</v>
      </c>
      <c r="D66" s="14" t="s">
        <v>168</v>
      </c>
      <c r="E66" s="31" t="s">
        <v>169</v>
      </c>
      <c r="F66" s="14" t="s">
        <v>170</v>
      </c>
      <c r="G66" s="14">
        <v>0.0</v>
      </c>
      <c r="H66" s="14">
        <v>0.0</v>
      </c>
      <c r="I66" s="14">
        <v>1.0</v>
      </c>
      <c r="J66" s="14" t="s">
        <v>349</v>
      </c>
    </row>
    <row r="67">
      <c r="A67" s="15" t="s">
        <v>350</v>
      </c>
      <c r="B67" s="15"/>
      <c r="C67" s="15" t="s">
        <v>15</v>
      </c>
      <c r="D67" s="15" t="s">
        <v>351</v>
      </c>
      <c r="E67" s="30" t="s">
        <v>352</v>
      </c>
      <c r="F67" s="15" t="s">
        <v>353</v>
      </c>
      <c r="G67" s="15"/>
      <c r="H67" s="15"/>
      <c r="I67" s="15"/>
      <c r="J67" s="22"/>
    </row>
    <row r="68">
      <c r="A68" s="14" t="s">
        <v>171</v>
      </c>
      <c r="B68" s="14">
        <v>8.0</v>
      </c>
      <c r="C68" s="14" t="s">
        <v>15</v>
      </c>
      <c r="D68" s="14" t="s">
        <v>172</v>
      </c>
      <c r="E68" s="31" t="s">
        <v>173</v>
      </c>
      <c r="F68" s="14" t="s">
        <v>174</v>
      </c>
      <c r="G68" s="14">
        <v>0.0</v>
      </c>
      <c r="H68" s="14">
        <v>0.0</v>
      </c>
      <c r="I68" s="14">
        <v>1.0</v>
      </c>
      <c r="J68" s="23"/>
    </row>
    <row r="69">
      <c r="A69" s="15" t="s">
        <v>354</v>
      </c>
      <c r="B69" s="15"/>
      <c r="C69" s="15" t="s">
        <v>15</v>
      </c>
      <c r="D69" s="15" t="s">
        <v>176</v>
      </c>
      <c r="E69" s="30" t="s">
        <v>355</v>
      </c>
      <c r="F69" s="15" t="s">
        <v>356</v>
      </c>
      <c r="G69" s="15"/>
      <c r="H69" s="15"/>
      <c r="I69" s="15"/>
      <c r="J69" s="22"/>
    </row>
    <row r="70">
      <c r="A70" s="14" t="s">
        <v>175</v>
      </c>
      <c r="B70" s="14">
        <v>10.0</v>
      </c>
      <c r="C70" s="14" t="s">
        <v>15</v>
      </c>
      <c r="D70" s="14" t="s">
        <v>176</v>
      </c>
      <c r="E70" s="31" t="s">
        <v>177</v>
      </c>
      <c r="F70" s="14" t="s">
        <v>178</v>
      </c>
      <c r="G70" s="14">
        <v>0.0</v>
      </c>
      <c r="H70" s="14">
        <v>0.0</v>
      </c>
      <c r="I70" s="14">
        <v>1.0</v>
      </c>
      <c r="J70" s="23"/>
    </row>
    <row r="71">
      <c r="A71" s="24" t="s">
        <v>357</v>
      </c>
      <c r="B71" s="24"/>
      <c r="C71" s="24" t="s">
        <v>15</v>
      </c>
      <c r="D71" s="24" t="s">
        <v>358</v>
      </c>
      <c r="E71" s="32" t="s">
        <v>359</v>
      </c>
      <c r="F71" s="24" t="s">
        <v>360</v>
      </c>
      <c r="G71" s="24"/>
      <c r="H71" s="24"/>
      <c r="I71" s="24"/>
      <c r="J71" s="24" t="s">
        <v>361</v>
      </c>
    </row>
    <row r="72">
      <c r="A72" s="15" t="s">
        <v>362</v>
      </c>
      <c r="B72" s="15"/>
      <c r="C72" s="15" t="s">
        <v>15</v>
      </c>
      <c r="D72" s="15" t="s">
        <v>363</v>
      </c>
      <c r="E72" s="30" t="s">
        <v>364</v>
      </c>
      <c r="F72" s="15" t="s">
        <v>365</v>
      </c>
      <c r="G72" s="15"/>
      <c r="H72" s="15"/>
      <c r="I72" s="15"/>
      <c r="J72" s="22"/>
    </row>
    <row r="73">
      <c r="A73" s="14" t="s">
        <v>182</v>
      </c>
      <c r="B73" s="14">
        <v>6.0</v>
      </c>
      <c r="C73" s="14" t="s">
        <v>29</v>
      </c>
      <c r="D73" s="14" t="s">
        <v>183</v>
      </c>
      <c r="E73" s="31" t="s">
        <v>184</v>
      </c>
      <c r="F73" s="14" t="s">
        <v>185</v>
      </c>
      <c r="G73" s="14">
        <v>0.0</v>
      </c>
      <c r="H73" s="14">
        <v>0.0</v>
      </c>
      <c r="I73" s="14">
        <v>1.0</v>
      </c>
      <c r="J73" s="23"/>
    </row>
    <row r="74">
      <c r="A74" s="15" t="s">
        <v>366</v>
      </c>
      <c r="B74" s="15"/>
      <c r="C74" s="15" t="s">
        <v>15</v>
      </c>
      <c r="D74" s="15" t="s">
        <v>367</v>
      </c>
      <c r="E74" s="30" t="s">
        <v>368</v>
      </c>
      <c r="F74" s="15" t="s">
        <v>369</v>
      </c>
      <c r="G74" s="15"/>
      <c r="H74" s="15"/>
      <c r="I74" s="15"/>
      <c r="J74" s="22"/>
    </row>
    <row r="75">
      <c r="A75" s="14" t="s">
        <v>186</v>
      </c>
      <c r="B75" s="14">
        <v>9.0</v>
      </c>
      <c r="C75" s="14" t="s">
        <v>15</v>
      </c>
      <c r="D75" s="14" t="s">
        <v>187</v>
      </c>
      <c r="E75" s="31" t="s">
        <v>188</v>
      </c>
      <c r="F75" s="14" t="s">
        <v>189</v>
      </c>
      <c r="G75" s="14">
        <v>0.0</v>
      </c>
      <c r="H75" s="14">
        <v>0.0</v>
      </c>
      <c r="I75" s="14">
        <v>1.0</v>
      </c>
      <c r="J75" s="23"/>
    </row>
    <row r="76">
      <c r="A76" s="14" t="s">
        <v>190</v>
      </c>
      <c r="B76" s="14">
        <v>6.0</v>
      </c>
      <c r="C76" s="14" t="s">
        <v>29</v>
      </c>
      <c r="D76" s="14" t="s">
        <v>191</v>
      </c>
      <c r="E76" s="31" t="s">
        <v>192</v>
      </c>
      <c r="F76" s="14" t="s">
        <v>193</v>
      </c>
      <c r="G76" s="14">
        <v>0.0</v>
      </c>
      <c r="H76" s="14">
        <v>0.0</v>
      </c>
      <c r="I76" s="14">
        <v>1.0</v>
      </c>
      <c r="J76" s="23"/>
    </row>
    <row r="77">
      <c r="A77" s="15" t="s">
        <v>370</v>
      </c>
      <c r="B77" s="15"/>
      <c r="C77" s="15" t="s">
        <v>15</v>
      </c>
      <c r="D77" s="15" t="s">
        <v>371</v>
      </c>
      <c r="E77" s="30" t="s">
        <v>372</v>
      </c>
      <c r="F77" s="15" t="s">
        <v>373</v>
      </c>
      <c r="G77" s="15"/>
      <c r="H77" s="15"/>
      <c r="I77" s="15"/>
      <c r="J77" s="15"/>
    </row>
    <row r="78">
      <c r="A78" s="14" t="s">
        <v>194</v>
      </c>
      <c r="B78" s="14">
        <v>9.0</v>
      </c>
      <c r="C78" s="14" t="s">
        <v>15</v>
      </c>
      <c r="D78" s="14" t="s">
        <v>195</v>
      </c>
      <c r="E78" s="31" t="s">
        <v>196</v>
      </c>
      <c r="F78" s="14" t="s">
        <v>197</v>
      </c>
      <c r="G78" s="14">
        <v>0.0</v>
      </c>
      <c r="H78" s="14">
        <v>0.0</v>
      </c>
      <c r="I78" s="14">
        <v>1.0</v>
      </c>
      <c r="J78" s="14"/>
    </row>
    <row r="79">
      <c r="A79" s="15" t="s">
        <v>374</v>
      </c>
      <c r="B79" s="15"/>
      <c r="C79" s="15" t="s">
        <v>15</v>
      </c>
      <c r="D79" s="15" t="s">
        <v>375</v>
      </c>
      <c r="E79" s="30" t="s">
        <v>376</v>
      </c>
      <c r="F79" s="15" t="s">
        <v>377</v>
      </c>
      <c r="G79" s="15"/>
      <c r="H79" s="15"/>
      <c r="I79" s="15"/>
      <c r="J79" s="15"/>
    </row>
    <row r="80">
      <c r="A80" s="14" t="s">
        <v>198</v>
      </c>
      <c r="B80" s="14">
        <v>5.0</v>
      </c>
      <c r="C80" s="14" t="s">
        <v>15</v>
      </c>
      <c r="D80" s="14" t="s">
        <v>199</v>
      </c>
      <c r="E80" s="31" t="s">
        <v>200</v>
      </c>
      <c r="F80" s="14" t="s">
        <v>201</v>
      </c>
      <c r="G80" s="14">
        <v>0.0</v>
      </c>
      <c r="H80" s="14">
        <v>0.0</v>
      </c>
      <c r="I80" s="14">
        <v>1.0</v>
      </c>
      <c r="J80" s="14"/>
    </row>
    <row r="81">
      <c r="A81" s="16" t="s">
        <v>378</v>
      </c>
      <c r="B81" s="15"/>
      <c r="C81" s="15" t="s">
        <v>15</v>
      </c>
      <c r="D81" s="15" t="s">
        <v>379</v>
      </c>
      <c r="E81" s="30" t="s">
        <v>380</v>
      </c>
      <c r="F81" s="15" t="s">
        <v>381</v>
      </c>
      <c r="G81" s="15"/>
      <c r="H81" s="15"/>
      <c r="I81" s="15"/>
      <c r="J81" s="16" t="s">
        <v>382</v>
      </c>
    </row>
    <row r="82">
      <c r="A82" s="16" t="s">
        <v>204</v>
      </c>
      <c r="B82" s="14">
        <v>9.0</v>
      </c>
      <c r="C82" s="14" t="s">
        <v>29</v>
      </c>
      <c r="D82" s="14" t="s">
        <v>205</v>
      </c>
      <c r="E82" s="31" t="s">
        <v>206</v>
      </c>
      <c r="F82" s="14" t="s">
        <v>207</v>
      </c>
      <c r="G82" s="14">
        <v>0.0</v>
      </c>
      <c r="H82" s="14">
        <v>0.0</v>
      </c>
      <c r="I82" s="14">
        <v>1.0</v>
      </c>
      <c r="J82" s="16" t="s">
        <v>383</v>
      </c>
    </row>
    <row r="83">
      <c r="A83" s="16" t="s">
        <v>208</v>
      </c>
      <c r="B83" s="14">
        <v>11.0</v>
      </c>
      <c r="C83" s="14" t="s">
        <v>29</v>
      </c>
      <c r="D83" s="14" t="s">
        <v>209</v>
      </c>
      <c r="E83" s="31" t="s">
        <v>210</v>
      </c>
      <c r="F83" s="14" t="s">
        <v>211</v>
      </c>
      <c r="G83" s="14">
        <v>0.0</v>
      </c>
      <c r="H83" s="14">
        <v>0.0</v>
      </c>
      <c r="I83" s="14">
        <v>1.0</v>
      </c>
      <c r="J83" s="16" t="s">
        <v>384</v>
      </c>
    </row>
    <row r="85">
      <c r="A85" s="1" t="s">
        <v>385</v>
      </c>
    </row>
    <row r="86">
      <c r="A86" s="1" t="s">
        <v>386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6.63"/>
    <col customWidth="1" min="7" max="7" width="26.25"/>
  </cols>
  <sheetData>
    <row r="1">
      <c r="A1" s="1" t="s">
        <v>387</v>
      </c>
      <c r="B1" s="1" t="s">
        <v>5</v>
      </c>
      <c r="D1" s="1"/>
    </row>
    <row r="2">
      <c r="A2" s="33">
        <v>100.0</v>
      </c>
      <c r="B2" s="1" t="s">
        <v>388</v>
      </c>
      <c r="C2" s="1" t="s">
        <v>389</v>
      </c>
      <c r="D2" s="1" t="s">
        <v>390</v>
      </c>
      <c r="E2" s="1" t="s">
        <v>391</v>
      </c>
      <c r="G2" s="34" t="s">
        <v>392</v>
      </c>
      <c r="H2" s="35">
        <v>100.0</v>
      </c>
      <c r="I2" s="36">
        <v>30.0</v>
      </c>
      <c r="J2" s="37" t="s">
        <v>29</v>
      </c>
      <c r="K2" s="34" t="s">
        <v>393</v>
      </c>
      <c r="L2" s="38" t="s">
        <v>394</v>
      </c>
      <c r="M2" s="36">
        <v>1.6</v>
      </c>
      <c r="N2" s="36">
        <v>71.1</v>
      </c>
      <c r="O2" s="39">
        <f>SUM(N2/(M2*M2))</f>
        <v>27.7734375</v>
      </c>
      <c r="P2" s="40">
        <v>0.0</v>
      </c>
      <c r="Q2" s="40">
        <v>0.0</v>
      </c>
      <c r="R2" s="40">
        <v>0.0</v>
      </c>
      <c r="S2" s="41">
        <v>0.0</v>
      </c>
      <c r="T2" s="42" t="s">
        <v>395</v>
      </c>
      <c r="U2" s="42" t="s">
        <v>395</v>
      </c>
      <c r="V2" s="41">
        <v>3.0</v>
      </c>
      <c r="W2" s="41">
        <v>4.0</v>
      </c>
      <c r="X2" s="34" t="s">
        <v>391</v>
      </c>
    </row>
    <row r="3">
      <c r="A3" s="1">
        <v>168.0</v>
      </c>
      <c r="B3" s="1" t="s">
        <v>396</v>
      </c>
      <c r="C3" s="1" t="s">
        <v>397</v>
      </c>
      <c r="D3" s="1" t="s">
        <v>390</v>
      </c>
      <c r="E3" s="1" t="s">
        <v>398</v>
      </c>
      <c r="G3" s="1" t="s">
        <v>399</v>
      </c>
      <c r="H3" s="1">
        <v>168.0</v>
      </c>
      <c r="I3" s="1">
        <v>17.0</v>
      </c>
      <c r="J3" s="1" t="s">
        <v>29</v>
      </c>
      <c r="K3" s="1" t="s">
        <v>393</v>
      </c>
      <c r="L3" s="1" t="s">
        <v>400</v>
      </c>
      <c r="M3" s="1">
        <v>165.8</v>
      </c>
      <c r="N3" s="1">
        <v>54.0</v>
      </c>
      <c r="P3" s="1">
        <v>0.0</v>
      </c>
      <c r="Q3" s="1">
        <v>0.0</v>
      </c>
      <c r="R3" s="1">
        <v>0.0</v>
      </c>
      <c r="S3" s="33"/>
      <c r="T3" s="1">
        <v>3.0</v>
      </c>
      <c r="U3" s="1">
        <v>4.0</v>
      </c>
      <c r="V3" s="1">
        <v>4.0</v>
      </c>
      <c r="W3" s="1">
        <v>2.0</v>
      </c>
      <c r="X3" s="1" t="s">
        <v>398</v>
      </c>
    </row>
    <row r="4">
      <c r="A4" s="33">
        <v>169.0</v>
      </c>
      <c r="B4" s="1" t="s">
        <v>401</v>
      </c>
      <c r="C4" s="1" t="s">
        <v>397</v>
      </c>
      <c r="D4" s="1" t="s">
        <v>390</v>
      </c>
      <c r="E4" s="1" t="s">
        <v>402</v>
      </c>
      <c r="G4" s="34" t="s">
        <v>403</v>
      </c>
      <c r="H4" s="43">
        <v>169.0</v>
      </c>
      <c r="I4" s="40">
        <v>32.0</v>
      </c>
      <c r="J4" s="38" t="s">
        <v>29</v>
      </c>
      <c r="K4" s="34" t="s">
        <v>393</v>
      </c>
      <c r="L4" s="38" t="s">
        <v>400</v>
      </c>
      <c r="M4" s="40">
        <v>1.61</v>
      </c>
      <c r="N4" s="40">
        <v>65.1</v>
      </c>
      <c r="O4" s="39">
        <f t="shared" ref="O4:O8" si="1">SUM(N4/(M4*M4))</f>
        <v>25.11477181</v>
      </c>
      <c r="P4" s="40">
        <v>0.0</v>
      </c>
      <c r="Q4" s="40">
        <v>0.0</v>
      </c>
      <c r="R4" s="40">
        <v>0.0</v>
      </c>
      <c r="S4" s="41">
        <v>5.0</v>
      </c>
      <c r="T4" s="41">
        <v>4.0</v>
      </c>
      <c r="U4" s="41">
        <v>3.0</v>
      </c>
      <c r="V4" s="41">
        <v>4.0</v>
      </c>
      <c r="W4" s="41">
        <v>3.0</v>
      </c>
      <c r="X4" s="34" t="s">
        <v>402</v>
      </c>
    </row>
    <row r="5">
      <c r="A5" s="33">
        <v>170.0</v>
      </c>
      <c r="B5" s="1" t="s">
        <v>404</v>
      </c>
      <c r="C5" s="1" t="s">
        <v>397</v>
      </c>
      <c r="D5" s="1" t="s">
        <v>390</v>
      </c>
      <c r="E5" s="1" t="s">
        <v>405</v>
      </c>
      <c r="G5" s="34" t="s">
        <v>406</v>
      </c>
      <c r="H5" s="44">
        <v>170.0</v>
      </c>
      <c r="I5" s="36">
        <v>27.0</v>
      </c>
      <c r="J5" s="38" t="s">
        <v>29</v>
      </c>
      <c r="K5" s="34" t="s">
        <v>393</v>
      </c>
      <c r="L5" s="38" t="s">
        <v>400</v>
      </c>
      <c r="M5" s="40">
        <v>1.65</v>
      </c>
      <c r="N5" s="40">
        <v>78.2</v>
      </c>
      <c r="O5" s="39">
        <f t="shared" si="1"/>
        <v>28.72359963</v>
      </c>
      <c r="P5" s="40">
        <v>0.0</v>
      </c>
      <c r="Q5" s="40">
        <v>0.0</v>
      </c>
      <c r="R5" s="40">
        <v>0.0</v>
      </c>
      <c r="S5" s="41">
        <v>0.0</v>
      </c>
      <c r="T5" s="41">
        <v>3.0</v>
      </c>
      <c r="U5" s="41">
        <v>3.0</v>
      </c>
      <c r="V5" s="41">
        <v>3.0</v>
      </c>
      <c r="W5" s="41">
        <v>3.0</v>
      </c>
      <c r="X5" s="34" t="s">
        <v>405</v>
      </c>
    </row>
    <row r="6">
      <c r="A6" s="33">
        <v>171.0</v>
      </c>
      <c r="B6" s="1" t="s">
        <v>407</v>
      </c>
      <c r="C6" s="1" t="s">
        <v>397</v>
      </c>
      <c r="D6" s="1" t="s">
        <v>390</v>
      </c>
      <c r="E6" s="1" t="s">
        <v>408</v>
      </c>
      <c r="G6" s="34" t="s">
        <v>409</v>
      </c>
      <c r="H6" s="44">
        <v>171.0</v>
      </c>
      <c r="I6" s="36">
        <v>19.0</v>
      </c>
      <c r="J6" s="38" t="s">
        <v>29</v>
      </c>
      <c r="K6" s="34" t="s">
        <v>393</v>
      </c>
      <c r="L6" s="38" t="s">
        <v>400</v>
      </c>
      <c r="M6" s="40">
        <v>1.61</v>
      </c>
      <c r="N6" s="40">
        <v>56.4</v>
      </c>
      <c r="O6" s="39">
        <f t="shared" si="1"/>
        <v>21.75841981</v>
      </c>
      <c r="P6" s="40">
        <v>0.0</v>
      </c>
      <c r="Q6" s="40">
        <v>0.0</v>
      </c>
      <c r="R6" s="40">
        <v>0.0</v>
      </c>
      <c r="S6" s="41">
        <v>690.0</v>
      </c>
      <c r="T6" s="41">
        <v>4.0</v>
      </c>
      <c r="U6" s="41">
        <v>2.0</v>
      </c>
      <c r="V6" s="41">
        <v>4.0</v>
      </c>
      <c r="W6" s="41">
        <v>2.0</v>
      </c>
      <c r="X6" s="34" t="s">
        <v>408</v>
      </c>
      <c r="Y6" s="45" t="s">
        <v>410</v>
      </c>
    </row>
    <row r="7">
      <c r="A7" s="33">
        <v>172.0</v>
      </c>
      <c r="B7" s="1" t="s">
        <v>411</v>
      </c>
      <c r="C7" s="1" t="s">
        <v>397</v>
      </c>
      <c r="D7" s="1" t="s">
        <v>390</v>
      </c>
      <c r="E7" s="1" t="s">
        <v>412</v>
      </c>
      <c r="G7" s="34" t="s">
        <v>413</v>
      </c>
      <c r="H7" s="43">
        <v>172.0</v>
      </c>
      <c r="I7" s="36">
        <v>32.0</v>
      </c>
      <c r="J7" s="38" t="s">
        <v>29</v>
      </c>
      <c r="K7" s="34" t="s">
        <v>393</v>
      </c>
      <c r="L7" s="38" t="s">
        <v>400</v>
      </c>
      <c r="M7" s="40">
        <v>1.67</v>
      </c>
      <c r="N7" s="40">
        <v>71.9</v>
      </c>
      <c r="O7" s="39">
        <f t="shared" si="1"/>
        <v>25.78077378</v>
      </c>
      <c r="P7" s="40">
        <v>0.0</v>
      </c>
      <c r="Q7" s="40">
        <v>0.0</v>
      </c>
      <c r="R7" s="40">
        <v>0.0</v>
      </c>
      <c r="S7" s="41">
        <v>0.0</v>
      </c>
      <c r="T7" s="41">
        <v>3.0</v>
      </c>
      <c r="U7" s="41">
        <v>3.0</v>
      </c>
      <c r="V7" s="41">
        <v>3.0</v>
      </c>
      <c r="W7" s="41">
        <v>2.0</v>
      </c>
      <c r="X7" s="34" t="s">
        <v>412</v>
      </c>
    </row>
    <row r="8">
      <c r="A8" s="33">
        <v>173.0</v>
      </c>
      <c r="B8" s="1" t="s">
        <v>414</v>
      </c>
      <c r="C8" s="1" t="s">
        <v>397</v>
      </c>
      <c r="D8" s="1" t="s">
        <v>390</v>
      </c>
      <c r="E8" s="1" t="s">
        <v>415</v>
      </c>
      <c r="G8" s="34" t="s">
        <v>416</v>
      </c>
      <c r="H8" s="43">
        <v>173.0</v>
      </c>
      <c r="I8" s="36">
        <v>29.0</v>
      </c>
      <c r="J8" s="38" t="s">
        <v>29</v>
      </c>
      <c r="K8" s="34" t="s">
        <v>393</v>
      </c>
      <c r="L8" s="38" t="s">
        <v>400</v>
      </c>
      <c r="M8" s="40">
        <v>1.7</v>
      </c>
      <c r="N8" s="40">
        <v>82.3</v>
      </c>
      <c r="O8" s="39">
        <f t="shared" si="1"/>
        <v>28.47750865</v>
      </c>
      <c r="P8" s="40">
        <v>0.0</v>
      </c>
      <c r="Q8" s="40">
        <v>0.0</v>
      </c>
      <c r="R8" s="40">
        <v>0.0</v>
      </c>
      <c r="S8" s="41">
        <v>20.0</v>
      </c>
      <c r="T8" s="41">
        <v>4.0</v>
      </c>
      <c r="U8" s="41">
        <v>3.0</v>
      </c>
      <c r="V8" s="41">
        <v>4.0</v>
      </c>
      <c r="W8" s="41">
        <v>4.0</v>
      </c>
      <c r="X8" s="34" t="s">
        <v>415</v>
      </c>
    </row>
    <row r="9">
      <c r="A9" s="1">
        <v>174.0</v>
      </c>
      <c r="B9" s="1" t="s">
        <v>417</v>
      </c>
      <c r="C9" s="1" t="s">
        <v>397</v>
      </c>
      <c r="D9" s="1" t="s">
        <v>390</v>
      </c>
      <c r="E9" s="1" t="s">
        <v>418</v>
      </c>
      <c r="G9" s="1" t="s">
        <v>419</v>
      </c>
      <c r="H9" s="1">
        <v>174.0</v>
      </c>
      <c r="I9" s="1">
        <v>33.0</v>
      </c>
      <c r="J9" s="1" t="s">
        <v>29</v>
      </c>
      <c r="K9" s="1" t="s">
        <v>393</v>
      </c>
      <c r="L9" s="1" t="s">
        <v>400</v>
      </c>
      <c r="M9" s="1">
        <v>1.64</v>
      </c>
      <c r="N9" s="1">
        <v>65.0</v>
      </c>
      <c r="P9" s="1">
        <v>0.0</v>
      </c>
      <c r="Q9" s="1">
        <v>0.0</v>
      </c>
      <c r="R9" s="1">
        <v>0.0</v>
      </c>
      <c r="S9" s="46"/>
      <c r="T9" s="1">
        <v>4.0</v>
      </c>
      <c r="U9" s="1">
        <v>3.0</v>
      </c>
      <c r="V9" s="1">
        <v>3.0</v>
      </c>
      <c r="W9" s="1">
        <v>2.0</v>
      </c>
      <c r="X9" s="1" t="s">
        <v>418</v>
      </c>
    </row>
    <row r="10">
      <c r="A10" s="33">
        <v>176.0</v>
      </c>
      <c r="B10" s="1" t="s">
        <v>420</v>
      </c>
      <c r="C10" s="1" t="s">
        <v>397</v>
      </c>
      <c r="D10" s="1" t="s">
        <v>390</v>
      </c>
      <c r="E10" s="1" t="s">
        <v>421</v>
      </c>
      <c r="G10" s="34" t="s">
        <v>422</v>
      </c>
      <c r="H10" s="44">
        <v>176.0</v>
      </c>
      <c r="I10" s="36">
        <v>23.0</v>
      </c>
      <c r="J10" s="37" t="s">
        <v>29</v>
      </c>
      <c r="K10" s="34" t="s">
        <v>393</v>
      </c>
      <c r="L10" s="38" t="s">
        <v>400</v>
      </c>
      <c r="M10" s="40">
        <v>1.56</v>
      </c>
      <c r="N10" s="40">
        <v>61.1</v>
      </c>
      <c r="O10" s="39">
        <f t="shared" ref="O10:O20" si="2">SUM(N10/(M10*M10))</f>
        <v>25.10683761</v>
      </c>
      <c r="P10" s="40">
        <v>0.0</v>
      </c>
      <c r="Q10" s="40">
        <v>0.0</v>
      </c>
      <c r="R10" s="40">
        <v>0.0</v>
      </c>
      <c r="S10" s="41">
        <v>0.0</v>
      </c>
      <c r="T10" s="41">
        <v>4.0</v>
      </c>
      <c r="U10" s="41">
        <v>3.0</v>
      </c>
      <c r="V10" s="41">
        <v>2.0</v>
      </c>
      <c r="W10" s="41">
        <v>3.0</v>
      </c>
      <c r="X10" s="34" t="s">
        <v>421</v>
      </c>
    </row>
    <row r="11">
      <c r="A11" s="33">
        <v>177.0</v>
      </c>
      <c r="B11" s="1" t="s">
        <v>423</v>
      </c>
      <c r="C11" s="1" t="s">
        <v>397</v>
      </c>
      <c r="D11" s="1" t="s">
        <v>390</v>
      </c>
      <c r="E11" s="1" t="s">
        <v>424</v>
      </c>
      <c r="G11" s="34" t="s">
        <v>425</v>
      </c>
      <c r="H11" s="43">
        <v>177.0</v>
      </c>
      <c r="I11" s="36">
        <v>25.0</v>
      </c>
      <c r="J11" s="37" t="s">
        <v>29</v>
      </c>
      <c r="K11" s="34" t="s">
        <v>393</v>
      </c>
      <c r="L11" s="38" t="s">
        <v>400</v>
      </c>
      <c r="M11" s="40">
        <v>1.62</v>
      </c>
      <c r="N11" s="40">
        <v>61.9</v>
      </c>
      <c r="O11" s="39">
        <f t="shared" si="2"/>
        <v>23.58634355</v>
      </c>
      <c r="P11" s="40">
        <v>0.0</v>
      </c>
      <c r="Q11" s="40">
        <v>0.0</v>
      </c>
      <c r="R11" s="40">
        <v>0.0</v>
      </c>
      <c r="S11" s="41">
        <v>1440.0</v>
      </c>
      <c r="T11" s="41">
        <v>3.0</v>
      </c>
      <c r="U11" s="41">
        <v>3.0</v>
      </c>
      <c r="V11" s="41">
        <v>3.0</v>
      </c>
      <c r="W11" s="41">
        <v>2.0</v>
      </c>
      <c r="X11" s="34" t="s">
        <v>424</v>
      </c>
    </row>
    <row r="12">
      <c r="A12" s="33">
        <v>178.0</v>
      </c>
      <c r="B12" s="1" t="s">
        <v>426</v>
      </c>
      <c r="C12" s="1" t="s">
        <v>397</v>
      </c>
      <c r="D12" s="1" t="s">
        <v>390</v>
      </c>
      <c r="E12" s="1" t="s">
        <v>427</v>
      </c>
      <c r="G12" s="34" t="s">
        <v>428</v>
      </c>
      <c r="H12" s="44">
        <v>178.0</v>
      </c>
      <c r="I12" s="36">
        <v>40.0</v>
      </c>
      <c r="J12" s="37" t="s">
        <v>29</v>
      </c>
      <c r="K12" s="34" t="s">
        <v>393</v>
      </c>
      <c r="L12" s="38" t="s">
        <v>394</v>
      </c>
      <c r="M12" s="36">
        <v>1.54</v>
      </c>
      <c r="N12" s="36">
        <v>63.0</v>
      </c>
      <c r="O12" s="39">
        <f t="shared" si="2"/>
        <v>26.56434475</v>
      </c>
      <c r="P12" s="40">
        <v>0.0</v>
      </c>
      <c r="Q12" s="40">
        <v>0.0</v>
      </c>
      <c r="R12" s="40">
        <v>0.0</v>
      </c>
      <c r="S12" s="41">
        <v>5.0</v>
      </c>
      <c r="T12" s="41">
        <v>3.0</v>
      </c>
      <c r="U12" s="41">
        <v>4.0</v>
      </c>
      <c r="V12" s="41">
        <v>2.0</v>
      </c>
      <c r="W12" s="41">
        <v>3.0</v>
      </c>
      <c r="X12" s="34" t="s">
        <v>427</v>
      </c>
    </row>
    <row r="13">
      <c r="A13" s="33">
        <v>179.0</v>
      </c>
      <c r="B13" s="1" t="s">
        <v>429</v>
      </c>
      <c r="C13" s="1" t="s">
        <v>397</v>
      </c>
      <c r="D13" s="1" t="s">
        <v>390</v>
      </c>
      <c r="E13" s="1" t="s">
        <v>430</v>
      </c>
      <c r="G13" s="34" t="s">
        <v>431</v>
      </c>
      <c r="H13" s="35">
        <v>179.0</v>
      </c>
      <c r="I13" s="36">
        <v>42.0</v>
      </c>
      <c r="J13" s="37" t="s">
        <v>29</v>
      </c>
      <c r="K13" s="34" t="s">
        <v>393</v>
      </c>
      <c r="L13" s="38" t="s">
        <v>394</v>
      </c>
      <c r="M13" s="40">
        <v>1.62</v>
      </c>
      <c r="N13" s="40">
        <v>56.6</v>
      </c>
      <c r="O13" s="39">
        <f t="shared" si="2"/>
        <v>21.56683432</v>
      </c>
      <c r="P13" s="40">
        <v>0.0</v>
      </c>
      <c r="Q13" s="40">
        <v>0.0</v>
      </c>
      <c r="R13" s="40">
        <v>0.0</v>
      </c>
      <c r="S13" s="41">
        <v>0.0</v>
      </c>
      <c r="T13" s="42">
        <v>0.0</v>
      </c>
      <c r="U13" s="42">
        <v>0.0</v>
      </c>
      <c r="V13" s="42">
        <v>0.0</v>
      </c>
      <c r="W13" s="42">
        <v>0.0</v>
      </c>
      <c r="X13" s="34" t="s">
        <v>430</v>
      </c>
    </row>
    <row r="14">
      <c r="A14" s="33">
        <v>180.0</v>
      </c>
      <c r="B14" s="1" t="s">
        <v>432</v>
      </c>
      <c r="C14" s="1" t="s">
        <v>397</v>
      </c>
      <c r="D14" s="1" t="s">
        <v>390</v>
      </c>
      <c r="E14" s="1" t="s">
        <v>433</v>
      </c>
      <c r="G14" s="34" t="s">
        <v>434</v>
      </c>
      <c r="H14" s="35">
        <v>180.0</v>
      </c>
      <c r="I14" s="36">
        <v>37.0</v>
      </c>
      <c r="J14" s="37" t="s">
        <v>29</v>
      </c>
      <c r="K14" s="34" t="s">
        <v>393</v>
      </c>
      <c r="L14" s="38" t="s">
        <v>394</v>
      </c>
      <c r="M14" s="36">
        <v>1.57</v>
      </c>
      <c r="N14" s="36">
        <v>62.7</v>
      </c>
      <c r="O14" s="39">
        <f t="shared" si="2"/>
        <v>25.43713741</v>
      </c>
      <c r="P14" s="40">
        <v>0.0</v>
      </c>
      <c r="Q14" s="40">
        <v>0.0</v>
      </c>
      <c r="R14" s="40">
        <v>0.0</v>
      </c>
      <c r="S14" s="41">
        <v>0.0</v>
      </c>
      <c r="T14" s="42" t="s">
        <v>395</v>
      </c>
      <c r="U14" s="42" t="s">
        <v>395</v>
      </c>
      <c r="V14" s="42" t="s">
        <v>395</v>
      </c>
      <c r="W14" s="42" t="s">
        <v>395</v>
      </c>
      <c r="X14" s="34" t="s">
        <v>433</v>
      </c>
    </row>
    <row r="15">
      <c r="A15" s="33">
        <v>181.0</v>
      </c>
      <c r="B15" s="1" t="s">
        <v>435</v>
      </c>
      <c r="C15" s="1" t="s">
        <v>397</v>
      </c>
      <c r="D15" s="1" t="s">
        <v>390</v>
      </c>
      <c r="E15" s="1" t="s">
        <v>436</v>
      </c>
      <c r="G15" s="34" t="s">
        <v>437</v>
      </c>
      <c r="H15" s="35">
        <v>181.0</v>
      </c>
      <c r="I15" s="36">
        <v>47.0</v>
      </c>
      <c r="J15" s="37" t="s">
        <v>29</v>
      </c>
      <c r="K15" s="34" t="s">
        <v>393</v>
      </c>
      <c r="L15" s="38" t="s">
        <v>394</v>
      </c>
      <c r="M15" s="36">
        <v>1.57</v>
      </c>
      <c r="N15" s="36">
        <v>56.3</v>
      </c>
      <c r="O15" s="39">
        <f t="shared" si="2"/>
        <v>22.84068319</v>
      </c>
      <c r="P15" s="40">
        <v>0.0</v>
      </c>
      <c r="Q15" s="40">
        <v>0.0</v>
      </c>
      <c r="R15" s="40">
        <v>0.0</v>
      </c>
      <c r="S15" s="41">
        <v>0.0</v>
      </c>
      <c r="T15" s="42" t="s">
        <v>395</v>
      </c>
      <c r="U15" s="42" t="s">
        <v>395</v>
      </c>
      <c r="V15" s="42" t="s">
        <v>395</v>
      </c>
      <c r="W15" s="42" t="s">
        <v>395</v>
      </c>
      <c r="X15" s="34" t="s">
        <v>436</v>
      </c>
    </row>
    <row r="16">
      <c r="A16" s="33">
        <v>182.0</v>
      </c>
      <c r="B16" s="1" t="s">
        <v>438</v>
      </c>
      <c r="C16" s="1" t="s">
        <v>397</v>
      </c>
      <c r="D16" s="1" t="s">
        <v>390</v>
      </c>
      <c r="E16" s="1" t="s">
        <v>439</v>
      </c>
      <c r="G16" s="34" t="s">
        <v>440</v>
      </c>
      <c r="H16" s="47">
        <v>182.0</v>
      </c>
      <c r="I16" s="36">
        <v>28.0</v>
      </c>
      <c r="J16" s="37" t="s">
        <v>29</v>
      </c>
      <c r="K16" s="34" t="s">
        <v>393</v>
      </c>
      <c r="L16" s="38" t="s">
        <v>394</v>
      </c>
      <c r="M16" s="36">
        <v>1.63</v>
      </c>
      <c r="N16" s="36">
        <v>66.3</v>
      </c>
      <c r="O16" s="39">
        <f t="shared" si="2"/>
        <v>24.95389364</v>
      </c>
      <c r="P16" s="40">
        <v>0.0</v>
      </c>
      <c r="Q16" s="40">
        <v>0.0</v>
      </c>
      <c r="R16" s="40">
        <v>0.0</v>
      </c>
      <c r="S16" s="41">
        <v>110.0</v>
      </c>
      <c r="T16" s="42" t="s">
        <v>395</v>
      </c>
      <c r="U16" s="42" t="s">
        <v>395</v>
      </c>
      <c r="V16" s="41">
        <v>5.0</v>
      </c>
      <c r="W16" s="41">
        <v>4.0</v>
      </c>
      <c r="X16" s="34" t="s">
        <v>439</v>
      </c>
    </row>
    <row r="17">
      <c r="A17" s="33">
        <v>184.0</v>
      </c>
      <c r="B17" s="1" t="s">
        <v>441</v>
      </c>
      <c r="C17" s="1" t="s">
        <v>397</v>
      </c>
      <c r="D17" s="1" t="s">
        <v>390</v>
      </c>
      <c r="E17" s="1" t="s">
        <v>442</v>
      </c>
      <c r="G17" s="34" t="s">
        <v>443</v>
      </c>
      <c r="H17" s="35">
        <v>184.0</v>
      </c>
      <c r="I17" s="36">
        <v>30.0</v>
      </c>
      <c r="J17" s="37" t="s">
        <v>29</v>
      </c>
      <c r="K17" s="34" t="s">
        <v>393</v>
      </c>
      <c r="L17" s="38" t="s">
        <v>394</v>
      </c>
      <c r="M17" s="36">
        <v>1.58</v>
      </c>
      <c r="N17" s="36">
        <v>72.7</v>
      </c>
      <c r="O17" s="39">
        <f t="shared" si="2"/>
        <v>29.12193559</v>
      </c>
      <c r="P17" s="40">
        <v>0.0</v>
      </c>
      <c r="Q17" s="40">
        <v>0.0</v>
      </c>
      <c r="R17" s="40">
        <v>0.0</v>
      </c>
      <c r="S17" s="41">
        <v>85.0</v>
      </c>
      <c r="T17" s="42" t="s">
        <v>395</v>
      </c>
      <c r="U17" s="42" t="s">
        <v>395</v>
      </c>
      <c r="V17" s="41">
        <v>3.0</v>
      </c>
      <c r="W17" s="41">
        <v>4.0</v>
      </c>
      <c r="X17" s="34" t="s">
        <v>442</v>
      </c>
    </row>
    <row r="18">
      <c r="A18" s="33">
        <v>185.0</v>
      </c>
      <c r="B18" s="1" t="s">
        <v>444</v>
      </c>
      <c r="C18" s="1" t="s">
        <v>397</v>
      </c>
      <c r="D18" s="1" t="s">
        <v>390</v>
      </c>
      <c r="E18" s="1" t="s">
        <v>445</v>
      </c>
      <c r="G18" s="34" t="s">
        <v>446</v>
      </c>
      <c r="H18" s="35">
        <v>185.0</v>
      </c>
      <c r="I18" s="36">
        <v>42.0</v>
      </c>
      <c r="J18" s="37" t="s">
        <v>29</v>
      </c>
      <c r="K18" s="34" t="s">
        <v>393</v>
      </c>
      <c r="L18" s="38" t="s">
        <v>394</v>
      </c>
      <c r="M18" s="36">
        <v>1.68</v>
      </c>
      <c r="N18" s="36">
        <v>72.6</v>
      </c>
      <c r="O18" s="39">
        <f t="shared" si="2"/>
        <v>25.72278912</v>
      </c>
      <c r="P18" s="40">
        <v>0.0</v>
      </c>
      <c r="Q18" s="40">
        <v>0.0</v>
      </c>
      <c r="R18" s="40">
        <v>0.0</v>
      </c>
      <c r="S18" s="41">
        <v>0.0</v>
      </c>
      <c r="T18" s="42" t="s">
        <v>395</v>
      </c>
      <c r="U18" s="42" t="s">
        <v>395</v>
      </c>
      <c r="V18" s="41">
        <v>4.0</v>
      </c>
      <c r="W18" s="41">
        <v>3.0</v>
      </c>
      <c r="X18" s="34" t="s">
        <v>445</v>
      </c>
    </row>
    <row r="19">
      <c r="A19" s="33">
        <v>186.0</v>
      </c>
      <c r="B19" s="1" t="s">
        <v>447</v>
      </c>
      <c r="C19" s="1" t="s">
        <v>397</v>
      </c>
      <c r="D19" s="1" t="s">
        <v>390</v>
      </c>
      <c r="E19" s="1" t="s">
        <v>448</v>
      </c>
      <c r="G19" s="34" t="s">
        <v>449</v>
      </c>
      <c r="H19" s="35">
        <v>186.0</v>
      </c>
      <c r="I19" s="36">
        <v>26.0</v>
      </c>
      <c r="J19" s="37" t="s">
        <v>29</v>
      </c>
      <c r="K19" s="34" t="s">
        <v>393</v>
      </c>
      <c r="L19" s="38" t="s">
        <v>394</v>
      </c>
      <c r="M19" s="36">
        <v>1.67</v>
      </c>
      <c r="N19" s="36">
        <v>59.2</v>
      </c>
      <c r="O19" s="39">
        <f t="shared" si="2"/>
        <v>21.22700706</v>
      </c>
      <c r="P19" s="40">
        <v>0.0</v>
      </c>
      <c r="Q19" s="40">
        <v>0.0</v>
      </c>
      <c r="R19" s="40">
        <v>0.0</v>
      </c>
      <c r="S19" s="41">
        <v>0.0</v>
      </c>
      <c r="T19" s="42" t="s">
        <v>395</v>
      </c>
      <c r="U19" s="42" t="s">
        <v>395</v>
      </c>
      <c r="V19" s="42" t="s">
        <v>395</v>
      </c>
      <c r="W19" s="42" t="s">
        <v>395</v>
      </c>
      <c r="X19" s="34" t="s">
        <v>448</v>
      </c>
    </row>
    <row r="20">
      <c r="A20" s="33">
        <v>187.0</v>
      </c>
      <c r="B20" s="1" t="s">
        <v>450</v>
      </c>
      <c r="C20" s="1" t="s">
        <v>397</v>
      </c>
      <c r="D20" s="1" t="s">
        <v>390</v>
      </c>
      <c r="E20" s="1" t="s">
        <v>451</v>
      </c>
      <c r="G20" s="34" t="s">
        <v>452</v>
      </c>
      <c r="H20" s="35">
        <v>187.0</v>
      </c>
      <c r="I20" s="36">
        <v>33.0</v>
      </c>
      <c r="J20" s="37" t="s">
        <v>29</v>
      </c>
      <c r="K20" s="34" t="s">
        <v>393</v>
      </c>
      <c r="L20" s="38" t="s">
        <v>394</v>
      </c>
      <c r="M20" s="36">
        <v>1.62</v>
      </c>
      <c r="N20" s="36">
        <v>61.6</v>
      </c>
      <c r="O20" s="39">
        <f t="shared" si="2"/>
        <v>23.4720317</v>
      </c>
      <c r="P20" s="40">
        <v>0.0</v>
      </c>
      <c r="Q20" s="40">
        <v>0.0</v>
      </c>
      <c r="R20" s="40">
        <v>0.0</v>
      </c>
      <c r="S20" s="41">
        <v>0.0</v>
      </c>
      <c r="T20" s="41">
        <v>4.0</v>
      </c>
      <c r="U20" s="41">
        <v>2.0</v>
      </c>
      <c r="V20" s="41">
        <v>5.0</v>
      </c>
      <c r="W20" s="41">
        <v>4.0</v>
      </c>
      <c r="X20" s="34" t="s">
        <v>451</v>
      </c>
    </row>
    <row r="21">
      <c r="A21" s="1">
        <v>188.0</v>
      </c>
      <c r="B21" s="1" t="s">
        <v>453</v>
      </c>
      <c r="C21" s="1" t="s">
        <v>397</v>
      </c>
      <c r="D21" s="1" t="s">
        <v>390</v>
      </c>
      <c r="E21" s="1" t="s">
        <v>454</v>
      </c>
      <c r="G21" s="1" t="s">
        <v>455</v>
      </c>
      <c r="H21" s="1">
        <v>188.0</v>
      </c>
      <c r="I21" s="1">
        <v>24.0</v>
      </c>
      <c r="J21" s="1" t="s">
        <v>29</v>
      </c>
      <c r="K21" s="1" t="s">
        <v>393</v>
      </c>
      <c r="L21" s="1" t="s">
        <v>394</v>
      </c>
      <c r="M21" s="1">
        <v>1.73</v>
      </c>
      <c r="N21" s="1">
        <v>78.8</v>
      </c>
      <c r="P21" s="1">
        <v>0.0</v>
      </c>
      <c r="Q21" s="1">
        <v>0.0</v>
      </c>
      <c r="R21" s="1">
        <v>0.0</v>
      </c>
      <c r="S21" s="46"/>
      <c r="T21" s="1">
        <v>3.0</v>
      </c>
      <c r="U21" s="1">
        <v>3.0</v>
      </c>
      <c r="V21" s="1">
        <v>1.0</v>
      </c>
      <c r="W21" s="1">
        <v>1.0</v>
      </c>
      <c r="X21" s="1" t="s">
        <v>454</v>
      </c>
    </row>
    <row r="22">
      <c r="A22" s="1">
        <v>189.0</v>
      </c>
      <c r="B22" s="1" t="s">
        <v>456</v>
      </c>
      <c r="C22" s="1" t="s">
        <v>397</v>
      </c>
      <c r="D22" s="1" t="s">
        <v>390</v>
      </c>
      <c r="E22" s="1" t="s">
        <v>457</v>
      </c>
      <c r="G22" s="1" t="s">
        <v>458</v>
      </c>
      <c r="H22" s="1">
        <v>189.0</v>
      </c>
      <c r="I22" s="1">
        <v>24.0</v>
      </c>
      <c r="J22" s="1" t="s">
        <v>29</v>
      </c>
      <c r="K22" s="1" t="s">
        <v>393</v>
      </c>
      <c r="L22" s="1" t="s">
        <v>394</v>
      </c>
      <c r="M22" s="1">
        <v>1.62</v>
      </c>
      <c r="N22" s="1">
        <v>61.3</v>
      </c>
      <c r="P22" s="1">
        <v>0.0</v>
      </c>
      <c r="Q22" s="1">
        <v>0.0</v>
      </c>
      <c r="R22" s="1">
        <v>0.0</v>
      </c>
      <c r="S22" s="46"/>
      <c r="T22" s="1">
        <v>4.0</v>
      </c>
      <c r="U22" s="1">
        <v>3.0</v>
      </c>
      <c r="V22" s="5">
        <v>0.0</v>
      </c>
      <c r="W22" s="5">
        <v>0.0</v>
      </c>
      <c r="X22" s="1" t="s">
        <v>457</v>
      </c>
    </row>
    <row r="23">
      <c r="H23" s="48" t="s">
        <v>459</v>
      </c>
    </row>
    <row r="24">
      <c r="A24" s="1"/>
      <c r="Y24" s="34"/>
      <c r="Z24" s="34"/>
    </row>
    <row r="25">
      <c r="A25" s="1"/>
      <c r="Y25" s="34"/>
      <c r="Z25" s="34"/>
    </row>
    <row r="26">
      <c r="Y26" s="34"/>
      <c r="Z26" s="34"/>
    </row>
    <row r="27">
      <c r="Y27" s="34"/>
      <c r="Z27" s="34"/>
    </row>
    <row r="28">
      <c r="Y28" s="34"/>
    </row>
    <row r="29">
      <c r="Y29" s="34"/>
      <c r="Z29" s="34"/>
    </row>
    <row r="30">
      <c r="Y30" s="34"/>
      <c r="Z30" s="34"/>
    </row>
    <row r="31">
      <c r="G31" s="34" t="s">
        <v>460</v>
      </c>
      <c r="H31" s="49">
        <v>175.0</v>
      </c>
      <c r="I31" s="36">
        <v>19.0</v>
      </c>
      <c r="J31" s="38" t="s">
        <v>29</v>
      </c>
      <c r="K31" s="34" t="s">
        <v>393</v>
      </c>
      <c r="L31" s="38" t="s">
        <v>400</v>
      </c>
      <c r="M31" s="40">
        <v>1.52</v>
      </c>
      <c r="N31" s="40">
        <v>46.2</v>
      </c>
      <c r="O31" s="39">
        <f>SUM(N31/(M31*M31))</f>
        <v>19.9965374</v>
      </c>
      <c r="P31" s="40">
        <v>0.0</v>
      </c>
      <c r="Q31" s="40">
        <v>0.0</v>
      </c>
      <c r="R31" s="40">
        <v>0.0</v>
      </c>
      <c r="S31" s="41">
        <v>0.0</v>
      </c>
      <c r="T31" s="41">
        <v>3.0</v>
      </c>
      <c r="U31" s="41">
        <v>4.0</v>
      </c>
      <c r="V31" s="41">
        <v>2.0</v>
      </c>
      <c r="W31" s="41">
        <v>2.0</v>
      </c>
      <c r="X31" s="34" t="s">
        <v>461</v>
      </c>
      <c r="Y31" s="34"/>
      <c r="Z31" s="34"/>
    </row>
    <row r="32">
      <c r="Y32" s="34"/>
      <c r="Z32" s="34"/>
    </row>
    <row r="33">
      <c r="G33" s="34" t="s">
        <v>462</v>
      </c>
      <c r="H33" s="50">
        <v>55.0</v>
      </c>
      <c r="I33" s="40">
        <v>39.0</v>
      </c>
      <c r="J33" s="38" t="s">
        <v>29</v>
      </c>
      <c r="K33" s="34" t="s">
        <v>393</v>
      </c>
      <c r="L33" s="38" t="s">
        <v>400</v>
      </c>
      <c r="M33" s="40">
        <v>1.57</v>
      </c>
      <c r="N33" s="40">
        <v>56.8</v>
      </c>
      <c r="O33" s="39">
        <f>SUM(N33/(M33*M33))</f>
        <v>23.04353118</v>
      </c>
      <c r="P33" s="40">
        <v>0.0</v>
      </c>
      <c r="Q33" s="40">
        <v>0.0</v>
      </c>
      <c r="R33" s="40">
        <v>0.0</v>
      </c>
      <c r="S33" s="41">
        <v>0.0</v>
      </c>
      <c r="T33" s="41">
        <v>4.0</v>
      </c>
      <c r="U33" s="41">
        <v>4.0</v>
      </c>
      <c r="V33" s="41">
        <v>3.0</v>
      </c>
      <c r="W33" s="41">
        <v>3.0</v>
      </c>
      <c r="X33" s="34" t="s">
        <v>463</v>
      </c>
      <c r="Y33" s="34"/>
      <c r="Z33" s="34"/>
    </row>
    <row r="34">
      <c r="Y34" s="34"/>
      <c r="Z34" s="34"/>
    </row>
    <row r="35">
      <c r="Y35" s="34"/>
      <c r="Z35" s="34"/>
    </row>
    <row r="36">
      <c r="Y36" s="34"/>
      <c r="Z36" s="34"/>
    </row>
    <row r="37">
      <c r="Y37" s="34"/>
      <c r="Z37" s="34"/>
    </row>
    <row r="38">
      <c r="Y38" s="34"/>
      <c r="Z38" s="34"/>
    </row>
    <row r="39">
      <c r="G39" s="34" t="s">
        <v>449</v>
      </c>
      <c r="H39" s="36">
        <v>183.0</v>
      </c>
      <c r="I39" s="36">
        <v>26.0</v>
      </c>
      <c r="J39" s="38" t="s">
        <v>29</v>
      </c>
      <c r="K39" s="34" t="s">
        <v>393</v>
      </c>
      <c r="L39" s="38" t="s">
        <v>394</v>
      </c>
      <c r="M39" s="40">
        <v>1.69</v>
      </c>
      <c r="N39" s="40">
        <v>60.2</v>
      </c>
      <c r="O39" s="39">
        <f t="shared" ref="O39:O40" si="3">SUM(N39/(M39*M39))</f>
        <v>21.07769336</v>
      </c>
      <c r="P39" s="40">
        <v>0.0</v>
      </c>
      <c r="Q39" s="40">
        <v>0.0</v>
      </c>
      <c r="R39" s="40">
        <v>0.0</v>
      </c>
      <c r="S39" s="41">
        <v>0.0</v>
      </c>
      <c r="T39" s="42" t="s">
        <v>395</v>
      </c>
      <c r="U39" s="42" t="s">
        <v>395</v>
      </c>
      <c r="V39" s="42" t="s">
        <v>395</v>
      </c>
      <c r="W39" s="42" t="s">
        <v>395</v>
      </c>
      <c r="X39" s="34" t="s">
        <v>448</v>
      </c>
      <c r="Y39" s="34"/>
      <c r="Z39" s="34"/>
    </row>
    <row r="40">
      <c r="G40" s="34" t="s">
        <v>464</v>
      </c>
      <c r="H40" s="36">
        <v>185.0</v>
      </c>
      <c r="I40" s="36">
        <v>50.0</v>
      </c>
      <c r="J40" s="37" t="s">
        <v>29</v>
      </c>
      <c r="K40" s="34" t="s">
        <v>393</v>
      </c>
      <c r="L40" s="38" t="s">
        <v>394</v>
      </c>
      <c r="M40" s="36">
        <v>1.58</v>
      </c>
      <c r="N40" s="36">
        <v>77.8</v>
      </c>
      <c r="O40" s="39">
        <f t="shared" si="3"/>
        <v>31.16487742</v>
      </c>
      <c r="P40" s="40">
        <v>0.0</v>
      </c>
      <c r="Q40" s="40">
        <v>0.0</v>
      </c>
      <c r="R40" s="40">
        <v>0.0</v>
      </c>
      <c r="S40" s="41">
        <v>15.0</v>
      </c>
      <c r="T40" s="42" t="s">
        <v>395</v>
      </c>
      <c r="U40" s="42" t="s">
        <v>395</v>
      </c>
      <c r="V40" s="41">
        <v>2.0</v>
      </c>
      <c r="W40" s="41">
        <v>3.0</v>
      </c>
      <c r="X40" s="34" t="s">
        <v>465</v>
      </c>
      <c r="Y40" s="34"/>
      <c r="Z40" s="34"/>
    </row>
    <row r="41">
      <c r="Y41" s="34"/>
      <c r="Z41" s="34"/>
    </row>
    <row r="42">
      <c r="Y42" s="34"/>
      <c r="Z42" s="34"/>
    </row>
    <row r="43">
      <c r="Y43" s="34"/>
      <c r="Z43" s="34"/>
    </row>
    <row r="44">
      <c r="Y44" s="34"/>
      <c r="Z44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1" t="s">
        <v>466</v>
      </c>
      <c r="B1" s="1"/>
      <c r="C1" s="1" t="s">
        <v>467</v>
      </c>
    </row>
    <row r="2">
      <c r="A2" s="1" t="s">
        <v>468</v>
      </c>
      <c r="B2" s="1" t="s">
        <v>113</v>
      </c>
    </row>
    <row r="3">
      <c r="A3" s="1" t="s">
        <v>469</v>
      </c>
      <c r="B3" s="1" t="s">
        <v>113</v>
      </c>
    </row>
    <row r="4">
      <c r="A4" s="1" t="s">
        <v>470</v>
      </c>
    </row>
    <row r="5">
      <c r="A5" s="1" t="s">
        <v>471</v>
      </c>
    </row>
    <row r="6">
      <c r="A6" s="1" t="s">
        <v>49</v>
      </c>
    </row>
    <row r="7">
      <c r="A7" s="1" t="s">
        <v>472</v>
      </c>
      <c r="C7" s="1" t="s">
        <v>473</v>
      </c>
    </row>
    <row r="8">
      <c r="A8" s="1" t="s">
        <v>63</v>
      </c>
    </row>
    <row r="9">
      <c r="A9" s="1" t="s">
        <v>474</v>
      </c>
    </row>
    <row r="10">
      <c r="A10" s="1" t="s">
        <v>66</v>
      </c>
    </row>
    <row r="11">
      <c r="A11" s="1" t="s">
        <v>475</v>
      </c>
      <c r="C11" s="1"/>
      <c r="D11" s="1" t="s">
        <v>476</v>
      </c>
      <c r="E11" s="1" t="s">
        <v>477</v>
      </c>
    </row>
    <row r="12">
      <c r="A12" s="1" t="s">
        <v>478</v>
      </c>
      <c r="B12" s="5" t="s">
        <v>479</v>
      </c>
      <c r="C12" s="1"/>
      <c r="D12" s="1">
        <v>1.0</v>
      </c>
    </row>
    <row r="13">
      <c r="A13" s="1" t="s">
        <v>480</v>
      </c>
      <c r="B13" s="5" t="s">
        <v>479</v>
      </c>
      <c r="C13" s="1" t="s">
        <v>473</v>
      </c>
    </row>
    <row r="14">
      <c r="A14" s="1" t="s">
        <v>481</v>
      </c>
      <c r="B14" s="5" t="s">
        <v>479</v>
      </c>
    </row>
    <row r="15">
      <c r="A15" s="1" t="s">
        <v>482</v>
      </c>
      <c r="B15" s="51" t="s">
        <v>483</v>
      </c>
      <c r="E15" s="1">
        <v>1.0</v>
      </c>
    </row>
    <row r="16">
      <c r="A16" s="1" t="s">
        <v>484</v>
      </c>
      <c r="B16" s="51" t="s">
        <v>483</v>
      </c>
    </row>
    <row r="17">
      <c r="A17" s="1" t="s">
        <v>485</v>
      </c>
      <c r="B17" s="51" t="s">
        <v>483</v>
      </c>
    </row>
    <row r="18">
      <c r="A18" s="1" t="s">
        <v>486</v>
      </c>
      <c r="B18" s="51" t="s">
        <v>483</v>
      </c>
    </row>
    <row r="19">
      <c r="A19" s="1" t="s">
        <v>487</v>
      </c>
      <c r="B19" s="51" t="s">
        <v>483</v>
      </c>
      <c r="E19" s="1">
        <v>2.0</v>
      </c>
    </row>
    <row r="20">
      <c r="A20" s="1" t="s">
        <v>488</v>
      </c>
      <c r="B20" s="51" t="s">
        <v>483</v>
      </c>
    </row>
    <row r="21">
      <c r="A21" s="1" t="s">
        <v>489</v>
      </c>
      <c r="B21" s="51" t="s">
        <v>483</v>
      </c>
      <c r="C21" s="1"/>
    </row>
    <row r="22">
      <c r="A22" s="1" t="s">
        <v>273</v>
      </c>
      <c r="B22" s="1" t="s">
        <v>479</v>
      </c>
      <c r="C22" s="1" t="s">
        <v>473</v>
      </c>
    </row>
    <row r="23">
      <c r="A23" s="1" t="s">
        <v>41</v>
      </c>
      <c r="B23" s="1" t="s">
        <v>479</v>
      </c>
    </row>
    <row r="24">
      <c r="A24" s="1" t="s">
        <v>45</v>
      </c>
      <c r="B24" s="1" t="s">
        <v>479</v>
      </c>
    </row>
    <row r="25">
      <c r="A25" s="1" t="s">
        <v>265</v>
      </c>
      <c r="B25" s="1" t="s">
        <v>479</v>
      </c>
    </row>
    <row r="26">
      <c r="A26" s="1" t="s">
        <v>16</v>
      </c>
      <c r="B26" s="1" t="s">
        <v>479</v>
      </c>
    </row>
    <row r="27">
      <c r="A27" s="1" t="s">
        <v>21</v>
      </c>
      <c r="B27" s="1" t="s">
        <v>479</v>
      </c>
    </row>
    <row r="28">
      <c r="A28" s="1" t="s">
        <v>25</v>
      </c>
      <c r="B28" s="1" t="s">
        <v>479</v>
      </c>
    </row>
    <row r="29">
      <c r="A29" s="1" t="s">
        <v>490</v>
      </c>
      <c r="B29" s="1" t="s">
        <v>479</v>
      </c>
    </row>
    <row r="30">
      <c r="A30" s="1" t="s">
        <v>463</v>
      </c>
    </row>
    <row r="31">
      <c r="A31" s="1" t="s">
        <v>491</v>
      </c>
      <c r="B31" s="1" t="s">
        <v>113</v>
      </c>
    </row>
    <row r="32">
      <c r="A32" s="1" t="s">
        <v>492</v>
      </c>
    </row>
    <row r="33">
      <c r="A33" s="1" t="s">
        <v>493</v>
      </c>
    </row>
    <row r="34">
      <c r="A34" s="1" t="s">
        <v>494</v>
      </c>
    </row>
    <row r="35">
      <c r="A35" s="1" t="s">
        <v>495</v>
      </c>
      <c r="B35" s="5" t="s">
        <v>479</v>
      </c>
      <c r="D35" s="1">
        <v>2.0</v>
      </c>
    </row>
    <row r="36">
      <c r="A36" s="1" t="s">
        <v>496</v>
      </c>
      <c r="B36" s="5" t="s">
        <v>479</v>
      </c>
    </row>
    <row r="37">
      <c r="A37" s="1" t="s">
        <v>497</v>
      </c>
      <c r="B37" s="5" t="s">
        <v>479</v>
      </c>
      <c r="C37" s="1"/>
    </row>
    <row r="38">
      <c r="A38" s="1" t="s">
        <v>498</v>
      </c>
      <c r="B38" s="5" t="s">
        <v>479</v>
      </c>
      <c r="C38" s="1"/>
    </row>
    <row r="39">
      <c r="A39" s="1" t="s">
        <v>499</v>
      </c>
      <c r="B39" s="1"/>
    </row>
    <row r="40">
      <c r="A40" s="1" t="s">
        <v>500</v>
      </c>
      <c r="B40" s="1"/>
    </row>
    <row r="41">
      <c r="A41" s="1" t="s">
        <v>501</v>
      </c>
      <c r="B41" s="1" t="s">
        <v>113</v>
      </c>
    </row>
    <row r="42">
      <c r="A42" s="1" t="s">
        <v>295</v>
      </c>
      <c r="B42" s="1" t="s">
        <v>483</v>
      </c>
    </row>
    <row r="43">
      <c r="A43" s="1" t="s">
        <v>502</v>
      </c>
      <c r="B43" s="1" t="s">
        <v>483</v>
      </c>
    </row>
    <row r="44">
      <c r="A44" s="1" t="s">
        <v>70</v>
      </c>
      <c r="B44" s="1" t="s">
        <v>483</v>
      </c>
    </row>
    <row r="45">
      <c r="A45" s="1" t="s">
        <v>503</v>
      </c>
      <c r="B45" s="1" t="s">
        <v>483</v>
      </c>
    </row>
    <row r="46">
      <c r="A46" s="1" t="s">
        <v>504</v>
      </c>
      <c r="B46" s="1" t="s">
        <v>483</v>
      </c>
    </row>
    <row r="47">
      <c r="A47" s="1" t="s">
        <v>505</v>
      </c>
      <c r="B47" s="5" t="s">
        <v>479</v>
      </c>
      <c r="D47" s="1">
        <v>3.0</v>
      </c>
    </row>
    <row r="48">
      <c r="A48" s="1" t="s">
        <v>149</v>
      </c>
      <c r="B48" s="5" t="s">
        <v>479</v>
      </c>
    </row>
    <row r="49">
      <c r="A49" s="1" t="s">
        <v>506</v>
      </c>
      <c r="B49" s="5" t="s">
        <v>479</v>
      </c>
    </row>
    <row r="50">
      <c r="A50" s="1" t="s">
        <v>507</v>
      </c>
    </row>
    <row r="51">
      <c r="A51" s="1" t="s">
        <v>30</v>
      </c>
    </row>
    <row r="52">
      <c r="A52" s="1" t="s">
        <v>34</v>
      </c>
    </row>
    <row r="53">
      <c r="A53" s="1" t="s">
        <v>37</v>
      </c>
    </row>
    <row r="54">
      <c r="A54" s="1" t="s">
        <v>508</v>
      </c>
    </row>
    <row r="55">
      <c r="A55" s="1" t="s">
        <v>509</v>
      </c>
      <c r="B55" s="51" t="s">
        <v>483</v>
      </c>
      <c r="C55" s="1"/>
      <c r="E55" s="1">
        <v>3.0</v>
      </c>
    </row>
    <row r="56">
      <c r="A56" s="1" t="s">
        <v>510</v>
      </c>
      <c r="B56" s="51" t="s">
        <v>483</v>
      </c>
      <c r="C56" s="1"/>
    </row>
    <row r="57">
      <c r="A57" s="1" t="s">
        <v>511</v>
      </c>
      <c r="B57" s="51" t="s">
        <v>512</v>
      </c>
    </row>
    <row r="58">
      <c r="A58" s="1" t="s">
        <v>288</v>
      </c>
      <c r="B58" s="1" t="s">
        <v>483</v>
      </c>
    </row>
    <row r="59">
      <c r="A59" s="1" t="s">
        <v>513</v>
      </c>
      <c r="B59" s="1" t="s">
        <v>483</v>
      </c>
    </row>
    <row r="60">
      <c r="A60" s="1" t="s">
        <v>59</v>
      </c>
      <c r="B60" s="1" t="s">
        <v>483</v>
      </c>
    </row>
    <row r="61">
      <c r="A61" s="1" t="s">
        <v>514</v>
      </c>
      <c r="B61" s="1" t="s">
        <v>483</v>
      </c>
      <c r="C61" s="1" t="s">
        <v>473</v>
      </c>
    </row>
    <row r="62">
      <c r="A62" s="1" t="s">
        <v>53</v>
      </c>
    </row>
    <row r="63">
      <c r="A63" s="1" t="s">
        <v>515</v>
      </c>
    </row>
    <row r="64">
      <c r="A64" s="1" t="s">
        <v>516</v>
      </c>
      <c r="C64" s="1" t="s">
        <v>473</v>
      </c>
    </row>
    <row r="65">
      <c r="A65" s="1" t="s">
        <v>517</v>
      </c>
    </row>
    <row r="66">
      <c r="A66" s="1" t="s">
        <v>518</v>
      </c>
      <c r="B66" s="5" t="s">
        <v>479</v>
      </c>
      <c r="D66" s="1" t="s">
        <v>519</v>
      </c>
    </row>
    <row r="67">
      <c r="A67" s="1" t="s">
        <v>123</v>
      </c>
      <c r="B67" s="1" t="s">
        <v>479</v>
      </c>
    </row>
    <row r="68">
      <c r="A68" s="1" t="s">
        <v>126</v>
      </c>
      <c r="B68" s="1" t="s">
        <v>479</v>
      </c>
      <c r="C68" s="1"/>
    </row>
    <row r="69">
      <c r="A69" s="1" t="s">
        <v>520</v>
      </c>
      <c r="B69" s="5" t="s">
        <v>479</v>
      </c>
      <c r="C69" s="1"/>
      <c r="D69" s="1">
        <v>5.0</v>
      </c>
    </row>
    <row r="70">
      <c r="A70" s="1" t="s">
        <v>521</v>
      </c>
      <c r="B70" s="5" t="s">
        <v>479</v>
      </c>
      <c r="C70" s="1" t="s">
        <v>473</v>
      </c>
    </row>
    <row r="71">
      <c r="A71" s="1" t="s">
        <v>522</v>
      </c>
      <c r="B71" s="5" t="s">
        <v>479</v>
      </c>
      <c r="C71" s="1" t="s">
        <v>473</v>
      </c>
      <c r="D71" s="1" t="s">
        <v>523</v>
      </c>
    </row>
    <row r="72">
      <c r="A72" s="1" t="s">
        <v>524</v>
      </c>
      <c r="B72" s="5" t="s">
        <v>479</v>
      </c>
      <c r="C72" s="1"/>
    </row>
    <row r="73">
      <c r="A73" s="1" t="s">
        <v>143</v>
      </c>
      <c r="B73" s="5" t="s">
        <v>479</v>
      </c>
    </row>
    <row r="74">
      <c r="A74" s="1" t="s">
        <v>525</v>
      </c>
      <c r="B74" s="5" t="s">
        <v>479</v>
      </c>
    </row>
    <row r="75">
      <c r="A75" s="1" t="s">
        <v>146</v>
      </c>
      <c r="B75" s="1" t="s">
        <v>479</v>
      </c>
    </row>
    <row r="76">
      <c r="A76" s="1" t="s">
        <v>526</v>
      </c>
      <c r="B76" s="5" t="s">
        <v>479</v>
      </c>
      <c r="C76" s="1" t="s">
        <v>473</v>
      </c>
    </row>
    <row r="77">
      <c r="A77" s="1" t="s">
        <v>527</v>
      </c>
      <c r="B77" s="5" t="s">
        <v>479</v>
      </c>
      <c r="C77" s="1"/>
      <c r="D77" s="1">
        <v>7.0</v>
      </c>
    </row>
    <row r="78">
      <c r="A78" s="1" t="s">
        <v>528</v>
      </c>
      <c r="B78" s="5" t="s">
        <v>479</v>
      </c>
      <c r="C78" s="1" t="s">
        <v>473</v>
      </c>
    </row>
    <row r="79">
      <c r="A79" s="1" t="s">
        <v>529</v>
      </c>
    </row>
    <row r="80">
      <c r="A80" s="1" t="s">
        <v>530</v>
      </c>
    </row>
    <row r="81">
      <c r="A81" s="1" t="s">
        <v>139</v>
      </c>
      <c r="C81" s="1" t="s">
        <v>473</v>
      </c>
    </row>
    <row r="82">
      <c r="A82" s="1" t="s">
        <v>141</v>
      </c>
    </row>
    <row r="83">
      <c r="A83" s="1" t="s">
        <v>531</v>
      </c>
    </row>
    <row r="84">
      <c r="A84" s="1" t="s">
        <v>532</v>
      </c>
      <c r="C84" s="1" t="s">
        <v>473</v>
      </c>
    </row>
    <row r="85">
      <c r="A85" s="1" t="s">
        <v>533</v>
      </c>
      <c r="C85" s="1"/>
    </row>
    <row r="86">
      <c r="A86" s="1" t="s">
        <v>534</v>
      </c>
      <c r="C86" s="1"/>
    </row>
    <row r="87">
      <c r="A87" s="1" t="s">
        <v>136</v>
      </c>
      <c r="C87" s="1"/>
    </row>
    <row r="88">
      <c r="A88" s="1" t="s">
        <v>535</v>
      </c>
      <c r="C88" s="1" t="s">
        <v>473</v>
      </c>
    </row>
    <row r="89">
      <c r="A89" s="1" t="s">
        <v>92</v>
      </c>
    </row>
    <row r="90">
      <c r="A90" s="1" t="s">
        <v>536</v>
      </c>
      <c r="C90" s="1"/>
    </row>
    <row r="91">
      <c r="A91" s="1" t="s">
        <v>96</v>
      </c>
    </row>
    <row r="92">
      <c r="A92" s="1" t="s">
        <v>537</v>
      </c>
    </row>
    <row r="93">
      <c r="A93" s="1" t="s">
        <v>538</v>
      </c>
      <c r="C93" s="1" t="s">
        <v>473</v>
      </c>
    </row>
    <row r="94">
      <c r="A94" s="1" t="s">
        <v>298</v>
      </c>
      <c r="B94" s="1" t="s">
        <v>483</v>
      </c>
      <c r="C94" s="1"/>
    </row>
    <row r="95">
      <c r="A95" s="1" t="s">
        <v>391</v>
      </c>
      <c r="B95" s="1" t="s">
        <v>483</v>
      </c>
    </row>
    <row r="96">
      <c r="A96" s="1" t="s">
        <v>73</v>
      </c>
      <c r="B96" s="1" t="s">
        <v>483</v>
      </c>
      <c r="C96" s="1"/>
    </row>
    <row r="97">
      <c r="A97" s="1" t="s">
        <v>76</v>
      </c>
      <c r="B97" s="1" t="s">
        <v>483</v>
      </c>
      <c r="C97" s="1"/>
    </row>
    <row r="98">
      <c r="A98" s="1" t="s">
        <v>79</v>
      </c>
      <c r="B98" s="1" t="s">
        <v>483</v>
      </c>
    </row>
    <row r="99">
      <c r="A99" s="1" t="s">
        <v>539</v>
      </c>
      <c r="B99" s="1" t="s">
        <v>483</v>
      </c>
      <c r="C99" s="1"/>
    </row>
    <row r="100">
      <c r="A100" s="1" t="s">
        <v>540</v>
      </c>
      <c r="B100" s="1" t="s">
        <v>483</v>
      </c>
      <c r="C100" s="1"/>
    </row>
    <row r="101">
      <c r="A101" s="1" t="s">
        <v>132</v>
      </c>
      <c r="C101" s="1"/>
    </row>
    <row r="102">
      <c r="A102" s="1" t="s">
        <v>541</v>
      </c>
      <c r="C102" s="1"/>
    </row>
    <row r="103">
      <c r="A103" s="1" t="s">
        <v>542</v>
      </c>
    </row>
    <row r="104">
      <c r="A104" s="1" t="s">
        <v>543</v>
      </c>
      <c r="C104" s="1"/>
    </row>
    <row r="105">
      <c r="A105" s="1" t="s">
        <v>544</v>
      </c>
      <c r="B105" s="5" t="s">
        <v>479</v>
      </c>
      <c r="C105" s="1"/>
      <c r="D105" s="1" t="s">
        <v>545</v>
      </c>
    </row>
    <row r="106">
      <c r="A106" s="1" t="s">
        <v>546</v>
      </c>
      <c r="B106" s="5" t="s">
        <v>479</v>
      </c>
      <c r="C106" s="1"/>
    </row>
    <row r="107">
      <c r="A107" s="1" t="s">
        <v>112</v>
      </c>
      <c r="B107" s="1" t="s">
        <v>479</v>
      </c>
    </row>
    <row r="108">
      <c r="A108" s="1" t="s">
        <v>116</v>
      </c>
      <c r="B108" s="1" t="s">
        <v>479</v>
      </c>
      <c r="C108" s="1"/>
    </row>
    <row r="109">
      <c r="A109" s="1" t="s">
        <v>119</v>
      </c>
      <c r="B109" s="5" t="s">
        <v>479</v>
      </c>
      <c r="C109" s="1"/>
    </row>
    <row r="110">
      <c r="A110" s="1" t="s">
        <v>547</v>
      </c>
      <c r="B110" s="5" t="s">
        <v>479</v>
      </c>
      <c r="C110" s="1" t="s">
        <v>473</v>
      </c>
    </row>
    <row r="111">
      <c r="A111" s="1" t="s">
        <v>308</v>
      </c>
      <c r="B111" s="1" t="s">
        <v>479</v>
      </c>
      <c r="C111" s="1" t="s">
        <v>473</v>
      </c>
    </row>
    <row r="112">
      <c r="A112" s="1" t="s">
        <v>100</v>
      </c>
      <c r="B112" s="1" t="s">
        <v>479</v>
      </c>
    </row>
    <row r="113">
      <c r="A113" s="1" t="s">
        <v>103</v>
      </c>
      <c r="B113" s="1" t="s">
        <v>479</v>
      </c>
    </row>
    <row r="114">
      <c r="A114" s="1" t="s">
        <v>548</v>
      </c>
      <c r="B114" s="1" t="s">
        <v>479</v>
      </c>
    </row>
    <row r="115">
      <c r="A115" s="1" t="s">
        <v>549</v>
      </c>
      <c r="B115" s="1" t="s">
        <v>479</v>
      </c>
    </row>
    <row r="116">
      <c r="A116" s="1" t="s">
        <v>550</v>
      </c>
      <c r="C116" s="1" t="s">
        <v>473</v>
      </c>
    </row>
    <row r="117">
      <c r="A117" s="1" t="s">
        <v>551</v>
      </c>
      <c r="B117" s="5" t="s">
        <v>479</v>
      </c>
      <c r="C117" s="1" t="s">
        <v>473</v>
      </c>
      <c r="D117" s="1" t="s">
        <v>552</v>
      </c>
    </row>
    <row r="118">
      <c r="A118" s="1" t="s">
        <v>88</v>
      </c>
      <c r="B118" s="1" t="s">
        <v>479</v>
      </c>
      <c r="C118" s="1" t="s">
        <v>473</v>
      </c>
    </row>
    <row r="119">
      <c r="A119" s="1" t="s">
        <v>553</v>
      </c>
      <c r="B119" s="5" t="s">
        <v>479</v>
      </c>
    </row>
    <row r="120">
      <c r="A120" s="1" t="s">
        <v>554</v>
      </c>
      <c r="C120" s="1" t="s">
        <v>473</v>
      </c>
    </row>
    <row r="121">
      <c r="A121" s="1" t="s">
        <v>555</v>
      </c>
      <c r="B121" s="5" t="s">
        <v>479</v>
      </c>
      <c r="D121" s="1">
        <v>10.0</v>
      </c>
    </row>
    <row r="122">
      <c r="A122" s="1" t="s">
        <v>556</v>
      </c>
      <c r="B122" s="5" t="s">
        <v>479</v>
      </c>
    </row>
    <row r="123">
      <c r="A123" s="1" t="s">
        <v>557</v>
      </c>
      <c r="B123" s="5" t="s">
        <v>479</v>
      </c>
      <c r="D123" s="1">
        <v>11.0</v>
      </c>
    </row>
    <row r="124">
      <c r="A124" s="1" t="s">
        <v>558</v>
      </c>
      <c r="B124" s="5" t="s">
        <v>479</v>
      </c>
    </row>
    <row r="125">
      <c r="A125" s="1" t="s">
        <v>559</v>
      </c>
      <c r="B125" s="1"/>
    </row>
    <row r="126">
      <c r="A126" s="1" t="s">
        <v>560</v>
      </c>
      <c r="B126" s="52" t="s">
        <v>483</v>
      </c>
      <c r="E126" s="1">
        <v>4.0</v>
      </c>
    </row>
    <row r="127">
      <c r="A127" s="1" t="s">
        <v>561</v>
      </c>
      <c r="B127" s="52" t="s">
        <v>483</v>
      </c>
    </row>
    <row r="128">
      <c r="A128" s="1" t="s">
        <v>562</v>
      </c>
      <c r="B128" s="52" t="s">
        <v>483</v>
      </c>
    </row>
    <row r="129">
      <c r="A129" s="1" t="s">
        <v>563</v>
      </c>
      <c r="C129" s="1" t="s">
        <v>473</v>
      </c>
    </row>
    <row r="130">
      <c r="A130" s="1" t="s">
        <v>564</v>
      </c>
      <c r="C130" s="1"/>
    </row>
    <row r="131">
      <c r="A131" s="1" t="s">
        <v>565</v>
      </c>
    </row>
    <row r="132">
      <c r="A132" s="1" t="s">
        <v>566</v>
      </c>
      <c r="C132" s="1"/>
    </row>
    <row r="133">
      <c r="A133" s="1" t="s">
        <v>567</v>
      </c>
      <c r="C133" s="1"/>
    </row>
    <row r="134">
      <c r="A134" s="1" t="s">
        <v>568</v>
      </c>
      <c r="B134" s="5" t="s">
        <v>479</v>
      </c>
      <c r="C134" s="1"/>
      <c r="D134" s="1">
        <v>12.0</v>
      </c>
    </row>
    <row r="135">
      <c r="A135" s="1" t="s">
        <v>569</v>
      </c>
      <c r="B135" s="5" t="s">
        <v>479</v>
      </c>
      <c r="C135" s="1"/>
    </row>
    <row r="136">
      <c r="A136" s="1" t="s">
        <v>570</v>
      </c>
      <c r="C136" s="1"/>
    </row>
    <row r="137">
      <c r="A137" s="1" t="s">
        <v>571</v>
      </c>
      <c r="C137" s="1"/>
    </row>
    <row r="138">
      <c r="A138" s="1" t="s">
        <v>572</v>
      </c>
      <c r="B138" s="5" t="s">
        <v>479</v>
      </c>
      <c r="C138" s="1" t="s">
        <v>473</v>
      </c>
      <c r="D138" s="1">
        <v>13.0</v>
      </c>
    </row>
    <row r="139">
      <c r="A139" s="1" t="s">
        <v>573</v>
      </c>
      <c r="B139" s="5" t="s">
        <v>479</v>
      </c>
      <c r="C139" s="1" t="s">
        <v>473</v>
      </c>
    </row>
    <row r="140">
      <c r="A140" s="1" t="s">
        <v>574</v>
      </c>
      <c r="B140" s="5" t="s">
        <v>479</v>
      </c>
    </row>
    <row r="141">
      <c r="A141" s="1" t="s">
        <v>575</v>
      </c>
    </row>
    <row r="142">
      <c r="A142" s="1" t="s">
        <v>576</v>
      </c>
    </row>
    <row r="143">
      <c r="A143" s="1" t="s">
        <v>577</v>
      </c>
    </row>
    <row r="144">
      <c r="A144" s="1" t="s">
        <v>578</v>
      </c>
    </row>
    <row r="145">
      <c r="A145" s="1" t="s">
        <v>579</v>
      </c>
      <c r="C145" s="1"/>
    </row>
    <row r="146">
      <c r="A146" s="1" t="s">
        <v>580</v>
      </c>
      <c r="C146" s="1"/>
    </row>
    <row r="147">
      <c r="A147" s="1" t="s">
        <v>311</v>
      </c>
      <c r="B147" s="1" t="s">
        <v>479</v>
      </c>
      <c r="C147" s="1" t="s">
        <v>473</v>
      </c>
    </row>
    <row r="148">
      <c r="A148" s="1" t="s">
        <v>106</v>
      </c>
      <c r="B148" s="1" t="s">
        <v>479</v>
      </c>
      <c r="C148" s="1" t="s">
        <v>473</v>
      </c>
    </row>
    <row r="149">
      <c r="A149" s="5" t="s">
        <v>581</v>
      </c>
      <c r="B149" s="1" t="s">
        <v>479</v>
      </c>
      <c r="D149" s="1" t="s">
        <v>582</v>
      </c>
    </row>
    <row r="150">
      <c r="A150" s="5" t="s">
        <v>583</v>
      </c>
      <c r="B150" s="1" t="s">
        <v>479</v>
      </c>
    </row>
    <row r="151">
      <c r="A151" s="1" t="s">
        <v>584</v>
      </c>
      <c r="B151" s="1" t="s">
        <v>479</v>
      </c>
    </row>
    <row r="152">
      <c r="A152" s="1" t="s">
        <v>585</v>
      </c>
      <c r="C152" s="1" t="s">
        <v>473</v>
      </c>
    </row>
    <row r="153">
      <c r="A153" s="1" t="s">
        <v>109</v>
      </c>
      <c r="B153" s="1"/>
      <c r="C153" s="1"/>
    </row>
    <row r="154">
      <c r="A154" s="1" t="s">
        <v>586</v>
      </c>
      <c r="B154" s="1"/>
      <c r="C154" s="1"/>
    </row>
    <row r="155">
      <c r="A155" s="1" t="s">
        <v>587</v>
      </c>
      <c r="B155" s="1" t="s">
        <v>588</v>
      </c>
      <c r="C155" s="1" t="s">
        <v>473</v>
      </c>
    </row>
    <row r="156">
      <c r="A156" s="1" t="s">
        <v>82</v>
      </c>
    </row>
    <row r="157">
      <c r="A157" s="1" t="s">
        <v>85</v>
      </c>
      <c r="C157" s="1" t="s">
        <v>473</v>
      </c>
    </row>
    <row r="158">
      <c r="A158" s="1" t="s">
        <v>589</v>
      </c>
    </row>
    <row r="159">
      <c r="A159" s="1" t="s">
        <v>590</v>
      </c>
    </row>
  </sheetData>
  <drawing r:id="rId1"/>
</worksheet>
</file>