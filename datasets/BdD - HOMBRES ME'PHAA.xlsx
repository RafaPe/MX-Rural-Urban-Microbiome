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Isaac Gonzalez Santoyo:
Cuestionario Pregunta 1
Que tan seguido se enferma usted?
1=Muy seguido
2=Seguido
3=Algunas Veces
4=Casi nunca
5=Nunca
</t>
      </text>
    </comment>
    <comment authorId="0" ref="W1">
      <text>
        <t xml:space="preserve">Isaac Gonzalez Santoyo:
CUESTIONARIO PREGUNTA 2
EN GENERAL COMO CONSIDERA UD. QUE ES SU ALIMENTACION?
5=Muy BUENA
4=BUENA
3=REGULAR
2=MALA
1=MUY MALA
</t>
      </text>
    </comment>
    <comment authorId="0" ref="X1">
      <text>
        <t xml:space="preserve">Isaac Gonzalez Santoyo:
CUESTIONARIO PREGUNTA 3
QUE TAN SATISFECHO SE ENCUENTRA CON SU ESTADO DE SALUD ACTUAL
1=MUY INSATISFECHO
2=INSATISFECHO
3=NI SATISFECHO, NI SATISFECHO
4=SATISFECHO
5=MUY SATISFECHO</t>
      </text>
    </comment>
    <comment authorId="0" ref="Y1">
      <text>
        <t xml:space="preserve">Isaac Gonzalez Santoyo:
CUESTIONARIO PREGUNTA 4
EN GENERAL COMO CONSIDERA QUE ES SU ESTADO DE SALUD?
5=MUY BUENO
4=BUENO
3=REGULAR
2=MALO
1=MUY MALO</t>
      </text>
    </comment>
    <comment authorId="0" ref="Z1">
      <text>
        <t xml:space="preserve">Isaac Gonzalez Santoyo:
CUESTIONARIO PREGUNTA 5
SI COMPARAMOS….
5= MUCHO MEJOR
4=MEJOR
3=IGUAL
2=PEOR
1=MUCHO PEOR</t>
      </text>
    </comment>
    <comment authorId="0" ref="AA1">
      <text>
        <t xml:space="preserve">Isaac Gonzalez Santoyo:
CUESTIONARIO PREGUNTA 6
EN EL ULTIMO MES...
NO=0
SI=1
</t>
      </text>
    </comment>
    <comment authorId="0" ref="AB1">
      <text>
        <t xml:space="preserve">Isaac Gonzalez Santoyo:
Si QP6 ES 1, INCLUIR PARA QUE LO TOMO
</t>
      </text>
    </comment>
    <comment authorId="0" ref="AC1">
      <text>
        <t xml:space="preserve">Isaac Gonzalez Santoyo:
CUESTIONARIO PREGUNTA 7
NO=0
SI=1</t>
      </text>
    </comment>
    <comment authorId="0" ref="AD1">
      <text>
        <t xml:space="preserve">Isaac Gonzalez Santoyo:
SI QP7 FUE 1
COLOCAR PARA QUE LO ESTA TOMANDO
</t>
      </text>
    </comment>
    <comment authorId="0" ref="AE1">
      <text>
        <t xml:space="preserve">Isaac Gonzalez Santoyo:
CUESTIONARIO
PREGUNTA 9
QUE TAN SEGUIDO SE ENFERMA UD. DEL ESTOMAGO
1=SIEMPRE
2=MUY SEGUIDO
3=NO LO RECUERDO
4=CASI NUNCA
5=NUNCA</t>
      </text>
    </comment>
    <comment authorId="0" ref="AF1">
      <text>
        <t xml:space="preserve">Isaac Gonzalez Santoyo:
CUESTIONARIO PREGUNTA 10
 QUE TAN SEGUIDO USTED SE ENFERMA DE LA GARGANTA
1=SIEMPRE
2=MUY SEGUIDO
3=NO LO RECUERDO
4=CASI NUNCA
5=NUNCA</t>
      </text>
    </comment>
    <comment authorId="0" ref="AN1">
      <text>
        <t xml:space="preserve">Isaac Gonzalez Santoyo:
1=ASCARIS
 2= ENTEROVUS
I3_TRICHURIS
4=ANCYLOSTOMA DUODENALE
5. ECOLI
</t>
      </text>
    </comment>
  </commentList>
</comments>
</file>

<file path=xl/sharedStrings.xml><?xml version="1.0" encoding="utf-8"?>
<sst xmlns="http://schemas.openxmlformats.org/spreadsheetml/2006/main" count="322" uniqueCount="148">
  <si>
    <t>CODIGO 2016</t>
  </si>
  <si>
    <t>EDAD</t>
  </si>
  <si>
    <t>SEXO</t>
  </si>
  <si>
    <t>ALTURA</t>
  </si>
  <si>
    <t>PESO</t>
  </si>
  <si>
    <t>%GRASA</t>
  </si>
  <si>
    <t>%MUSCULO</t>
  </si>
  <si>
    <t>GRASA VISCERAL</t>
  </si>
  <si>
    <t>CINT1</t>
  </si>
  <si>
    <t>C2</t>
  </si>
  <si>
    <t>C3</t>
  </si>
  <si>
    <t>C.PROM</t>
  </si>
  <si>
    <t>CAD.1</t>
  </si>
  <si>
    <t>CAD2</t>
  </si>
  <si>
    <t>CAD3</t>
  </si>
  <si>
    <t>CAD.PROM</t>
  </si>
  <si>
    <t>HOMBRO1</t>
  </si>
  <si>
    <t>H.2</t>
  </si>
  <si>
    <t>H.3</t>
  </si>
  <si>
    <t>H.PROM</t>
  </si>
  <si>
    <t>QP1</t>
  </si>
  <si>
    <t>QP2</t>
  </si>
  <si>
    <t>QP3</t>
  </si>
  <si>
    <t>QP4</t>
  </si>
  <si>
    <t>QP5</t>
  </si>
  <si>
    <t>QP6</t>
  </si>
  <si>
    <t>QP6b</t>
  </si>
  <si>
    <t>QP7</t>
  </si>
  <si>
    <t>QP7B</t>
  </si>
  <si>
    <t>QP9</t>
  </si>
  <si>
    <t>QP10</t>
  </si>
  <si>
    <t>2D:4D</t>
  </si>
  <si>
    <t>FOTO</t>
  </si>
  <si>
    <t xml:space="preserve">MUESTRA SALIVA </t>
  </si>
  <si>
    <t>horas antes de la ultima comida</t>
  </si>
  <si>
    <t>Peridontitis</t>
  </si>
  <si>
    <t>KIT</t>
  </si>
  <si>
    <t># HUEVOS</t>
  </si>
  <si>
    <t>ESPECIE</t>
  </si>
  <si>
    <t>N048P</t>
  </si>
  <si>
    <t>ONESIMO RODRIGUEZ AMADO</t>
  </si>
  <si>
    <t>H</t>
  </si>
  <si>
    <t>NADA</t>
  </si>
  <si>
    <t>SEGUIDO</t>
  </si>
  <si>
    <t>NO MUY SEGUIDO</t>
  </si>
  <si>
    <t>N058P</t>
  </si>
  <si>
    <t>MARTIN AURELIO CATARINA</t>
  </si>
  <si>
    <t>CASI NUNCA</t>
  </si>
  <si>
    <t>REGULAR</t>
  </si>
  <si>
    <t>SI</t>
  </si>
  <si>
    <t>N060P</t>
  </si>
  <si>
    <t>MARCELINO RUIZ RODRIGUEZ</t>
  </si>
  <si>
    <t>HOJA DE GUAYABA</t>
  </si>
  <si>
    <t>G068P</t>
  </si>
  <si>
    <t>EULALIO EMILIANO GARCIA</t>
  </si>
  <si>
    <t>ST</t>
  </si>
  <si>
    <t>28min</t>
  </si>
  <si>
    <t>N069P</t>
  </si>
  <si>
    <t>ANSELMO RUBIO SANTIAGO</t>
  </si>
  <si>
    <t>N072P</t>
  </si>
  <si>
    <t>ALBERTO MATEO SANTOS</t>
  </si>
  <si>
    <t>NO TAN SEGUIDO</t>
  </si>
  <si>
    <t>N127P</t>
  </si>
  <si>
    <t>GABINO GARCIA ESPINOZA</t>
  </si>
  <si>
    <t>DIARREA</t>
  </si>
  <si>
    <t>N132P</t>
  </si>
  <si>
    <t>RAUL MIGEUL LORENZO</t>
  </si>
  <si>
    <t>N133P</t>
  </si>
  <si>
    <t>JULIO SANTIAGO DIRCIO</t>
  </si>
  <si>
    <t>N134P</t>
  </si>
  <si>
    <t>CLAUDIO SANTIAGO ZAMORA</t>
  </si>
  <si>
    <t>NO MUCHO</t>
  </si>
  <si>
    <t>N135P</t>
  </si>
  <si>
    <t>FABIAN RUIZ RAMIREZ</t>
  </si>
  <si>
    <t>N136P</t>
  </si>
  <si>
    <t>MARIANO MAURO VAZQUEZ</t>
  </si>
  <si>
    <t>N137P</t>
  </si>
  <si>
    <t>CARLOS SANTIAGO ZAMORA</t>
  </si>
  <si>
    <t>N138P</t>
  </si>
  <si>
    <t>VICTORINO AMADO ENRIQUE</t>
  </si>
  <si>
    <t>N139P</t>
  </si>
  <si>
    <t>MAURILIO RUBIO SANTIAGO</t>
  </si>
  <si>
    <t>PARACETAMOL</t>
  </si>
  <si>
    <t>G016P</t>
  </si>
  <si>
    <t xml:space="preserve">VALETIN GARCIA GATICA </t>
  </si>
  <si>
    <t>G111P</t>
  </si>
  <si>
    <t>Orlando Saturnino Silverio</t>
  </si>
  <si>
    <t>G112P</t>
  </si>
  <si>
    <t>Samuel Garcia Cruz</t>
  </si>
  <si>
    <t>G113P</t>
  </si>
  <si>
    <t>Rogelio González Marcos</t>
  </si>
  <si>
    <t>G114P</t>
  </si>
  <si>
    <t>Juventino Esteban Santos</t>
  </si>
  <si>
    <t>G115P</t>
  </si>
  <si>
    <t>Hipolito nava gil</t>
  </si>
  <si>
    <t>EST=0</t>
  </si>
  <si>
    <t>GART=0</t>
  </si>
  <si>
    <t>G116P</t>
  </si>
  <si>
    <t>ANTONIO NAVA AURELIO</t>
  </si>
  <si>
    <t>76,9</t>
  </si>
  <si>
    <t>G117P</t>
  </si>
  <si>
    <t>EUGENIO GARCIA NERI</t>
  </si>
  <si>
    <t>G012P</t>
  </si>
  <si>
    <t xml:space="preserve">NATALIO AURELIO ALBERTO </t>
  </si>
  <si>
    <t>CHICUNCUÑA, GARGANTA Y DIARREA</t>
  </si>
  <si>
    <t>Entrego</t>
  </si>
  <si>
    <t>G020P</t>
  </si>
  <si>
    <t xml:space="preserve">ALFONSO CARRANZA SANTIAGO </t>
  </si>
  <si>
    <t>G025P</t>
  </si>
  <si>
    <t xml:space="preserve">JOSE NERI  MORA </t>
  </si>
  <si>
    <t>G028P</t>
  </si>
  <si>
    <t xml:space="preserve">LINO NAVA SILVERIO </t>
  </si>
  <si>
    <t>Infeccion garganta, 31 dic.Ampicilina</t>
  </si>
  <si>
    <t>Infeccion Garganta</t>
  </si>
  <si>
    <t>IMG53-IMG55</t>
  </si>
  <si>
    <t>3.3horas</t>
  </si>
  <si>
    <t>G029P</t>
  </si>
  <si>
    <t xml:space="preserve">BERNANDINO ORTEGA SANTIAGO </t>
  </si>
  <si>
    <t>PARA LA FIEBRE</t>
  </si>
  <si>
    <t>GARGANTA</t>
  </si>
  <si>
    <t>SIN FOTO</t>
  </si>
  <si>
    <t>G030P</t>
  </si>
  <si>
    <t xml:space="preserve">CARLOS CARRANZA AURELIO </t>
  </si>
  <si>
    <t>COLICOS ESTOMAGO</t>
  </si>
  <si>
    <t>30 MIN</t>
  </si>
  <si>
    <t>G033P</t>
  </si>
  <si>
    <t>LEONARDO NAVA CALIXTO</t>
  </si>
  <si>
    <t>Nada</t>
  </si>
  <si>
    <t>Chigunguya-tomo para fiebre</t>
  </si>
  <si>
    <t>G034P</t>
  </si>
  <si>
    <t>SEVERIANO GARCIA GARCIA</t>
  </si>
  <si>
    <t>nada</t>
  </si>
  <si>
    <t>G045P</t>
  </si>
  <si>
    <t>VILLAR GATICA GARCIA</t>
  </si>
  <si>
    <t>No  tomo</t>
  </si>
  <si>
    <t>Estomago</t>
  </si>
  <si>
    <t>si</t>
  </si>
  <si>
    <t>4HORAS</t>
  </si>
  <si>
    <t>G081P</t>
  </si>
  <si>
    <t xml:space="preserve">ANTOLIN MARCELO GATICA </t>
  </si>
  <si>
    <t>VOMITO, NO TOMO MEDICAMENTO</t>
  </si>
  <si>
    <t>4 HORAS</t>
  </si>
  <si>
    <t>G102P</t>
  </si>
  <si>
    <t>BENITO DIRCIO DONATO</t>
  </si>
  <si>
    <t>FIEBRE</t>
  </si>
  <si>
    <t>G105P</t>
  </si>
  <si>
    <t>MARCIAL CARRANZA SANTIAGO</t>
  </si>
  <si>
    <t>G105P(1)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</si>
</sst>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sz val="18.0"/>
      <color rgb="FF000000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sz val="12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B002"/>
        <bgColor rgb="FF00B002"/>
      </patternFill>
    </fill>
    <fill>
      <patternFill patternType="solid">
        <fgColor rgb="FF008000"/>
        <bgColor rgb="FF008000"/>
      </patternFill>
    </fill>
    <fill>
      <patternFill patternType="solid">
        <fgColor rgb="FF2AA502"/>
        <bgColor rgb="FF2AA502"/>
      </patternFill>
    </fill>
    <fill>
      <patternFill patternType="solid">
        <fgColor rgb="FFFFFF00"/>
        <bgColor rgb="FFFFFF00"/>
      </patternFill>
    </fill>
    <fill>
      <patternFill patternType="solid">
        <fgColor rgb="FF269206"/>
        <bgColor rgb="FF26920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3" fontId="0" numFmtId="0" xfId="0" applyBorder="1" applyFont="1"/>
    <xf borderId="1" fillId="4" fontId="3" numFmtId="0" xfId="0" applyBorder="1" applyFill="1" applyFont="1"/>
    <xf borderId="1" fillId="2" fontId="0" numFmtId="0" xfId="0" applyBorder="1" applyFont="1"/>
    <xf borderId="1" fillId="5" fontId="3" numFmtId="0" xfId="0" applyBorder="1" applyFill="1" applyFont="1"/>
    <xf borderId="1" fillId="2" fontId="3" numFmtId="0" xfId="0" applyBorder="1" applyFont="1"/>
    <xf borderId="1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0.71"/>
    <col customWidth="1" min="2" max="2" width="61.43"/>
    <col customWidth="1" min="3" max="17" width="10.71"/>
    <col customWidth="1" min="18" max="18" width="15.0"/>
    <col customWidth="1" min="19" max="42" width="10.71"/>
  </cols>
  <sheetData>
    <row r="1" ht="339.75" customHeight="1">
      <c r="A1" s="1" t="s">
        <v>0</v>
      </c>
      <c r="B1" s="2"/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1" t="s">
        <v>37</v>
      </c>
      <c r="AN1" s="1" t="s">
        <v>38</v>
      </c>
      <c r="AO1" s="1"/>
      <c r="AP1" s="1"/>
    </row>
    <row r="2">
      <c r="A2" s="4" t="s">
        <v>39</v>
      </c>
      <c r="B2" s="4" t="s">
        <v>40</v>
      </c>
      <c r="C2" s="4">
        <v>18.0</v>
      </c>
      <c r="D2" s="4" t="s">
        <v>41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>
        <v>3.0</v>
      </c>
      <c r="W2" s="4">
        <v>4.0</v>
      </c>
      <c r="X2" s="4">
        <v>3.0</v>
      </c>
      <c r="Y2" s="4">
        <v>3.0</v>
      </c>
      <c r="Z2" s="4">
        <v>4.0</v>
      </c>
      <c r="AA2" s="4">
        <v>1.0</v>
      </c>
      <c r="AB2" s="4" t="s">
        <v>42</v>
      </c>
      <c r="AC2" s="4">
        <v>0.0</v>
      </c>
      <c r="AD2" s="4" t="s">
        <v>42</v>
      </c>
      <c r="AE2" s="4" t="s">
        <v>43</v>
      </c>
      <c r="AF2" s="4" t="s">
        <v>44</v>
      </c>
      <c r="AG2" s="4"/>
      <c r="AH2" s="4"/>
      <c r="AI2" s="4"/>
      <c r="AJ2" s="4">
        <v>12.0</v>
      </c>
      <c r="AK2" s="4">
        <v>3.0</v>
      </c>
      <c r="AL2" s="4"/>
      <c r="AM2" s="4"/>
      <c r="AN2" s="4"/>
      <c r="AO2" s="4"/>
      <c r="AP2" s="4"/>
    </row>
    <row r="3">
      <c r="A3" s="4" t="s">
        <v>45</v>
      </c>
      <c r="B3" s="5" t="s">
        <v>46</v>
      </c>
      <c r="C3" s="4">
        <v>32.0</v>
      </c>
      <c r="D3" s="4" t="s">
        <v>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>
        <v>4.0</v>
      </c>
      <c r="W3" s="4">
        <v>5.0</v>
      </c>
      <c r="X3" s="4">
        <v>4.0</v>
      </c>
      <c r="Y3" s="4">
        <v>4.0</v>
      </c>
      <c r="Z3" s="4">
        <v>3.0</v>
      </c>
      <c r="AA3" s="4">
        <v>0.0</v>
      </c>
      <c r="AB3" s="4"/>
      <c r="AC3" s="4">
        <v>1.0</v>
      </c>
      <c r="AD3" s="4" t="s">
        <v>42</v>
      </c>
      <c r="AE3" s="4" t="s">
        <v>47</v>
      </c>
      <c r="AF3" s="4" t="s">
        <v>48</v>
      </c>
      <c r="AG3" s="4" t="s">
        <v>49</v>
      </c>
      <c r="AH3" s="4" t="s">
        <v>49</v>
      </c>
      <c r="AI3" s="4"/>
      <c r="AJ3" s="4">
        <v>4.0</v>
      </c>
      <c r="AK3" s="4">
        <v>3.0</v>
      </c>
      <c r="AL3" s="4"/>
      <c r="AM3" s="4"/>
      <c r="AN3" s="4"/>
      <c r="AO3" s="4"/>
      <c r="AP3" s="4"/>
    </row>
    <row r="4">
      <c r="A4" s="4" t="s">
        <v>50</v>
      </c>
      <c r="B4" s="5" t="s">
        <v>51</v>
      </c>
      <c r="C4" s="4">
        <v>39.0</v>
      </c>
      <c r="D4" s="4" t="s">
        <v>41</v>
      </c>
      <c r="E4" s="4">
        <v>1.49</v>
      </c>
      <c r="F4" s="6">
        <v>57.3</v>
      </c>
      <c r="G4" s="6">
        <v>28.0</v>
      </c>
      <c r="H4" s="6">
        <v>34.0</v>
      </c>
      <c r="I4" s="6">
        <v>11.0</v>
      </c>
      <c r="J4" s="4"/>
      <c r="K4" s="4"/>
      <c r="L4" s="4"/>
      <c r="M4" s="4">
        <v>82.7</v>
      </c>
      <c r="N4" s="4"/>
      <c r="O4" s="4"/>
      <c r="P4" s="4"/>
      <c r="Q4" s="4">
        <v>91.0</v>
      </c>
      <c r="R4" s="4"/>
      <c r="S4" s="4"/>
      <c r="T4" s="4"/>
      <c r="U4" s="4">
        <v>41.1</v>
      </c>
      <c r="V4" s="4">
        <v>3.0</v>
      </c>
      <c r="W4" s="4">
        <v>3.0</v>
      </c>
      <c r="X4" s="4">
        <v>4.0</v>
      </c>
      <c r="Y4" s="4">
        <v>4.0</v>
      </c>
      <c r="Z4" s="4">
        <v>4.0</v>
      </c>
      <c r="AA4" s="4">
        <v>1.0</v>
      </c>
      <c r="AB4" s="4" t="s">
        <v>52</v>
      </c>
      <c r="AC4" s="4">
        <v>0.0</v>
      </c>
      <c r="AD4" s="4"/>
      <c r="AE4" s="4" t="s">
        <v>48</v>
      </c>
      <c r="AF4" s="4" t="s">
        <v>48</v>
      </c>
      <c r="AG4" s="4" t="s">
        <v>49</v>
      </c>
      <c r="AH4" s="4" t="s">
        <v>49</v>
      </c>
      <c r="AI4" s="4" t="s">
        <v>49</v>
      </c>
      <c r="AJ4" s="4">
        <v>1.0</v>
      </c>
      <c r="AK4" s="4">
        <v>4.0</v>
      </c>
      <c r="AL4" s="4"/>
      <c r="AM4" s="4"/>
      <c r="AN4" s="4"/>
      <c r="AO4" s="4"/>
      <c r="AP4" s="4"/>
    </row>
    <row r="5">
      <c r="A5" s="7" t="s">
        <v>53</v>
      </c>
      <c r="B5" s="7" t="s">
        <v>54</v>
      </c>
      <c r="C5" s="7">
        <v>26.0</v>
      </c>
      <c r="D5" s="7" t="s">
        <v>41</v>
      </c>
      <c r="E5" s="7">
        <v>167.0</v>
      </c>
      <c r="F5" s="7">
        <v>59.2</v>
      </c>
      <c r="G5" s="7">
        <v>16.4</v>
      </c>
      <c r="H5" s="7">
        <v>41.8</v>
      </c>
      <c r="I5" s="7">
        <v>2.0</v>
      </c>
      <c r="J5" s="7">
        <v>79.0</v>
      </c>
      <c r="K5" s="7">
        <v>79.3</v>
      </c>
      <c r="L5" s="7">
        <v>79.0</v>
      </c>
      <c r="M5" s="7">
        <f>AVERAGE(J5:L5)</f>
        <v>79.1</v>
      </c>
      <c r="N5" s="7">
        <v>93.5</v>
      </c>
      <c r="O5" s="7">
        <v>93.0</v>
      </c>
      <c r="P5" s="7">
        <v>93.0</v>
      </c>
      <c r="Q5" s="7">
        <f>AVERAGE(N5:P5)</f>
        <v>93.16666667</v>
      </c>
      <c r="R5" s="7">
        <v>52.0</v>
      </c>
      <c r="S5" s="7">
        <v>51.4</v>
      </c>
      <c r="T5" s="7">
        <v>51.5</v>
      </c>
      <c r="U5" s="7">
        <f>AVERAGE(R5:T5)</f>
        <v>51.63333333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 t="s">
        <v>49</v>
      </c>
      <c r="AH5" s="7" t="s">
        <v>53</v>
      </c>
      <c r="AI5" s="7" t="s">
        <v>55</v>
      </c>
      <c r="AJ5" s="7" t="s">
        <v>56</v>
      </c>
      <c r="AK5" s="7">
        <v>3.0</v>
      </c>
      <c r="AL5" s="7"/>
      <c r="AM5" s="7"/>
      <c r="AN5" s="7"/>
      <c r="AO5" s="7"/>
      <c r="AP5" s="7"/>
    </row>
    <row r="6">
      <c r="A6" s="4" t="s">
        <v>57</v>
      </c>
      <c r="B6" s="4" t="s">
        <v>58</v>
      </c>
      <c r="C6" s="4">
        <v>27.0</v>
      </c>
      <c r="D6" s="4" t="s">
        <v>41</v>
      </c>
      <c r="E6" s="4">
        <v>1.58</v>
      </c>
      <c r="F6" s="4">
        <v>72.5</v>
      </c>
      <c r="G6" s="4">
        <v>30.0</v>
      </c>
      <c r="H6" s="4">
        <v>35.6</v>
      </c>
      <c r="I6" s="4">
        <v>11.0</v>
      </c>
      <c r="J6" s="4"/>
      <c r="K6" s="4"/>
      <c r="L6" s="4"/>
      <c r="M6" s="4">
        <v>99.0</v>
      </c>
      <c r="N6" s="4"/>
      <c r="O6" s="4"/>
      <c r="P6" s="4"/>
      <c r="Q6" s="4">
        <v>102.0</v>
      </c>
      <c r="R6" s="4"/>
      <c r="S6" s="4"/>
      <c r="T6" s="4"/>
      <c r="U6" s="4">
        <v>43.0</v>
      </c>
      <c r="V6" s="4">
        <v>2.0</v>
      </c>
      <c r="W6" s="4">
        <v>4.0</v>
      </c>
      <c r="X6" s="4">
        <v>3.0</v>
      </c>
      <c r="Y6" s="4">
        <v>3.0</v>
      </c>
      <c r="Z6" s="4">
        <v>3.0</v>
      </c>
      <c r="AA6" s="4">
        <v>0.0</v>
      </c>
      <c r="AB6" s="4">
        <v>0.0</v>
      </c>
      <c r="AC6" s="4">
        <v>0.0</v>
      </c>
      <c r="AD6" s="4"/>
      <c r="AE6" s="4">
        <v>3.0</v>
      </c>
      <c r="AF6" s="4">
        <v>3.0</v>
      </c>
      <c r="AG6" s="4" t="s">
        <v>49</v>
      </c>
      <c r="AH6" s="4" t="s">
        <v>49</v>
      </c>
      <c r="AI6" s="4" t="s">
        <v>49</v>
      </c>
      <c r="AJ6" s="4">
        <v>3.0</v>
      </c>
      <c r="AK6" s="4">
        <v>3.0</v>
      </c>
      <c r="AL6" s="4"/>
      <c r="AM6" s="4"/>
      <c r="AN6" s="4"/>
      <c r="AO6" s="4"/>
      <c r="AP6" s="4"/>
    </row>
    <row r="7">
      <c r="A7" s="4" t="s">
        <v>59</v>
      </c>
      <c r="B7" s="4" t="s">
        <v>60</v>
      </c>
      <c r="C7" s="4">
        <v>18.0</v>
      </c>
      <c r="D7" s="4" t="s">
        <v>41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>
        <v>4.0</v>
      </c>
      <c r="W7" s="4">
        <v>4.0</v>
      </c>
      <c r="X7" s="4">
        <v>4.0</v>
      </c>
      <c r="Y7" s="4">
        <v>4.0</v>
      </c>
      <c r="Z7" s="4">
        <v>2.0</v>
      </c>
      <c r="AA7" s="4">
        <v>0.0</v>
      </c>
      <c r="AB7" s="4">
        <v>0.0</v>
      </c>
      <c r="AC7" s="4">
        <v>1.0</v>
      </c>
      <c r="AD7" s="4" t="s">
        <v>42</v>
      </c>
      <c r="AE7" s="4" t="s">
        <v>43</v>
      </c>
      <c r="AF7" s="4" t="s">
        <v>61</v>
      </c>
      <c r="AG7" s="4" t="s">
        <v>49</v>
      </c>
      <c r="AH7" s="4" t="s">
        <v>49</v>
      </c>
      <c r="AI7" s="4" t="s">
        <v>49</v>
      </c>
      <c r="AJ7" s="4">
        <v>7.0</v>
      </c>
      <c r="AK7" s="4">
        <v>2.0</v>
      </c>
      <c r="AL7" s="4"/>
      <c r="AM7" s="4"/>
      <c r="AN7" s="4"/>
      <c r="AO7" s="4"/>
      <c r="AP7" s="4"/>
    </row>
    <row r="8">
      <c r="A8" s="4" t="s">
        <v>62</v>
      </c>
      <c r="B8" s="4" t="s">
        <v>63</v>
      </c>
      <c r="C8" s="4">
        <v>32.0</v>
      </c>
      <c r="D8" s="4" t="s">
        <v>41</v>
      </c>
      <c r="E8" s="6">
        <v>167.2</v>
      </c>
      <c r="F8" s="6">
        <v>71.9</v>
      </c>
      <c r="G8" s="6">
        <v>25.3</v>
      </c>
      <c r="H8" s="6">
        <v>36.3</v>
      </c>
      <c r="I8" s="6">
        <v>9.0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3.0</v>
      </c>
      <c r="W8" s="6">
        <v>4.0</v>
      </c>
      <c r="X8" s="6">
        <v>4.0</v>
      </c>
      <c r="Y8" s="6">
        <v>3.0</v>
      </c>
      <c r="Z8" s="6">
        <v>3.0</v>
      </c>
      <c r="AA8" s="6">
        <v>1.0</v>
      </c>
      <c r="AB8" s="6" t="s">
        <v>64</v>
      </c>
      <c r="AC8" s="6">
        <v>0.0</v>
      </c>
      <c r="AD8" s="6">
        <v>0.0</v>
      </c>
      <c r="AE8" s="6">
        <v>3.0</v>
      </c>
      <c r="AF8" s="6">
        <v>2.0</v>
      </c>
      <c r="AG8" s="6" t="s">
        <v>49</v>
      </c>
      <c r="AH8" s="6" t="s">
        <v>49</v>
      </c>
      <c r="AI8" s="6" t="s">
        <v>49</v>
      </c>
      <c r="AJ8" s="6">
        <v>6.0</v>
      </c>
      <c r="AK8" s="6">
        <v>3.0</v>
      </c>
      <c r="AL8" s="6"/>
      <c r="AM8" s="6"/>
      <c r="AN8" s="6"/>
      <c r="AO8" s="6"/>
      <c r="AP8" s="6"/>
    </row>
    <row r="9">
      <c r="A9" s="4" t="s">
        <v>65</v>
      </c>
      <c r="B9" s="4" t="s">
        <v>66</v>
      </c>
      <c r="C9" s="4">
        <v>29.0</v>
      </c>
      <c r="D9" s="4" t="s">
        <v>41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2.0</v>
      </c>
      <c r="W9" s="6">
        <v>4.0</v>
      </c>
      <c r="X9" s="6">
        <v>4.0</v>
      </c>
      <c r="Y9" s="6">
        <v>4.0</v>
      </c>
      <c r="Z9" s="6">
        <v>3.0</v>
      </c>
      <c r="AA9" s="6">
        <v>1.0</v>
      </c>
      <c r="AB9" s="6" t="s">
        <v>42</v>
      </c>
      <c r="AC9" s="6">
        <v>1.0</v>
      </c>
      <c r="AD9" s="6" t="s">
        <v>42</v>
      </c>
      <c r="AE9" s="6">
        <v>4.0</v>
      </c>
      <c r="AF9" s="6">
        <v>4.0</v>
      </c>
      <c r="AG9" s="6" t="s">
        <v>49</v>
      </c>
      <c r="AH9" s="6" t="s">
        <v>49</v>
      </c>
      <c r="AI9" s="6" t="s">
        <v>49</v>
      </c>
      <c r="AJ9" s="6">
        <v>5.0</v>
      </c>
      <c r="AK9" s="6">
        <v>4.0</v>
      </c>
      <c r="AL9" s="6" t="s">
        <v>49</v>
      </c>
      <c r="AM9" s="6"/>
      <c r="AN9" s="6"/>
      <c r="AO9" s="6"/>
      <c r="AP9" s="6"/>
    </row>
    <row r="10">
      <c r="A10" s="4" t="s">
        <v>67</v>
      </c>
      <c r="B10" s="4" t="s">
        <v>68</v>
      </c>
      <c r="C10" s="4">
        <v>25.0</v>
      </c>
      <c r="D10" s="4" t="s">
        <v>41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3.0</v>
      </c>
      <c r="W10" s="6">
        <v>3.0</v>
      </c>
      <c r="X10" s="6">
        <v>3.0</v>
      </c>
      <c r="Y10" s="6">
        <v>3.0</v>
      </c>
      <c r="Z10" s="6">
        <v>2.0</v>
      </c>
      <c r="AA10" s="6">
        <v>0.0</v>
      </c>
      <c r="AB10" s="6">
        <v>0.0</v>
      </c>
      <c r="AC10" s="6">
        <v>0.0</v>
      </c>
      <c r="AD10" s="6">
        <v>0.0</v>
      </c>
      <c r="AE10" s="6">
        <v>4.0</v>
      </c>
      <c r="AF10" s="6">
        <v>4.0</v>
      </c>
      <c r="AG10" s="6" t="s">
        <v>49</v>
      </c>
      <c r="AH10" s="6" t="s">
        <v>49</v>
      </c>
      <c r="AI10" s="6" t="s">
        <v>49</v>
      </c>
      <c r="AJ10" s="6">
        <v>5.0</v>
      </c>
      <c r="AK10" s="6">
        <v>3.0</v>
      </c>
      <c r="AL10" s="6"/>
      <c r="AM10" s="6"/>
      <c r="AN10" s="6"/>
      <c r="AO10" s="6"/>
      <c r="AP10" s="6"/>
    </row>
    <row r="11">
      <c r="A11" s="4" t="s">
        <v>69</v>
      </c>
      <c r="B11" s="4" t="s">
        <v>70</v>
      </c>
      <c r="C11" s="4">
        <v>33.0</v>
      </c>
      <c r="D11" s="4" t="s">
        <v>41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4.0</v>
      </c>
      <c r="W11" s="6">
        <v>4.0</v>
      </c>
      <c r="X11" s="6">
        <v>4.0</v>
      </c>
      <c r="Y11" s="6">
        <v>4.0</v>
      </c>
      <c r="Z11" s="6">
        <v>3.0</v>
      </c>
      <c r="AA11" s="6">
        <v>1.0</v>
      </c>
      <c r="AB11" s="6" t="s">
        <v>42</v>
      </c>
      <c r="AC11" s="6">
        <v>0.0</v>
      </c>
      <c r="AD11" s="6" t="s">
        <v>42</v>
      </c>
      <c r="AE11" s="6" t="s">
        <v>48</v>
      </c>
      <c r="AF11" s="6" t="s">
        <v>71</v>
      </c>
      <c r="AG11" s="6" t="s">
        <v>49</v>
      </c>
      <c r="AH11" s="6" t="s">
        <v>49</v>
      </c>
      <c r="AI11" s="6" t="s">
        <v>49</v>
      </c>
      <c r="AJ11" s="6">
        <v>3.0</v>
      </c>
      <c r="AK11" s="6">
        <v>3.0</v>
      </c>
      <c r="AL11" s="6"/>
      <c r="AM11" s="6"/>
      <c r="AN11" s="6"/>
      <c r="AO11" s="6"/>
      <c r="AP11" s="6"/>
    </row>
    <row r="12">
      <c r="A12" s="4" t="s">
        <v>72</v>
      </c>
      <c r="B12" s="4" t="s">
        <v>73</v>
      </c>
      <c r="C12" s="4">
        <v>19.0</v>
      </c>
      <c r="D12" s="4" t="s">
        <v>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4.0</v>
      </c>
      <c r="W12" s="6">
        <v>4.0</v>
      </c>
      <c r="X12" s="6">
        <v>3.0</v>
      </c>
      <c r="Y12" s="6">
        <v>3.0</v>
      </c>
      <c r="Z12" s="6">
        <v>4.0</v>
      </c>
      <c r="AA12" s="6">
        <v>0.0</v>
      </c>
      <c r="AB12" s="6" t="s">
        <v>42</v>
      </c>
      <c r="AC12" s="6">
        <v>0.0</v>
      </c>
      <c r="AD12" s="6" t="s">
        <v>42</v>
      </c>
      <c r="AE12" s="6" t="s">
        <v>71</v>
      </c>
      <c r="AF12" s="6" t="s">
        <v>71</v>
      </c>
      <c r="AG12" s="6" t="s">
        <v>49</v>
      </c>
      <c r="AH12" s="6" t="s">
        <v>49</v>
      </c>
      <c r="AI12" s="6" t="s">
        <v>49</v>
      </c>
      <c r="AJ12" s="6">
        <v>6.0</v>
      </c>
      <c r="AK12" s="6">
        <v>2.0</v>
      </c>
      <c r="AL12" s="6" t="s">
        <v>49</v>
      </c>
      <c r="AM12" s="6"/>
      <c r="AN12" s="6"/>
      <c r="AO12" s="6"/>
      <c r="AP12" s="6"/>
    </row>
    <row r="13">
      <c r="A13" s="4" t="s">
        <v>74</v>
      </c>
      <c r="B13" s="4" t="s">
        <v>75</v>
      </c>
      <c r="C13" s="4">
        <v>23.0</v>
      </c>
      <c r="D13" s="4" t="s">
        <v>41</v>
      </c>
      <c r="V13" s="6">
        <v>3.0</v>
      </c>
      <c r="W13" s="6">
        <v>4.0</v>
      </c>
      <c r="X13" s="6">
        <v>4.0</v>
      </c>
      <c r="Y13" s="6">
        <v>4.0</v>
      </c>
      <c r="Z13" s="6">
        <v>3.0</v>
      </c>
      <c r="AA13" s="6">
        <v>0.0</v>
      </c>
      <c r="AB13" t="s">
        <v>42</v>
      </c>
      <c r="AC13" s="6">
        <v>1.0</v>
      </c>
      <c r="AD13" t="s">
        <v>42</v>
      </c>
      <c r="AE13" t="s">
        <v>71</v>
      </c>
      <c r="AF13" t="s">
        <v>48</v>
      </c>
      <c r="AG13" s="6" t="s">
        <v>49</v>
      </c>
      <c r="AH13" s="8" t="s">
        <v>49</v>
      </c>
      <c r="AI13" s="8" t="s">
        <v>49</v>
      </c>
      <c r="AJ13" s="8">
        <v>6.0</v>
      </c>
      <c r="AK13" s="8">
        <v>3.0</v>
      </c>
      <c r="AL13" s="8" t="s">
        <v>49</v>
      </c>
    </row>
    <row r="14">
      <c r="A14" s="4" t="s">
        <v>76</v>
      </c>
      <c r="B14" s="4" t="s">
        <v>77</v>
      </c>
      <c r="C14" s="4">
        <v>22.0</v>
      </c>
      <c r="D14" s="4" t="s">
        <v>41</v>
      </c>
      <c r="V14" s="6">
        <v>2.0</v>
      </c>
      <c r="W14" s="6">
        <v>3.0</v>
      </c>
      <c r="X14" s="6">
        <v>4.0</v>
      </c>
      <c r="Y14" s="6">
        <v>4.0</v>
      </c>
      <c r="Z14" s="6">
        <v>3.0</v>
      </c>
      <c r="AA14" s="6">
        <v>1.0</v>
      </c>
      <c r="AB14" s="6" t="s">
        <v>42</v>
      </c>
      <c r="AC14" s="6">
        <v>0.0</v>
      </c>
      <c r="AD14" s="6" t="s">
        <v>42</v>
      </c>
      <c r="AE14" s="6" t="s">
        <v>48</v>
      </c>
      <c r="AF14" s="6" t="s">
        <v>71</v>
      </c>
      <c r="AG14" s="6" t="s">
        <v>49</v>
      </c>
      <c r="AH14" s="8" t="s">
        <v>49</v>
      </c>
      <c r="AI14" s="8" t="s">
        <v>49</v>
      </c>
      <c r="AJ14" s="8">
        <v>6.0</v>
      </c>
      <c r="AK14" s="8">
        <v>3.0</v>
      </c>
      <c r="AL14" s="8" t="s">
        <v>49</v>
      </c>
    </row>
    <row r="15">
      <c r="A15" s="4" t="s">
        <v>78</v>
      </c>
      <c r="B15" s="4" t="s">
        <v>79</v>
      </c>
      <c r="C15" s="6">
        <v>25.0</v>
      </c>
      <c r="D15" s="6" t="s">
        <v>41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3.0</v>
      </c>
      <c r="W15" s="6">
        <v>4.0</v>
      </c>
      <c r="X15" s="6">
        <v>3.0</v>
      </c>
      <c r="Y15" s="6">
        <v>3.0</v>
      </c>
      <c r="Z15" s="6">
        <v>3.0</v>
      </c>
      <c r="AA15" s="6">
        <v>0.0</v>
      </c>
      <c r="AB15" s="6" t="s">
        <v>42</v>
      </c>
      <c r="AC15" s="6">
        <v>1.0</v>
      </c>
      <c r="AD15" s="6" t="s">
        <v>42</v>
      </c>
      <c r="AE15" s="6" t="s">
        <v>48</v>
      </c>
      <c r="AF15" s="6" t="s">
        <v>71</v>
      </c>
      <c r="AG15" s="6"/>
      <c r="AH15" s="6"/>
      <c r="AI15" s="6"/>
      <c r="AJ15" s="6">
        <v>15.0</v>
      </c>
      <c r="AK15" s="6">
        <v>1.0</v>
      </c>
      <c r="AL15" s="6"/>
      <c r="AM15" s="6"/>
      <c r="AN15" s="6"/>
      <c r="AO15" s="6"/>
      <c r="AP15" s="6"/>
    </row>
    <row r="16">
      <c r="A16" s="4" t="s">
        <v>80</v>
      </c>
      <c r="B16" s="4" t="s">
        <v>81</v>
      </c>
      <c r="C16" s="4">
        <v>36.0</v>
      </c>
      <c r="D16" s="4" t="s">
        <v>41</v>
      </c>
      <c r="V16" s="6">
        <v>3.0</v>
      </c>
      <c r="W16" s="6">
        <v>4.0</v>
      </c>
      <c r="X16" s="6">
        <v>4.0</v>
      </c>
      <c r="Y16" s="6">
        <v>4.0</v>
      </c>
      <c r="Z16" s="6">
        <v>3.0</v>
      </c>
      <c r="AA16" s="6">
        <v>0.0</v>
      </c>
      <c r="AB16" s="6" t="s">
        <v>42</v>
      </c>
      <c r="AC16" s="6">
        <v>1.0</v>
      </c>
      <c r="AD16" s="6" t="s">
        <v>82</v>
      </c>
      <c r="AE16" s="6" t="s">
        <v>48</v>
      </c>
      <c r="AF16" s="6" t="s">
        <v>48</v>
      </c>
      <c r="AG16" s="6" t="s">
        <v>49</v>
      </c>
      <c r="AH16" s="8" t="s">
        <v>49</v>
      </c>
      <c r="AI16" s="8" t="s">
        <v>49</v>
      </c>
      <c r="AJ16" s="8">
        <v>2.0</v>
      </c>
      <c r="AK16" s="8">
        <v>4.0</v>
      </c>
      <c r="AL16" s="8" t="s">
        <v>49</v>
      </c>
    </row>
    <row r="17">
      <c r="A17" s="4" t="s">
        <v>83</v>
      </c>
      <c r="B17" s="4" t="s">
        <v>84</v>
      </c>
      <c r="C17" s="4">
        <v>42.0</v>
      </c>
      <c r="D17" s="4" t="s">
        <v>41</v>
      </c>
      <c r="E17" s="4">
        <v>162.0</v>
      </c>
      <c r="F17" s="4">
        <v>56.6</v>
      </c>
      <c r="G17" s="4">
        <v>17.5</v>
      </c>
      <c r="H17" s="4">
        <v>39.1</v>
      </c>
      <c r="I17" s="4">
        <v>5.0</v>
      </c>
      <c r="J17" s="9">
        <v>82.9</v>
      </c>
      <c r="K17" s="9">
        <v>83.5</v>
      </c>
      <c r="L17" s="9">
        <v>83.8</v>
      </c>
      <c r="M17" s="9">
        <f t="shared" ref="M17:M24" si="1">AVERAGE(J17:L17)</f>
        <v>83.4</v>
      </c>
      <c r="N17" s="9">
        <v>95.5</v>
      </c>
      <c r="O17" s="9">
        <v>95.7</v>
      </c>
      <c r="P17" s="9">
        <v>95.9</v>
      </c>
      <c r="Q17" s="9">
        <f t="shared" ref="Q17:Q24" si="2">AVERAGE(N17:P17)</f>
        <v>95.7</v>
      </c>
      <c r="R17" s="9">
        <v>47.4</v>
      </c>
      <c r="S17" s="9">
        <v>48.6</v>
      </c>
      <c r="T17" s="9">
        <v>48.8</v>
      </c>
      <c r="U17" s="9">
        <f t="shared" ref="U17:U24" si="3">AVERAGE(R17:T17)</f>
        <v>48.26666667</v>
      </c>
      <c r="V17" s="9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 t="s">
        <v>49</v>
      </c>
      <c r="AH17" s="4" t="s">
        <v>49</v>
      </c>
      <c r="AI17" s="4" t="s">
        <v>49</v>
      </c>
      <c r="AJ17" s="4">
        <v>3.0</v>
      </c>
      <c r="AK17" s="4">
        <v>5.0</v>
      </c>
      <c r="AL17" s="4" t="s">
        <v>49</v>
      </c>
      <c r="AM17" s="4"/>
      <c r="AN17" s="4"/>
      <c r="AO17" s="4"/>
      <c r="AP17" s="4"/>
    </row>
    <row r="18">
      <c r="A18" s="4" t="s">
        <v>85</v>
      </c>
      <c r="B18" s="4" t="s">
        <v>86</v>
      </c>
      <c r="C18" s="4">
        <v>25.0</v>
      </c>
      <c r="D18" s="4" t="s">
        <v>41</v>
      </c>
      <c r="E18" s="6">
        <v>173.5</v>
      </c>
      <c r="F18" s="6">
        <v>78.8</v>
      </c>
      <c r="G18" s="6">
        <v>27.8</v>
      </c>
      <c r="H18" s="6">
        <v>35.6</v>
      </c>
      <c r="I18" s="6">
        <v>9.0</v>
      </c>
      <c r="J18" s="6">
        <v>94.5</v>
      </c>
      <c r="K18" s="6">
        <v>95.3</v>
      </c>
      <c r="L18" s="6">
        <v>94.0</v>
      </c>
      <c r="M18" s="6">
        <f t="shared" si="1"/>
        <v>94.6</v>
      </c>
      <c r="N18" s="6">
        <v>100.5</v>
      </c>
      <c r="O18" s="6">
        <v>102.0</v>
      </c>
      <c r="P18" s="6">
        <v>102.0</v>
      </c>
      <c r="Q18" s="6">
        <f t="shared" si="2"/>
        <v>101.5</v>
      </c>
      <c r="R18" s="6">
        <v>57.3</v>
      </c>
      <c r="S18" s="6">
        <v>57.5</v>
      </c>
      <c r="T18" s="6">
        <v>58.0</v>
      </c>
      <c r="U18" s="6">
        <f t="shared" si="3"/>
        <v>57.6</v>
      </c>
      <c r="V18" s="6">
        <v>2.0</v>
      </c>
      <c r="W18" s="6">
        <v>4.0</v>
      </c>
      <c r="X18" s="6">
        <v>3.0</v>
      </c>
      <c r="Y18" s="6">
        <v>3.0</v>
      </c>
      <c r="Z18" s="6">
        <v>3.0</v>
      </c>
      <c r="AA18" s="6">
        <v>0.0</v>
      </c>
      <c r="AB18" s="6">
        <v>0.0</v>
      </c>
      <c r="AC18" s="6">
        <v>0.0</v>
      </c>
      <c r="AD18" s="6">
        <v>0.0</v>
      </c>
      <c r="AE18" s="6">
        <v>1.0</v>
      </c>
      <c r="AF18" s="6">
        <v>1.0</v>
      </c>
      <c r="AG18" s="6" t="s">
        <v>49</v>
      </c>
      <c r="AH18" s="6" t="s">
        <v>49</v>
      </c>
      <c r="AI18" s="6" t="s">
        <v>49</v>
      </c>
      <c r="AJ18" s="6">
        <v>7.0</v>
      </c>
      <c r="AK18" s="6">
        <v>3.0</v>
      </c>
      <c r="AL18" s="6"/>
      <c r="AM18" s="6"/>
      <c r="AN18" s="6"/>
      <c r="AO18" s="6"/>
      <c r="AP18" s="6"/>
    </row>
    <row r="19">
      <c r="A19" s="4" t="s">
        <v>87</v>
      </c>
      <c r="B19" s="4" t="s">
        <v>88</v>
      </c>
      <c r="C19" s="4">
        <v>24.0</v>
      </c>
      <c r="D19" s="4" t="s">
        <v>41</v>
      </c>
      <c r="E19" s="6">
        <v>167.9</v>
      </c>
      <c r="F19" s="6">
        <v>79.7</v>
      </c>
      <c r="G19" s="6">
        <v>31.1</v>
      </c>
      <c r="H19" s="6">
        <v>34.1</v>
      </c>
      <c r="I19" s="6">
        <v>10.0</v>
      </c>
      <c r="J19" s="6">
        <v>101.6</v>
      </c>
      <c r="K19" s="6">
        <v>102.4</v>
      </c>
      <c r="L19" s="6">
        <v>102.0</v>
      </c>
      <c r="M19" s="6">
        <f t="shared" si="1"/>
        <v>102</v>
      </c>
      <c r="N19" s="6">
        <v>103.9</v>
      </c>
      <c r="O19" s="6">
        <v>104.6</v>
      </c>
      <c r="P19" s="6">
        <v>104.7</v>
      </c>
      <c r="Q19" s="6">
        <f t="shared" si="2"/>
        <v>104.4</v>
      </c>
      <c r="R19" s="6">
        <v>53.7</v>
      </c>
      <c r="S19" s="6">
        <v>54.2</v>
      </c>
      <c r="T19" s="6">
        <v>53.9</v>
      </c>
      <c r="U19" s="6">
        <f t="shared" si="3"/>
        <v>53.93333333</v>
      </c>
      <c r="V19" s="6">
        <v>2.0</v>
      </c>
      <c r="W19" s="6">
        <v>3.0</v>
      </c>
      <c r="X19" s="6">
        <v>2.0</v>
      </c>
      <c r="Y19" s="6">
        <v>2.0</v>
      </c>
      <c r="Z19" s="6">
        <v>3.0</v>
      </c>
      <c r="AA19" s="6">
        <v>1.0</v>
      </c>
      <c r="AB19" s="6">
        <v>0.0</v>
      </c>
      <c r="AC19" s="6">
        <v>0.0</v>
      </c>
      <c r="AD19" s="6">
        <v>0.0</v>
      </c>
      <c r="AE19" s="6">
        <v>3.0</v>
      </c>
      <c r="AF19" s="6">
        <v>3.0</v>
      </c>
      <c r="AG19" s="6" t="s">
        <v>49</v>
      </c>
      <c r="AH19" s="6" t="s">
        <v>49</v>
      </c>
      <c r="AI19" s="6" t="s">
        <v>49</v>
      </c>
      <c r="AJ19" s="6">
        <v>8.0</v>
      </c>
      <c r="AK19" s="6">
        <v>1.0</v>
      </c>
      <c r="AL19" s="6" t="s">
        <v>49</v>
      </c>
      <c r="AM19" s="6"/>
      <c r="AN19" s="6"/>
      <c r="AO19" s="6"/>
      <c r="AP19" s="6"/>
    </row>
    <row r="20">
      <c r="A20" s="4" t="s">
        <v>89</v>
      </c>
      <c r="B20" s="4" t="s">
        <v>90</v>
      </c>
      <c r="C20" s="4">
        <v>24.0</v>
      </c>
      <c r="D20" s="4" t="s">
        <v>41</v>
      </c>
      <c r="E20" s="6">
        <v>162.0</v>
      </c>
      <c r="F20" s="6">
        <v>61.3</v>
      </c>
      <c r="G20" s="6">
        <v>13.7</v>
      </c>
      <c r="H20" s="6">
        <v>45.4</v>
      </c>
      <c r="I20" s="6">
        <v>6.0</v>
      </c>
      <c r="J20" s="6">
        <v>76.4</v>
      </c>
      <c r="K20" s="6">
        <v>75.9</v>
      </c>
      <c r="L20" s="6">
        <v>76.2</v>
      </c>
      <c r="M20" s="6">
        <f t="shared" si="1"/>
        <v>76.16666667</v>
      </c>
      <c r="N20" s="6">
        <v>91.5</v>
      </c>
      <c r="O20" s="6">
        <v>90.8</v>
      </c>
      <c r="P20" s="6">
        <v>90.9</v>
      </c>
      <c r="Q20" s="6">
        <f t="shared" si="2"/>
        <v>91.06666667</v>
      </c>
      <c r="R20" s="6">
        <v>54.5</v>
      </c>
      <c r="S20" s="6">
        <v>55.2</v>
      </c>
      <c r="T20" s="6">
        <v>55.5</v>
      </c>
      <c r="U20" s="6">
        <f t="shared" si="3"/>
        <v>55.06666667</v>
      </c>
      <c r="V20" s="6">
        <v>4.0</v>
      </c>
      <c r="W20" s="6">
        <v>4.0</v>
      </c>
      <c r="X20" s="6">
        <v>4.0</v>
      </c>
      <c r="Y20" s="6">
        <v>4.0</v>
      </c>
      <c r="Z20" s="6">
        <v>3.0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  <c r="AF20" s="6">
        <v>0.0</v>
      </c>
      <c r="AG20" s="6" t="s">
        <v>49</v>
      </c>
      <c r="AH20" s="6" t="s">
        <v>49</v>
      </c>
      <c r="AI20" s="6" t="s">
        <v>49</v>
      </c>
      <c r="AJ20" s="6">
        <v>1.0</v>
      </c>
      <c r="AK20" s="6">
        <v>2.0</v>
      </c>
      <c r="AL20" s="6"/>
      <c r="AM20" s="6"/>
      <c r="AN20" s="6"/>
      <c r="AO20" s="6"/>
      <c r="AP20" s="6"/>
    </row>
    <row r="21" ht="15.75" customHeight="1">
      <c r="A21" s="4" t="s">
        <v>91</v>
      </c>
      <c r="B21" s="4" t="s">
        <v>92</v>
      </c>
      <c r="C21" s="4">
        <v>34.0</v>
      </c>
      <c r="D21" s="4" t="s">
        <v>41</v>
      </c>
      <c r="E21" s="6">
        <v>161.0</v>
      </c>
      <c r="F21" s="6">
        <v>64.9</v>
      </c>
      <c r="G21" s="6">
        <v>18.7</v>
      </c>
      <c r="H21" s="6">
        <v>41.2</v>
      </c>
      <c r="I21" s="6">
        <v>8.0</v>
      </c>
      <c r="J21" s="6">
        <v>86.8</v>
      </c>
      <c r="K21" s="6">
        <v>85.9</v>
      </c>
      <c r="L21" s="6">
        <v>85.4</v>
      </c>
      <c r="M21" s="6">
        <f t="shared" si="1"/>
        <v>86.03333333</v>
      </c>
      <c r="N21" s="6">
        <v>94.6</v>
      </c>
      <c r="O21" s="6">
        <v>94.8</v>
      </c>
      <c r="P21" s="6">
        <v>94.7</v>
      </c>
      <c r="Q21" s="6">
        <f t="shared" si="2"/>
        <v>94.7</v>
      </c>
      <c r="R21" s="6">
        <v>48.4</v>
      </c>
      <c r="S21" s="6">
        <v>49.1</v>
      </c>
      <c r="T21" s="6">
        <v>49.2</v>
      </c>
      <c r="U21" s="6">
        <f t="shared" si="3"/>
        <v>48.9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s">
        <v>49</v>
      </c>
      <c r="AH21" s="6" t="s">
        <v>49</v>
      </c>
      <c r="AI21" s="6" t="s">
        <v>49</v>
      </c>
      <c r="AJ21" s="6">
        <v>5.0</v>
      </c>
      <c r="AK21" s="6">
        <v>4.0</v>
      </c>
      <c r="AL21" s="6"/>
      <c r="AM21" s="6"/>
      <c r="AN21" s="6"/>
      <c r="AO21" s="6"/>
      <c r="AP21" s="6"/>
    </row>
    <row r="22" ht="15.75" customHeight="1">
      <c r="A22" s="4" t="s">
        <v>93</v>
      </c>
      <c r="B22" s="4" t="s">
        <v>94</v>
      </c>
      <c r="C22" s="4">
        <v>26.0</v>
      </c>
      <c r="D22" s="4" t="s">
        <v>41</v>
      </c>
      <c r="E22" s="6">
        <v>163.8</v>
      </c>
      <c r="F22" s="6">
        <v>65.7</v>
      </c>
      <c r="G22" s="6">
        <v>26.2</v>
      </c>
      <c r="H22" s="6">
        <v>36.1</v>
      </c>
      <c r="I22" s="6">
        <v>8.0</v>
      </c>
      <c r="J22" s="6">
        <v>88.6</v>
      </c>
      <c r="K22" s="6">
        <v>88.6</v>
      </c>
      <c r="L22" s="6">
        <v>88.7</v>
      </c>
      <c r="M22" s="6">
        <f t="shared" si="1"/>
        <v>88.63333333</v>
      </c>
      <c r="N22" s="6">
        <v>98.4</v>
      </c>
      <c r="O22" s="6">
        <v>98.0</v>
      </c>
      <c r="P22" s="6">
        <v>97.4</v>
      </c>
      <c r="Q22" s="6">
        <f t="shared" si="2"/>
        <v>97.93333333</v>
      </c>
      <c r="R22" s="6">
        <v>51.2</v>
      </c>
      <c r="S22" s="6">
        <v>52.4</v>
      </c>
      <c r="T22" s="6">
        <v>52.4</v>
      </c>
      <c r="U22" s="6">
        <f t="shared" si="3"/>
        <v>52</v>
      </c>
      <c r="V22" s="6">
        <v>4.0</v>
      </c>
      <c r="W22" s="6"/>
      <c r="X22" s="6">
        <v>0.0</v>
      </c>
      <c r="Y22" s="6">
        <v>0.0</v>
      </c>
      <c r="Z22" s="6" t="s">
        <v>95</v>
      </c>
      <c r="AA22" s="6" t="s">
        <v>96</v>
      </c>
      <c r="AB22" s="6"/>
      <c r="AC22" s="6">
        <v>0.0</v>
      </c>
      <c r="AD22" s="6">
        <v>0.0</v>
      </c>
      <c r="AE22" s="6">
        <v>0.0</v>
      </c>
      <c r="AF22" s="6">
        <v>0.0</v>
      </c>
      <c r="AG22" s="6" t="s">
        <v>49</v>
      </c>
      <c r="AH22" s="6" t="s">
        <v>49</v>
      </c>
      <c r="AI22" s="6" t="s">
        <v>49</v>
      </c>
      <c r="AJ22" s="6">
        <v>2.0</v>
      </c>
      <c r="AK22" s="6">
        <v>1.0</v>
      </c>
      <c r="AL22" s="6"/>
      <c r="AM22" s="6"/>
      <c r="AN22" s="6"/>
      <c r="AO22" s="6"/>
      <c r="AP22" s="6"/>
    </row>
    <row r="23" ht="15.75" customHeight="1">
      <c r="A23" s="4" t="s">
        <v>97</v>
      </c>
      <c r="B23" s="4" t="s">
        <v>98</v>
      </c>
      <c r="C23" s="4">
        <v>23.0</v>
      </c>
      <c r="D23" s="4" t="s">
        <v>41</v>
      </c>
      <c r="E23" s="6">
        <v>159.7</v>
      </c>
      <c r="F23" s="6">
        <v>50.2</v>
      </c>
      <c r="G23" s="6">
        <v>10.1</v>
      </c>
      <c r="H23" s="6">
        <v>46.8</v>
      </c>
      <c r="I23" s="6">
        <v>3.0</v>
      </c>
      <c r="J23" s="6">
        <v>76.7</v>
      </c>
      <c r="K23" s="6" t="s">
        <v>99</v>
      </c>
      <c r="L23" s="6">
        <v>76.7</v>
      </c>
      <c r="M23" s="6">
        <f t="shared" si="1"/>
        <v>76.7</v>
      </c>
      <c r="N23" s="6">
        <v>90.8</v>
      </c>
      <c r="O23" s="6">
        <v>89.9</v>
      </c>
      <c r="P23" s="6">
        <v>90.9</v>
      </c>
      <c r="Q23" s="6">
        <f t="shared" si="2"/>
        <v>90.53333333</v>
      </c>
      <c r="R23" s="6">
        <v>47.2</v>
      </c>
      <c r="S23" s="6">
        <v>47.8</v>
      </c>
      <c r="T23" s="6">
        <v>48.0</v>
      </c>
      <c r="U23" s="6">
        <f t="shared" si="3"/>
        <v>47.66666667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 t="s">
        <v>49</v>
      </c>
      <c r="AH23" s="6" t="s">
        <v>49</v>
      </c>
      <c r="AI23" s="6" t="s">
        <v>49</v>
      </c>
      <c r="AJ23" s="6">
        <v>5.0</v>
      </c>
      <c r="AK23" s="6">
        <v>2.0</v>
      </c>
      <c r="AL23" s="6"/>
      <c r="AM23" s="6"/>
      <c r="AN23" s="6"/>
      <c r="AO23" s="6"/>
      <c r="AP23" s="6"/>
    </row>
    <row r="24" ht="15.75" customHeight="1">
      <c r="A24" s="4" t="s">
        <v>100</v>
      </c>
      <c r="B24" s="4" t="s">
        <v>101</v>
      </c>
      <c r="C24" s="4">
        <v>18.0</v>
      </c>
      <c r="D24" s="4" t="s">
        <v>41</v>
      </c>
      <c r="E24" s="6">
        <v>158.1</v>
      </c>
      <c r="F24" s="6">
        <v>67.5</v>
      </c>
      <c r="G24" s="6">
        <v>28.4</v>
      </c>
      <c r="H24" s="6">
        <v>37.3</v>
      </c>
      <c r="I24" s="6">
        <v>9.0</v>
      </c>
      <c r="J24" s="6">
        <v>89.2</v>
      </c>
      <c r="K24" s="6">
        <v>89.9</v>
      </c>
      <c r="L24" s="6">
        <v>89.2</v>
      </c>
      <c r="M24" s="6">
        <f t="shared" si="1"/>
        <v>89.43333333</v>
      </c>
      <c r="N24" s="6">
        <v>48.1</v>
      </c>
      <c r="O24" s="6">
        <v>47.6</v>
      </c>
      <c r="P24" s="6">
        <v>47.5</v>
      </c>
      <c r="Q24" s="6">
        <f t="shared" si="2"/>
        <v>47.73333333</v>
      </c>
      <c r="R24" s="6">
        <v>50.4</v>
      </c>
      <c r="S24" s="6">
        <v>50.6</v>
      </c>
      <c r="T24" s="6">
        <v>51.2</v>
      </c>
      <c r="U24" s="6">
        <f t="shared" si="3"/>
        <v>50.73333333</v>
      </c>
      <c r="V24" s="6"/>
      <c r="W24" s="6"/>
      <c r="X24" s="6">
        <v>1.0</v>
      </c>
      <c r="Y24" s="6">
        <v>4.0</v>
      </c>
      <c r="Z24" s="6" t="s">
        <v>95</v>
      </c>
      <c r="AA24" s="6" t="s">
        <v>96</v>
      </c>
      <c r="AB24" s="6">
        <v>0.0</v>
      </c>
      <c r="AC24" s="6">
        <v>0.0</v>
      </c>
      <c r="AD24" s="6">
        <v>0.0</v>
      </c>
      <c r="AE24" s="6">
        <v>0.0</v>
      </c>
      <c r="AF24" s="6">
        <v>0.0</v>
      </c>
      <c r="AG24" s="6" t="s">
        <v>49</v>
      </c>
      <c r="AH24" s="6" t="s">
        <v>49</v>
      </c>
      <c r="AI24" s="6" t="s">
        <v>49</v>
      </c>
      <c r="AJ24" s="6">
        <v>6.0</v>
      </c>
      <c r="AK24" s="6">
        <v>2.0</v>
      </c>
      <c r="AL24" s="6"/>
      <c r="AM24" s="6"/>
      <c r="AN24" s="6"/>
      <c r="AO24" s="6"/>
      <c r="AP24" s="6"/>
    </row>
    <row r="25" ht="15.75" customHeight="1">
      <c r="A25" s="10" t="s">
        <v>102</v>
      </c>
      <c r="B25" s="10" t="s">
        <v>103</v>
      </c>
      <c r="C25" s="10">
        <v>40.0</v>
      </c>
      <c r="D25" s="10" t="s">
        <v>41</v>
      </c>
      <c r="E25" s="10">
        <v>154.0</v>
      </c>
      <c r="F25" s="10">
        <v>63.0</v>
      </c>
      <c r="G25" s="10">
        <v>22.9</v>
      </c>
      <c r="H25" s="10">
        <v>38.6</v>
      </c>
      <c r="I25" s="10">
        <v>10.0</v>
      </c>
      <c r="J25" s="10"/>
      <c r="K25" s="10"/>
      <c r="L25" s="10"/>
      <c r="M25" s="10">
        <v>79.0</v>
      </c>
      <c r="N25" s="10"/>
      <c r="O25" s="10"/>
      <c r="P25" s="10"/>
      <c r="Q25" s="10">
        <v>94.0</v>
      </c>
      <c r="R25" s="10"/>
      <c r="S25" s="10"/>
      <c r="T25" s="10"/>
      <c r="U25" s="10">
        <v>40.0</v>
      </c>
      <c r="V25" s="10">
        <v>2.0</v>
      </c>
      <c r="W25" s="10">
        <v>3.0</v>
      </c>
      <c r="X25" s="10">
        <v>4.0</v>
      </c>
      <c r="Y25" s="10">
        <v>3.0</v>
      </c>
      <c r="Z25" s="10">
        <v>4.0</v>
      </c>
      <c r="AA25" s="10">
        <v>0.0</v>
      </c>
      <c r="AB25" s="10"/>
      <c r="AC25" s="10">
        <v>1.0</v>
      </c>
      <c r="AD25" s="10" t="s">
        <v>104</v>
      </c>
      <c r="AE25" s="10">
        <v>2.0</v>
      </c>
      <c r="AF25" s="10">
        <v>3.0</v>
      </c>
      <c r="AG25" s="10"/>
      <c r="AH25" s="10" t="s">
        <v>102</v>
      </c>
      <c r="AI25" s="10" t="s">
        <v>49</v>
      </c>
      <c r="AJ25" s="10">
        <v>6.5</v>
      </c>
      <c r="AK25" s="10">
        <v>4.0</v>
      </c>
      <c r="AL25" s="10" t="s">
        <v>105</v>
      </c>
      <c r="AM25" s="10"/>
      <c r="AN25" s="10"/>
      <c r="AO25" s="10"/>
      <c r="AP25" s="10"/>
    </row>
    <row r="26" ht="15.75" customHeight="1">
      <c r="A26" s="7" t="s">
        <v>106</v>
      </c>
      <c r="B26" s="7" t="s">
        <v>107</v>
      </c>
      <c r="C26" s="7">
        <v>37.0</v>
      </c>
      <c r="D26" s="7" t="s">
        <v>41</v>
      </c>
      <c r="E26" s="7">
        <v>157.0</v>
      </c>
      <c r="F26" s="7">
        <v>62.7</v>
      </c>
      <c r="G26" s="7">
        <v>20.5</v>
      </c>
      <c r="H26" s="7">
        <v>40.2</v>
      </c>
      <c r="I26" s="7">
        <v>9.0</v>
      </c>
      <c r="J26" s="7"/>
      <c r="K26" s="7"/>
      <c r="L26" s="7"/>
      <c r="M26" s="7">
        <v>83.0</v>
      </c>
      <c r="N26" s="7"/>
      <c r="O26" s="7"/>
      <c r="P26" s="7"/>
      <c r="Q26" s="7">
        <v>91.0</v>
      </c>
      <c r="R26" s="7"/>
      <c r="S26" s="7"/>
      <c r="T26" s="7"/>
      <c r="U26" s="7">
        <v>44.0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 t="s">
        <v>106</v>
      </c>
      <c r="AI26" s="7" t="s">
        <v>49</v>
      </c>
      <c r="AJ26" s="7">
        <v>6.0</v>
      </c>
      <c r="AK26" s="7">
        <v>3.0</v>
      </c>
      <c r="AL26" s="7" t="s">
        <v>105</v>
      </c>
      <c r="AM26" s="7"/>
      <c r="AN26" s="7"/>
      <c r="AO26" s="7"/>
      <c r="AP26" s="7"/>
    </row>
    <row r="27" ht="15.75" customHeight="1">
      <c r="A27" s="7" t="s">
        <v>108</v>
      </c>
      <c r="B27" s="7" t="s">
        <v>109</v>
      </c>
      <c r="C27" s="7">
        <v>47.0</v>
      </c>
      <c r="D27" s="7" t="s">
        <v>41</v>
      </c>
      <c r="E27" s="7">
        <v>157.5</v>
      </c>
      <c r="F27" s="7">
        <v>56.3</v>
      </c>
      <c r="G27" s="7">
        <v>17.9</v>
      </c>
      <c r="H27" s="7">
        <v>39.3</v>
      </c>
      <c r="I27" s="7">
        <v>7.0</v>
      </c>
      <c r="J27" s="7">
        <v>80.0</v>
      </c>
      <c r="K27" s="7">
        <v>80.0</v>
      </c>
      <c r="L27" s="7">
        <v>80.0</v>
      </c>
      <c r="M27" s="7">
        <v>80.0</v>
      </c>
      <c r="N27" s="7"/>
      <c r="O27" s="7"/>
      <c r="P27" s="7"/>
      <c r="Q27" s="7">
        <v>85.0</v>
      </c>
      <c r="R27" s="7"/>
      <c r="S27" s="7"/>
      <c r="T27" s="7"/>
      <c r="U27" s="7">
        <v>42.0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 t="s">
        <v>108</v>
      </c>
      <c r="AI27" s="7" t="s">
        <v>49</v>
      </c>
      <c r="AJ27" s="7">
        <v>1.25</v>
      </c>
      <c r="AK27" s="7">
        <v>5.0</v>
      </c>
      <c r="AL27" s="7" t="s">
        <v>105</v>
      </c>
      <c r="AM27" s="7"/>
      <c r="AN27" s="7"/>
      <c r="AO27" s="7"/>
      <c r="AP27" s="7"/>
    </row>
    <row r="28" ht="15.75" customHeight="1">
      <c r="A28" s="11" t="s">
        <v>110</v>
      </c>
      <c r="B28" s="11" t="s">
        <v>111</v>
      </c>
      <c r="C28" s="11">
        <v>28.0</v>
      </c>
      <c r="D28" s="11" t="s">
        <v>41</v>
      </c>
      <c r="E28" s="11">
        <v>163.0</v>
      </c>
      <c r="F28" s="11">
        <v>66.3</v>
      </c>
      <c r="G28" s="11">
        <v>24.6</v>
      </c>
      <c r="H28" s="11">
        <v>37.8</v>
      </c>
      <c r="I28" s="11">
        <v>8.0</v>
      </c>
      <c r="J28" s="11"/>
      <c r="K28" s="11"/>
      <c r="L28" s="11"/>
      <c r="M28" s="11">
        <v>88.0</v>
      </c>
      <c r="N28" s="11"/>
      <c r="O28" s="11"/>
      <c r="P28" s="11"/>
      <c r="Q28" s="11">
        <v>95.0</v>
      </c>
      <c r="R28" s="11"/>
      <c r="S28" s="11"/>
      <c r="T28" s="11"/>
      <c r="U28" s="11">
        <v>43.5</v>
      </c>
      <c r="V28" s="11"/>
      <c r="W28" s="11"/>
      <c r="X28" s="11"/>
      <c r="Y28" s="11"/>
      <c r="Z28" s="11"/>
      <c r="AA28" s="11">
        <v>1.0</v>
      </c>
      <c r="AB28" s="11" t="s">
        <v>112</v>
      </c>
      <c r="AC28" s="11">
        <v>1.0</v>
      </c>
      <c r="AD28" s="11" t="s">
        <v>113</v>
      </c>
      <c r="AE28" s="11">
        <v>5.0</v>
      </c>
      <c r="AF28" s="11">
        <v>4.0</v>
      </c>
      <c r="AG28" s="11"/>
      <c r="AH28" s="11" t="s">
        <v>114</v>
      </c>
      <c r="AI28" s="11" t="s">
        <v>49</v>
      </c>
      <c r="AJ28" s="11" t="s">
        <v>115</v>
      </c>
      <c r="AK28" s="11">
        <v>3.0</v>
      </c>
      <c r="AL28" s="7" t="s">
        <v>105</v>
      </c>
      <c r="AM28" s="11"/>
      <c r="AN28" s="11"/>
      <c r="AO28" s="11"/>
      <c r="AP28" s="11"/>
    </row>
    <row r="29" ht="15.75" customHeight="1">
      <c r="A29" s="7" t="s">
        <v>116</v>
      </c>
      <c r="B29" s="7" t="s">
        <v>117</v>
      </c>
      <c r="C29" s="7">
        <v>50.0</v>
      </c>
      <c r="D29" s="7" t="s">
        <v>41</v>
      </c>
      <c r="E29" s="7">
        <v>158.0</v>
      </c>
      <c r="F29" s="7">
        <v>77.8</v>
      </c>
      <c r="G29" s="7">
        <v>32.4</v>
      </c>
      <c r="H29" s="7">
        <v>31.7</v>
      </c>
      <c r="I29" s="7">
        <v>17.0</v>
      </c>
      <c r="J29" s="7"/>
      <c r="K29" s="7"/>
      <c r="L29" s="7"/>
      <c r="M29" s="7">
        <v>105.5</v>
      </c>
      <c r="N29" s="7"/>
      <c r="O29" s="7"/>
      <c r="P29" s="7"/>
      <c r="Q29" s="7">
        <v>103.5</v>
      </c>
      <c r="R29" s="7"/>
      <c r="S29" s="7"/>
      <c r="T29" s="7"/>
      <c r="U29" s="7">
        <v>43.0</v>
      </c>
      <c r="V29" s="7"/>
      <c r="W29" s="7"/>
      <c r="X29" s="7"/>
      <c r="Y29" s="7"/>
      <c r="Z29" s="7"/>
      <c r="AA29" s="7" t="s">
        <v>49</v>
      </c>
      <c r="AB29" s="7" t="s">
        <v>118</v>
      </c>
      <c r="AC29" s="7" t="s">
        <v>49</v>
      </c>
      <c r="AD29" s="7" t="s">
        <v>119</v>
      </c>
      <c r="AE29" s="7">
        <v>2.0</v>
      </c>
      <c r="AF29" s="7">
        <v>3.0</v>
      </c>
      <c r="AG29" s="7"/>
      <c r="AH29" s="7" t="s">
        <v>120</v>
      </c>
      <c r="AI29" s="7" t="s">
        <v>49</v>
      </c>
      <c r="AJ29" s="7">
        <v>1.3</v>
      </c>
      <c r="AK29" s="7">
        <v>2.0</v>
      </c>
      <c r="AL29" s="7" t="s">
        <v>105</v>
      </c>
      <c r="AM29" s="7"/>
      <c r="AN29" s="7"/>
      <c r="AO29" s="7"/>
      <c r="AP29" s="7"/>
    </row>
    <row r="30" ht="15.75" customHeight="1">
      <c r="A30" s="7" t="s">
        <v>121</v>
      </c>
      <c r="B30" s="7" t="s">
        <v>122</v>
      </c>
      <c r="C30" s="7">
        <v>30.0</v>
      </c>
      <c r="D30" s="7" t="s">
        <v>41</v>
      </c>
      <c r="E30" s="7">
        <v>160.0</v>
      </c>
      <c r="F30" s="7">
        <v>71.1</v>
      </c>
      <c r="G30" s="7">
        <v>27.3</v>
      </c>
      <c r="H30" s="7">
        <v>36.7</v>
      </c>
      <c r="I30" s="7">
        <v>11.0</v>
      </c>
      <c r="J30" s="7"/>
      <c r="K30" s="7"/>
      <c r="L30" s="7"/>
      <c r="M30" s="7">
        <v>94.5</v>
      </c>
      <c r="N30" s="7"/>
      <c r="O30" s="7"/>
      <c r="P30" s="7"/>
      <c r="Q30" s="7">
        <v>96.1</v>
      </c>
      <c r="R30" s="7"/>
      <c r="S30" s="7"/>
      <c r="T30" s="7"/>
      <c r="U30" s="7">
        <v>38.0</v>
      </c>
      <c r="V30" s="7"/>
      <c r="W30" s="7"/>
      <c r="X30" s="7"/>
      <c r="Y30" s="7"/>
      <c r="Z30" s="7"/>
      <c r="AA30" s="7">
        <v>0.0</v>
      </c>
      <c r="AB30" s="7" t="s">
        <v>42</v>
      </c>
      <c r="AC30" s="7">
        <v>1.0</v>
      </c>
      <c r="AD30" s="7" t="s">
        <v>123</v>
      </c>
      <c r="AE30" s="7">
        <v>3.0</v>
      </c>
      <c r="AF30" s="7">
        <v>4.0</v>
      </c>
      <c r="AG30" s="7"/>
      <c r="AH30" s="7" t="s">
        <v>121</v>
      </c>
      <c r="AI30" s="7" t="s">
        <v>49</v>
      </c>
      <c r="AJ30" s="7" t="s">
        <v>124</v>
      </c>
      <c r="AK30" s="7">
        <v>3.0</v>
      </c>
      <c r="AL30" s="7"/>
      <c r="AM30" s="7"/>
      <c r="AN30" s="7"/>
      <c r="AO30" s="7"/>
      <c r="AP30" s="7"/>
    </row>
    <row r="31" ht="15.75" customHeight="1">
      <c r="A31" s="11" t="s">
        <v>125</v>
      </c>
      <c r="B31" s="11" t="s">
        <v>126</v>
      </c>
      <c r="C31" s="11">
        <v>30.0</v>
      </c>
      <c r="D31" s="11" t="s">
        <v>41</v>
      </c>
      <c r="E31" s="11">
        <v>158.0</v>
      </c>
      <c r="F31" s="11">
        <v>72.7</v>
      </c>
      <c r="G31" s="11">
        <v>31.3</v>
      </c>
      <c r="H31" s="11">
        <v>34.3</v>
      </c>
      <c r="I31" s="11">
        <v>12.0</v>
      </c>
      <c r="J31" s="11"/>
      <c r="K31" s="11"/>
      <c r="L31" s="11"/>
      <c r="M31" s="11">
        <v>91.0</v>
      </c>
      <c r="N31" s="11"/>
      <c r="O31" s="11"/>
      <c r="P31" s="11"/>
      <c r="Q31" s="11">
        <v>102.0</v>
      </c>
      <c r="R31" s="11"/>
      <c r="S31" s="11"/>
      <c r="T31" s="11"/>
      <c r="U31" s="11">
        <v>43.0</v>
      </c>
      <c r="V31" s="11"/>
      <c r="W31" s="11"/>
      <c r="X31" s="11"/>
      <c r="Y31" s="11"/>
      <c r="Z31" s="11"/>
      <c r="AA31" s="11">
        <v>0.0</v>
      </c>
      <c r="AB31" s="11" t="s">
        <v>127</v>
      </c>
      <c r="AC31" s="11">
        <v>1.0</v>
      </c>
      <c r="AD31" s="11" t="s">
        <v>128</v>
      </c>
      <c r="AE31" s="11">
        <v>3.0</v>
      </c>
      <c r="AF31" s="11">
        <v>4.0</v>
      </c>
      <c r="AG31" s="11"/>
      <c r="AH31" s="11" t="s">
        <v>125</v>
      </c>
      <c r="AI31" s="11" t="s">
        <v>49</v>
      </c>
      <c r="AJ31" s="11">
        <v>30.0</v>
      </c>
      <c r="AK31" s="11">
        <v>1.0</v>
      </c>
      <c r="AL31" s="7" t="s">
        <v>105</v>
      </c>
      <c r="AM31" s="11"/>
      <c r="AN31" s="11"/>
      <c r="AO31" s="11"/>
      <c r="AP31" s="11"/>
    </row>
    <row r="32" ht="15.75" customHeight="1">
      <c r="A32" s="11" t="s">
        <v>129</v>
      </c>
      <c r="B32" s="11" t="s">
        <v>130</v>
      </c>
      <c r="C32" s="11">
        <v>36.0</v>
      </c>
      <c r="D32" s="11" t="s">
        <v>41</v>
      </c>
      <c r="E32" s="11">
        <v>160.0</v>
      </c>
      <c r="F32" s="11">
        <v>63.5</v>
      </c>
      <c r="G32" s="11">
        <v>23.0</v>
      </c>
      <c r="H32" s="11">
        <v>37.9</v>
      </c>
      <c r="I32" s="11">
        <v>8.0</v>
      </c>
      <c r="J32" s="11"/>
      <c r="K32" s="11"/>
      <c r="L32" s="11"/>
      <c r="M32" s="11">
        <v>83.0</v>
      </c>
      <c r="N32" s="11"/>
      <c r="O32" s="11"/>
      <c r="P32" s="11"/>
      <c r="Q32" s="11">
        <v>94.0</v>
      </c>
      <c r="R32" s="11"/>
      <c r="S32" s="11"/>
      <c r="T32" s="11"/>
      <c r="U32" s="11">
        <v>49.0</v>
      </c>
      <c r="V32" s="11"/>
      <c r="W32" s="11"/>
      <c r="X32" s="11"/>
      <c r="Y32" s="11"/>
      <c r="Z32" s="11"/>
      <c r="AA32" s="11">
        <v>0.0</v>
      </c>
      <c r="AB32" s="11" t="s">
        <v>127</v>
      </c>
      <c r="AC32" s="11">
        <v>0.0</v>
      </c>
      <c r="AD32" s="11" t="s">
        <v>131</v>
      </c>
      <c r="AE32" s="11">
        <v>4.0</v>
      </c>
      <c r="AF32" s="11">
        <v>4.0</v>
      </c>
      <c r="AG32" s="11"/>
      <c r="AH32" s="11"/>
      <c r="AI32" s="11"/>
      <c r="AJ32" s="11"/>
      <c r="AK32" s="11"/>
      <c r="AL32" s="11" t="s">
        <v>49</v>
      </c>
      <c r="AM32" s="11">
        <v>0.0</v>
      </c>
      <c r="AN32" s="11">
        <v>0.0</v>
      </c>
      <c r="AO32" s="11"/>
      <c r="AP32" s="11"/>
    </row>
    <row r="33" ht="15.75" customHeight="1">
      <c r="A33" s="7" t="s">
        <v>132</v>
      </c>
      <c r="B33" s="7" t="s">
        <v>133</v>
      </c>
      <c r="C33" s="7">
        <v>42.0</v>
      </c>
      <c r="D33" s="7" t="s">
        <v>41</v>
      </c>
      <c r="E33" s="7">
        <v>168.0</v>
      </c>
      <c r="F33" s="7">
        <v>72.6</v>
      </c>
      <c r="G33" s="7">
        <v>25.6</v>
      </c>
      <c r="H33" s="7">
        <v>35.2</v>
      </c>
      <c r="I33" s="7">
        <v>10.0</v>
      </c>
      <c r="J33" s="7"/>
      <c r="K33" s="7"/>
      <c r="L33" s="7"/>
      <c r="M33" s="7">
        <v>44.0</v>
      </c>
      <c r="N33" s="7"/>
      <c r="O33" s="7"/>
      <c r="P33" s="7"/>
      <c r="Q33" s="7">
        <v>96.5</v>
      </c>
      <c r="R33" s="7"/>
      <c r="S33" s="7"/>
      <c r="T33" s="7"/>
      <c r="U33" s="7">
        <v>91.0</v>
      </c>
      <c r="V33" s="7"/>
      <c r="W33" s="7"/>
      <c r="X33" s="7"/>
      <c r="Y33" s="7"/>
      <c r="Z33" s="7"/>
      <c r="AA33" s="7">
        <v>0.0</v>
      </c>
      <c r="AB33" s="7" t="s">
        <v>134</v>
      </c>
      <c r="AC33" s="7">
        <v>1.0</v>
      </c>
      <c r="AD33" s="7" t="s">
        <v>135</v>
      </c>
      <c r="AE33" s="7">
        <v>4.0</v>
      </c>
      <c r="AF33" s="7">
        <v>3.0</v>
      </c>
      <c r="AG33" s="7"/>
      <c r="AH33" s="7" t="s">
        <v>132</v>
      </c>
      <c r="AI33" s="7" t="s">
        <v>136</v>
      </c>
      <c r="AJ33" s="7" t="s">
        <v>137</v>
      </c>
      <c r="AK33" s="7">
        <v>3.0</v>
      </c>
      <c r="AL33" s="7" t="s">
        <v>105</v>
      </c>
      <c r="AM33" s="7"/>
      <c r="AN33" s="7"/>
      <c r="AO33" s="7"/>
      <c r="AP33" s="7"/>
    </row>
    <row r="34" ht="15.75" customHeight="1">
      <c r="A34" s="7" t="s">
        <v>53</v>
      </c>
      <c r="B34" s="7" t="s">
        <v>54</v>
      </c>
      <c r="C34" s="7">
        <v>26.0</v>
      </c>
      <c r="D34" s="7" t="s">
        <v>41</v>
      </c>
      <c r="E34" s="7">
        <v>167.0</v>
      </c>
      <c r="F34" s="7">
        <v>59.2</v>
      </c>
      <c r="G34" s="7">
        <v>16.4</v>
      </c>
      <c r="H34" s="7">
        <v>41.8</v>
      </c>
      <c r="I34" s="7">
        <v>2.0</v>
      </c>
      <c r="J34" s="7">
        <v>79.0</v>
      </c>
      <c r="K34" s="7">
        <v>79.3</v>
      </c>
      <c r="L34" s="7">
        <v>79.0</v>
      </c>
      <c r="M34" s="7">
        <f>AVERAGE(J34:L34)</f>
        <v>79.1</v>
      </c>
      <c r="N34" s="7">
        <v>93.5</v>
      </c>
      <c r="O34" s="7">
        <v>93.0</v>
      </c>
      <c r="P34" s="7">
        <v>93.0</v>
      </c>
      <c r="Q34" s="7">
        <f>AVERAGE(N34:P34)</f>
        <v>93.16666667</v>
      </c>
      <c r="R34" s="7">
        <v>52.0</v>
      </c>
      <c r="S34" s="7">
        <v>51.4</v>
      </c>
      <c r="T34" s="7">
        <v>51.5</v>
      </c>
      <c r="U34" s="7">
        <f>AVERAGE(R34:T34)</f>
        <v>51.63333333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 t="s">
        <v>49</v>
      </c>
      <c r="AH34" s="7" t="s">
        <v>53</v>
      </c>
      <c r="AI34" s="7" t="s">
        <v>55</v>
      </c>
      <c r="AJ34" s="7" t="s">
        <v>56</v>
      </c>
      <c r="AK34" s="7">
        <v>3.0</v>
      </c>
      <c r="AL34" s="7"/>
      <c r="AM34" s="7"/>
      <c r="AN34" s="7"/>
      <c r="AO34" s="7"/>
      <c r="AP34" s="7"/>
    </row>
    <row r="35" ht="15.75" customHeight="1">
      <c r="A35" s="11" t="s">
        <v>138</v>
      </c>
      <c r="B35" s="11" t="s">
        <v>139</v>
      </c>
      <c r="C35" s="11">
        <v>20.0</v>
      </c>
      <c r="D35" s="11" t="s">
        <v>41</v>
      </c>
      <c r="E35" s="11">
        <v>155.0</v>
      </c>
      <c r="F35" s="11">
        <v>58.6</v>
      </c>
      <c r="G35" s="11">
        <v>24.6</v>
      </c>
      <c r="H35" s="11">
        <v>38.7</v>
      </c>
      <c r="I35" s="11">
        <v>7.0</v>
      </c>
      <c r="J35" s="11"/>
      <c r="K35" s="11"/>
      <c r="L35" s="11"/>
      <c r="M35" s="11">
        <v>82.0</v>
      </c>
      <c r="N35" s="11"/>
      <c r="O35" s="11"/>
      <c r="P35" s="11"/>
      <c r="Q35" s="11">
        <v>93.0</v>
      </c>
      <c r="R35" s="11"/>
      <c r="S35" s="11"/>
      <c r="T35" s="11"/>
      <c r="U35" s="11">
        <v>41.5</v>
      </c>
      <c r="V35" s="11"/>
      <c r="W35" s="11"/>
      <c r="X35" s="11"/>
      <c r="Y35" s="11"/>
      <c r="Z35" s="11"/>
      <c r="AA35" s="11">
        <v>0.0</v>
      </c>
      <c r="AB35" s="11" t="s">
        <v>42</v>
      </c>
      <c r="AC35" s="11">
        <v>1.0</v>
      </c>
      <c r="AD35" s="11" t="s">
        <v>140</v>
      </c>
      <c r="AE35" s="11">
        <v>3.0</v>
      </c>
      <c r="AF35" s="11">
        <v>4.0</v>
      </c>
      <c r="AG35" s="11"/>
      <c r="AH35" s="11" t="s">
        <v>138</v>
      </c>
      <c r="AI35" s="11" t="s">
        <v>49</v>
      </c>
      <c r="AJ35" s="11" t="s">
        <v>141</v>
      </c>
      <c r="AK35" s="11">
        <v>2.0</v>
      </c>
      <c r="AL35" s="11"/>
      <c r="AM35" s="11"/>
      <c r="AN35" s="11"/>
      <c r="AO35" s="11"/>
      <c r="AP35" s="11"/>
    </row>
    <row r="36" ht="15.75" customHeight="1">
      <c r="A36" s="7" t="s">
        <v>142</v>
      </c>
      <c r="B36" s="7" t="s">
        <v>143</v>
      </c>
      <c r="C36" s="7">
        <v>36.0</v>
      </c>
      <c r="D36" s="7" t="s">
        <v>41</v>
      </c>
      <c r="E36" s="7">
        <v>166.0</v>
      </c>
      <c r="F36" s="7">
        <v>76.9</v>
      </c>
      <c r="G36" s="7">
        <v>29.8</v>
      </c>
      <c r="H36" s="7">
        <v>33.8</v>
      </c>
      <c r="I36" s="7">
        <v>12.0</v>
      </c>
      <c r="J36" s="7"/>
      <c r="K36" s="7"/>
      <c r="L36" s="7"/>
      <c r="M36" s="7">
        <v>90.0</v>
      </c>
      <c r="N36" s="7"/>
      <c r="O36" s="7"/>
      <c r="P36" s="7"/>
      <c r="Q36" s="7">
        <v>102.0</v>
      </c>
      <c r="R36" s="7"/>
      <c r="S36" s="7"/>
      <c r="T36" s="7"/>
      <c r="U36" s="7">
        <v>44.0</v>
      </c>
      <c r="V36" s="7"/>
      <c r="W36" s="7"/>
      <c r="X36" s="7"/>
      <c r="Y36" s="7"/>
      <c r="Z36" s="7"/>
      <c r="AA36" s="7">
        <v>0.0</v>
      </c>
      <c r="AB36" s="7" t="s">
        <v>42</v>
      </c>
      <c r="AC36" s="7">
        <v>1.0</v>
      </c>
      <c r="AD36" s="7" t="s">
        <v>144</v>
      </c>
      <c r="AE36" s="7">
        <v>4.0</v>
      </c>
      <c r="AF36" s="7">
        <v>3.0</v>
      </c>
      <c r="AG36" s="7"/>
      <c r="AH36" s="7" t="s">
        <v>142</v>
      </c>
      <c r="AI36" s="7" t="s">
        <v>49</v>
      </c>
      <c r="AJ36" s="7">
        <v>3.2</v>
      </c>
      <c r="AK36" s="7">
        <v>2.0</v>
      </c>
      <c r="AL36" s="7"/>
      <c r="AM36" s="7"/>
      <c r="AN36" s="7"/>
      <c r="AO36" s="7"/>
      <c r="AP36" s="7"/>
    </row>
    <row r="37" ht="15.75" customHeight="1">
      <c r="A37" s="10" t="s">
        <v>145</v>
      </c>
      <c r="B37" s="10" t="s">
        <v>146</v>
      </c>
      <c r="C37" s="10">
        <v>33.0</v>
      </c>
      <c r="D37" s="10" t="s">
        <v>41</v>
      </c>
      <c r="E37" s="8">
        <v>162.0</v>
      </c>
      <c r="F37" s="8">
        <v>61.6</v>
      </c>
      <c r="G37" s="8">
        <v>21.33</v>
      </c>
      <c r="H37" s="8">
        <v>38.9</v>
      </c>
      <c r="I37" s="8">
        <v>7.0</v>
      </c>
      <c r="J37" s="8"/>
      <c r="K37" s="8"/>
      <c r="L37" s="8"/>
      <c r="M37" s="8">
        <v>82.0</v>
      </c>
      <c r="N37" s="8"/>
      <c r="O37" s="8"/>
      <c r="P37" s="8"/>
      <c r="Q37" s="8">
        <v>92.0</v>
      </c>
      <c r="R37" s="8"/>
      <c r="S37" s="8"/>
      <c r="T37" s="8"/>
      <c r="U37" s="8">
        <v>36.0</v>
      </c>
      <c r="V37" s="8">
        <v>4.0</v>
      </c>
      <c r="W37" s="8">
        <v>4.0</v>
      </c>
      <c r="X37" s="8">
        <v>4.0</v>
      </c>
      <c r="Y37" s="8">
        <v>4.0</v>
      </c>
      <c r="Z37" s="8">
        <v>2.0</v>
      </c>
      <c r="AA37" s="8">
        <v>0.0</v>
      </c>
      <c r="AB37" s="8" t="s">
        <v>127</v>
      </c>
      <c r="AC37" s="8">
        <v>0.0</v>
      </c>
      <c r="AD37" s="8" t="s">
        <v>127</v>
      </c>
      <c r="AE37" s="8">
        <v>5.0</v>
      </c>
      <c r="AF37" s="8">
        <v>4.0</v>
      </c>
      <c r="AG37" s="8"/>
      <c r="AH37" s="8" t="s">
        <v>147</v>
      </c>
      <c r="AI37" s="8" t="s">
        <v>49</v>
      </c>
      <c r="AJ37" s="8">
        <v>5.0</v>
      </c>
      <c r="AK37" s="8">
        <v>1.0</v>
      </c>
      <c r="AL37" s="8" t="s">
        <v>49</v>
      </c>
      <c r="AM37" s="8"/>
      <c r="AN37" s="8"/>
      <c r="AO37" s="8"/>
      <c r="AP37" s="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