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3"/>
  </sheets>
  <definedNames/>
  <calcPr/>
</workbook>
</file>

<file path=xl/sharedStrings.xml><?xml version="1.0" encoding="utf-8"?>
<sst xmlns="http://schemas.openxmlformats.org/spreadsheetml/2006/main" count="370" uniqueCount="224">
  <si>
    <t xml:space="preserve">CODIGO </t>
  </si>
  <si>
    <t>Nombre</t>
  </si>
  <si>
    <t>Edad</t>
  </si>
  <si>
    <t>Sexo</t>
  </si>
  <si>
    <t>QP1</t>
  </si>
  <si>
    <t>QP2</t>
  </si>
  <si>
    <t>QP3</t>
  </si>
  <si>
    <t>QP4</t>
  </si>
  <si>
    <t>QP5</t>
  </si>
  <si>
    <t>QP6</t>
  </si>
  <si>
    <t>QP6b</t>
  </si>
  <si>
    <t>QP7</t>
  </si>
  <si>
    <t>QP7B</t>
  </si>
  <si>
    <t>QP9</t>
  </si>
  <si>
    <t>QP10</t>
  </si>
  <si>
    <t>PESO</t>
  </si>
  <si>
    <t>ALTURA</t>
  </si>
  <si>
    <t>IMC</t>
  </si>
  <si>
    <t>CINTURA (PROMEDIO)</t>
  </si>
  <si>
    <t>CADERA(PROMEDIO</t>
  </si>
  <si>
    <t>%GRASA</t>
  </si>
  <si>
    <t>%MUSCULO</t>
  </si>
  <si>
    <t>GRASA VISCERAL</t>
  </si>
  <si>
    <t>N056M</t>
  </si>
  <si>
    <t>ALICIA GARCIA ESPINOZA</t>
  </si>
  <si>
    <t>M</t>
  </si>
  <si>
    <t>Hoja de aguacate, menstruación</t>
  </si>
  <si>
    <t>N075M</t>
  </si>
  <si>
    <t>MARCELA SATURNINO ALEJO</t>
  </si>
  <si>
    <t>Dolor de Cabeza</t>
  </si>
  <si>
    <t>N055M</t>
  </si>
  <si>
    <t>NATALIA REMIGIO AURELIO</t>
  </si>
  <si>
    <t>Albendazol</t>
  </si>
  <si>
    <t>N047M</t>
  </si>
  <si>
    <t>GUADALUPE ZAMORA ELIDIA</t>
  </si>
  <si>
    <t>para dolor de cabeza</t>
  </si>
  <si>
    <t>N079M</t>
  </si>
  <si>
    <t>ISIDORA GARCIA ESPINOZA</t>
  </si>
  <si>
    <t>Dolor de cabeza</t>
  </si>
  <si>
    <t>N060M</t>
  </si>
  <si>
    <t>REGINA RAMIREZ ESPINOZA</t>
  </si>
  <si>
    <t>N078M</t>
  </si>
  <si>
    <t>MARIA OLIRIA ZAMORA</t>
  </si>
  <si>
    <t>N050M</t>
  </si>
  <si>
    <t>LAURENTINA MATEO HILARIO</t>
  </si>
  <si>
    <t>para la gripa</t>
  </si>
  <si>
    <t>gripa</t>
  </si>
  <si>
    <t>N073M</t>
  </si>
  <si>
    <t>JOVITA ESPINOZA MORALES</t>
  </si>
  <si>
    <t>N066M</t>
  </si>
  <si>
    <t>JUANA SANTIAGO DIRCIO</t>
  </si>
  <si>
    <t>Cuerpo cortado</t>
  </si>
  <si>
    <t>G030M</t>
  </si>
  <si>
    <t>EUGENIA SANTIAGO MORALES</t>
  </si>
  <si>
    <t>-</t>
  </si>
  <si>
    <t>G105M</t>
  </si>
  <si>
    <t>ARCANGELA SILVERIO TORIBIO</t>
  </si>
  <si>
    <t>G068M</t>
  </si>
  <si>
    <t>LAZARA DIRCIO ESPINOSA</t>
  </si>
  <si>
    <t>Dolor de estómago</t>
  </si>
  <si>
    <t>G029M</t>
  </si>
  <si>
    <t>SUSANA NAVA GIL</t>
  </si>
  <si>
    <t>Tos</t>
  </si>
  <si>
    <t>G045M</t>
  </si>
  <si>
    <t>LORENA ALBERTO MARCELO</t>
  </si>
  <si>
    <t>diarrea</t>
  </si>
  <si>
    <t>G0102M</t>
  </si>
  <si>
    <t>IIDALIA JAZMYN SANTIAGO GARCIA</t>
  </si>
  <si>
    <t>G103M</t>
  </si>
  <si>
    <t>ANTONIA GATICA GARCIA</t>
  </si>
  <si>
    <t>G042M</t>
  </si>
  <si>
    <t>NORMA NAVA CALIXTO</t>
  </si>
  <si>
    <t>tos, cuerpo cortado</t>
  </si>
  <si>
    <t>G006M</t>
  </si>
  <si>
    <t>APOLONIA AURELIO ALBERTO</t>
  </si>
  <si>
    <t>*</t>
  </si>
  <si>
    <t>cuerpo cortado</t>
  </si>
  <si>
    <t>G046M</t>
  </si>
  <si>
    <t>ALBINA MORALES MAURILIO</t>
  </si>
  <si>
    <t>G033M</t>
  </si>
  <si>
    <t>MARDONIA GARCIA GATICA</t>
  </si>
  <si>
    <t>G025M</t>
  </si>
  <si>
    <t>LUCIA SATURNINO  SANTIAGO</t>
  </si>
  <si>
    <t>G020M</t>
  </si>
  <si>
    <t>MARILUZ CASTRO AVILES</t>
  </si>
  <si>
    <t>dolor de estómago</t>
  </si>
  <si>
    <t>tos</t>
  </si>
  <si>
    <t>G013M</t>
  </si>
  <si>
    <t>FLORA ESPINOZA SALDAÑA</t>
  </si>
  <si>
    <t>G009P</t>
  </si>
  <si>
    <t>ROSENDO TRINIDAD GARCIA</t>
  </si>
  <si>
    <t>H</t>
  </si>
  <si>
    <t>dolor de estómago, garganta y tos</t>
  </si>
  <si>
    <t>G017P</t>
  </si>
  <si>
    <t>AGUSTIN RODRIGUEZ CARRANZA</t>
  </si>
  <si>
    <t>cuerpo cortado y dolor de estómago</t>
  </si>
  <si>
    <t>G030P</t>
  </si>
  <si>
    <t>CARLOS CARRANZA AURELIO</t>
  </si>
  <si>
    <t>dolor de huesos y estómago</t>
  </si>
  <si>
    <t>G034P</t>
  </si>
  <si>
    <t>SEVERIANO GARCIA GARCIA</t>
  </si>
  <si>
    <t>Para que calme el dolor, cuerpo cortado</t>
  </si>
  <si>
    <t>G035P</t>
  </si>
  <si>
    <t>EMILIO CARRANZA RAMIREZ</t>
  </si>
  <si>
    <t>G036P</t>
  </si>
  <si>
    <t>FIDEL GARCIA CRUZ</t>
  </si>
  <si>
    <t>gripe</t>
  </si>
  <si>
    <t>G037P</t>
  </si>
  <si>
    <t>VALENTIN GARCIA GATICA</t>
  </si>
  <si>
    <t>G041P</t>
  </si>
  <si>
    <t>AMADOR MORALES MAURILIO</t>
  </si>
  <si>
    <t>G044P</t>
  </si>
  <si>
    <t>LEODEGARIO RODRIGUEZ CARRANZA</t>
  </si>
  <si>
    <t>G045P</t>
  </si>
  <si>
    <t>VILLAR GATICA GARCIA</t>
  </si>
  <si>
    <t>N047P</t>
  </si>
  <si>
    <t>FRUCTUOSO GARCIA MAURO</t>
  </si>
  <si>
    <t>dolor de cabeza</t>
  </si>
  <si>
    <t>N053P</t>
  </si>
  <si>
    <t>GONZALO ESPINOZA RODRIGUEZ</t>
  </si>
  <si>
    <t>N054P</t>
  </si>
  <si>
    <t>AMADOR ESPINOZA ELOGIO</t>
  </si>
  <si>
    <t>N060P</t>
  </si>
  <si>
    <t>MARCELINO RUIZ RODRIGUEZ</t>
  </si>
  <si>
    <t>Dolor de Cuerpo</t>
  </si>
  <si>
    <t>N069P</t>
  </si>
  <si>
    <t>ANSELMO RUBIO SANTIAGO</t>
  </si>
  <si>
    <t>N070H</t>
  </si>
  <si>
    <t>RUBEN GARCIA ZAMORA</t>
  </si>
  <si>
    <t>N073P</t>
  </si>
  <si>
    <t>RAMON SANTIAGO ZAMORA</t>
  </si>
  <si>
    <t>N075P</t>
  </si>
  <si>
    <t>EPIFANIO RUIZ RODRIGUEZ</t>
  </si>
  <si>
    <t>N077P</t>
  </si>
  <si>
    <t>GERENCIO RUIZ SANCHEZ</t>
  </si>
  <si>
    <t>Dolor de cuerpo</t>
  </si>
  <si>
    <t>N078P</t>
  </si>
  <si>
    <t>FELICIANO SANTIAGO PATRICIO</t>
  </si>
  <si>
    <t>para recuperar</t>
  </si>
  <si>
    <t>N079P</t>
  </si>
  <si>
    <t>RAUL RODRIGUEZ TRINIDAD</t>
  </si>
  <si>
    <t>G085P</t>
  </si>
  <si>
    <t>FRANSISCO SANTIAGO CRUZ</t>
  </si>
  <si>
    <t>G086P</t>
  </si>
  <si>
    <t>JOSE GARCIA CRUZ</t>
  </si>
  <si>
    <t>G093P</t>
  </si>
  <si>
    <t>MELQUIADES SANTIAGO GARCIA</t>
  </si>
  <si>
    <t>U002M</t>
  </si>
  <si>
    <t>Adriana Vázquez Rojas</t>
  </si>
  <si>
    <t>U003M</t>
  </si>
  <si>
    <t>Monserrat Pacheco Aceves</t>
  </si>
  <si>
    <t>infeccion en riñones</t>
  </si>
  <si>
    <t>U004M</t>
  </si>
  <si>
    <t>Guadalupe Sánchez Santos</t>
  </si>
  <si>
    <t>Sobrepeso</t>
  </si>
  <si>
    <t>U005M</t>
  </si>
  <si>
    <t>María Inés Núñez Velázquez</t>
  </si>
  <si>
    <t>Flouxetina</t>
  </si>
  <si>
    <t>Depresión</t>
  </si>
  <si>
    <t>U006M</t>
  </si>
  <si>
    <t>Maria Isabel Hernández Rangel</t>
  </si>
  <si>
    <t>U007M</t>
  </si>
  <si>
    <t>Erika Natalia Valdez Sánchez</t>
  </si>
  <si>
    <t>Higado</t>
  </si>
  <si>
    <t>U009M</t>
  </si>
  <si>
    <t>Luz María Ramírez Ventura</t>
  </si>
  <si>
    <t>U011M</t>
  </si>
  <si>
    <t>Maribel Cuevas Alvarado</t>
  </si>
  <si>
    <t>ansiedad</t>
  </si>
  <si>
    <t>U012M</t>
  </si>
  <si>
    <t>Lizette García García</t>
  </si>
  <si>
    <t>U014M</t>
  </si>
  <si>
    <t>Yeny Velázquez Roque</t>
  </si>
  <si>
    <t>U015M</t>
  </si>
  <si>
    <t>Laura Ferias Martínez</t>
  </si>
  <si>
    <t>U016M</t>
  </si>
  <si>
    <t>Maricela Martinez Juarez</t>
  </si>
  <si>
    <t>U019M</t>
  </si>
  <si>
    <t>Sonia Castillo García</t>
  </si>
  <si>
    <t>Coleterol/Triglicéridos</t>
  </si>
  <si>
    <t>U021M</t>
  </si>
  <si>
    <t>Verónica Castillo García</t>
  </si>
  <si>
    <t>U022M</t>
  </si>
  <si>
    <t>Pérez Agüero Chiristina María</t>
  </si>
  <si>
    <t>Pot prescripción, pregabalina</t>
  </si>
  <si>
    <t>U023M</t>
  </si>
  <si>
    <t>Abril Aldama Sáiz</t>
  </si>
  <si>
    <t>colitis</t>
  </si>
  <si>
    <t>U024M</t>
  </si>
  <si>
    <t>Susana Correa</t>
  </si>
  <si>
    <t>migraña</t>
  </si>
  <si>
    <t>U025M</t>
  </si>
  <si>
    <t>Vázquez Linda</t>
  </si>
  <si>
    <t>U026M</t>
  </si>
  <si>
    <t>Rosalinda Saucedo Téllez</t>
  </si>
  <si>
    <t>Esbelcabs y triyotex</t>
  </si>
  <si>
    <t>U029M</t>
  </si>
  <si>
    <t>Janet Cervanres Coronel</t>
  </si>
  <si>
    <t>colicos</t>
  </si>
  <si>
    <t>U031M</t>
  </si>
  <si>
    <t>Ana Karen Sauste Herrera</t>
  </si>
  <si>
    <t>U032M</t>
  </si>
  <si>
    <t>Guadalipe Beltran Cortes</t>
  </si>
  <si>
    <t>U033M</t>
  </si>
  <si>
    <t>Carmen Fonseca Romero</t>
  </si>
  <si>
    <t>U035M</t>
  </si>
  <si>
    <t>Paula Alejandra Del Razo Hernández</t>
  </si>
  <si>
    <t>tiroides e infección</t>
  </si>
  <si>
    <t>hipotiroidimso</t>
  </si>
  <si>
    <t>U036M</t>
  </si>
  <si>
    <t>Ana Karem Macias Espinosa</t>
  </si>
  <si>
    <t>espondilitis anquilosante</t>
  </si>
  <si>
    <t>U028M</t>
  </si>
  <si>
    <t>Soraima Gabriela Campos Guerra</t>
  </si>
  <si>
    <t>U027M</t>
  </si>
  <si>
    <t>Alejandra Evelyn Rúiz Contrera</t>
  </si>
  <si>
    <t>colicos, dolor de garganta</t>
  </si>
  <si>
    <t>U038M</t>
  </si>
  <si>
    <t>Nadia Saraí Peña Pacheco</t>
  </si>
  <si>
    <t>U040M</t>
  </si>
  <si>
    <t>Violeta Ayala Mexicano</t>
  </si>
  <si>
    <t>U030M</t>
  </si>
  <si>
    <t>Nayeli Avila López</t>
  </si>
  <si>
    <t>imfección en garganta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</si>
</sst>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horizontal="right"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Fill="1" applyFont="1"/>
    <xf borderId="0" fillId="5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30.63"/>
    <col customWidth="1" min="4" max="4" width="7.5"/>
    <col customWidth="1" min="11" max="11" width="25.75"/>
    <col customWidth="1" min="12" max="12" width="10.63"/>
    <col customWidth="1" min="13" max="13" width="26.13"/>
    <col customWidth="1" min="23" max="29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/>
      <c r="Y1" s="1"/>
      <c r="Z1" s="1"/>
      <c r="AA1" s="1"/>
      <c r="AB1" s="1"/>
      <c r="AC1" s="1"/>
    </row>
    <row r="2">
      <c r="A2" s="1" t="s">
        <v>23</v>
      </c>
      <c r="B2" s="1" t="s">
        <v>24</v>
      </c>
      <c r="C2" s="1">
        <v>21.0</v>
      </c>
      <c r="D2" s="1" t="s">
        <v>25</v>
      </c>
      <c r="E2" s="1">
        <v>5.0</v>
      </c>
      <c r="F2" s="1">
        <v>5.0</v>
      </c>
      <c r="G2" s="1">
        <v>4.0</v>
      </c>
      <c r="H2" s="1">
        <v>4.0</v>
      </c>
      <c r="I2" s="1">
        <v>4.0</v>
      </c>
      <c r="J2" s="1">
        <v>1.0</v>
      </c>
      <c r="K2" s="1" t="s">
        <v>26</v>
      </c>
      <c r="L2" s="1">
        <v>0.0</v>
      </c>
      <c r="N2" s="1">
        <v>4.0</v>
      </c>
      <c r="O2" s="1">
        <v>5.0</v>
      </c>
      <c r="P2" s="1">
        <v>58.0</v>
      </c>
      <c r="Q2" s="1">
        <v>1.45</v>
      </c>
      <c r="R2">
        <f t="shared" ref="R2:R87" si="1">(P2/(Q2*Q2))</f>
        <v>27.5862069</v>
      </c>
      <c r="S2" s="1">
        <v>82.0</v>
      </c>
      <c r="T2" s="1">
        <v>100.0</v>
      </c>
      <c r="U2" s="1">
        <v>42.5</v>
      </c>
      <c r="V2" s="2">
        <v>43549.0</v>
      </c>
      <c r="W2" s="1">
        <v>6.0</v>
      </c>
      <c r="X2" s="1"/>
      <c r="Y2" s="1"/>
      <c r="Z2" s="1"/>
      <c r="AA2" s="1"/>
      <c r="AB2" s="1"/>
      <c r="AC2" s="1"/>
    </row>
    <row r="3">
      <c r="A3" s="1" t="s">
        <v>27</v>
      </c>
      <c r="B3" s="1" t="s">
        <v>28</v>
      </c>
      <c r="C3" s="1">
        <v>23.0</v>
      </c>
      <c r="D3" s="1" t="s">
        <v>25</v>
      </c>
      <c r="E3" s="1">
        <v>3.0</v>
      </c>
      <c r="F3" s="1">
        <v>4.0</v>
      </c>
      <c r="G3" s="1">
        <v>3.0</v>
      </c>
      <c r="H3" s="1">
        <v>5.0</v>
      </c>
      <c r="I3" s="1">
        <v>3.0</v>
      </c>
      <c r="J3" s="1">
        <v>1.0</v>
      </c>
      <c r="K3" s="1" t="s">
        <v>29</v>
      </c>
      <c r="L3" s="1">
        <v>0.0</v>
      </c>
      <c r="N3" s="1">
        <v>2.0</v>
      </c>
      <c r="O3" s="1">
        <v>2.0</v>
      </c>
      <c r="P3" s="1">
        <v>46.1</v>
      </c>
      <c r="Q3" s="1">
        <v>1.4</v>
      </c>
      <c r="R3">
        <f t="shared" si="1"/>
        <v>23.52040816</v>
      </c>
      <c r="S3" s="1">
        <v>75.0</v>
      </c>
      <c r="T3" s="1">
        <v>89.0</v>
      </c>
      <c r="U3" s="1">
        <v>38.0</v>
      </c>
      <c r="V3" s="1">
        <v>26.0</v>
      </c>
      <c r="W3" s="1">
        <v>5.0</v>
      </c>
      <c r="X3" s="1"/>
      <c r="Y3" s="1"/>
      <c r="Z3" s="1"/>
      <c r="AA3" s="1"/>
      <c r="AB3" s="1"/>
      <c r="AC3" s="1"/>
    </row>
    <row r="4">
      <c r="A4" s="1" t="s">
        <v>30</v>
      </c>
      <c r="B4" s="1" t="s">
        <v>31</v>
      </c>
      <c r="C4" s="1">
        <v>49.0</v>
      </c>
      <c r="D4" s="1" t="s">
        <v>25</v>
      </c>
      <c r="E4" s="1">
        <v>2.0</v>
      </c>
      <c r="F4" s="1">
        <v>3.0</v>
      </c>
      <c r="G4" s="1">
        <v>2.0</v>
      </c>
      <c r="H4" s="1">
        <v>3.0</v>
      </c>
      <c r="I4" s="1">
        <v>2.0</v>
      </c>
      <c r="J4" s="1">
        <v>1.0</v>
      </c>
      <c r="K4" s="1" t="s">
        <v>32</v>
      </c>
      <c r="L4" s="1">
        <v>0.0</v>
      </c>
      <c r="N4" s="1">
        <v>2.0</v>
      </c>
      <c r="O4" s="1">
        <v>3.0</v>
      </c>
      <c r="P4" s="1">
        <v>64.8</v>
      </c>
      <c r="Q4" s="1">
        <v>1.43</v>
      </c>
      <c r="R4">
        <f t="shared" si="1"/>
        <v>31.68859113</v>
      </c>
      <c r="S4" s="1">
        <v>91.0</v>
      </c>
      <c r="T4" s="1">
        <v>114.0</v>
      </c>
      <c r="U4" s="1">
        <v>48.4</v>
      </c>
      <c r="V4" s="2">
        <v>43637.0</v>
      </c>
      <c r="W4" s="1">
        <v>10.0</v>
      </c>
      <c r="X4" s="1"/>
      <c r="Y4" s="1"/>
      <c r="Z4" s="1"/>
      <c r="AA4" s="1"/>
      <c r="AB4" s="1"/>
      <c r="AC4" s="1"/>
    </row>
    <row r="5">
      <c r="A5" s="1" t="s">
        <v>33</v>
      </c>
      <c r="B5" s="1" t="s">
        <v>34</v>
      </c>
      <c r="C5" s="1">
        <v>49.0</v>
      </c>
      <c r="D5" s="1" t="s">
        <v>25</v>
      </c>
      <c r="E5" s="1">
        <v>2.0</v>
      </c>
      <c r="F5" s="1">
        <v>3.0</v>
      </c>
      <c r="G5" s="1">
        <v>3.0</v>
      </c>
      <c r="H5" s="1">
        <v>3.0</v>
      </c>
      <c r="I5" s="1">
        <v>3.0</v>
      </c>
      <c r="J5" s="1">
        <v>1.0</v>
      </c>
      <c r="K5" s="1" t="s">
        <v>35</v>
      </c>
      <c r="L5" s="1">
        <v>1.0</v>
      </c>
      <c r="N5" s="1">
        <v>2.0</v>
      </c>
      <c r="O5" s="1">
        <v>2.0</v>
      </c>
      <c r="P5" s="1">
        <v>46.3</v>
      </c>
      <c r="Q5" s="1">
        <v>1.45</v>
      </c>
      <c r="R5">
        <f t="shared" si="1"/>
        <v>22.02140309</v>
      </c>
      <c r="S5" s="1">
        <v>89.0</v>
      </c>
      <c r="T5" s="1">
        <v>91.0</v>
      </c>
      <c r="U5" s="1">
        <v>35.4</v>
      </c>
      <c r="V5" s="2">
        <v>43673.0</v>
      </c>
      <c r="W5" s="1">
        <v>7.0</v>
      </c>
      <c r="X5" s="1"/>
      <c r="Y5" s="1"/>
      <c r="Z5" s="1"/>
      <c r="AA5" s="1"/>
      <c r="AB5" s="1"/>
      <c r="AC5" s="1"/>
    </row>
    <row r="6">
      <c r="A6" s="1" t="s">
        <v>36</v>
      </c>
      <c r="B6" s="1" t="s">
        <v>37</v>
      </c>
      <c r="C6" s="1">
        <v>34.0</v>
      </c>
      <c r="D6" s="1" t="s">
        <v>25</v>
      </c>
      <c r="E6" s="1">
        <v>4.0</v>
      </c>
      <c r="F6" s="1">
        <v>4.0</v>
      </c>
      <c r="G6" s="1">
        <v>3.0</v>
      </c>
      <c r="H6" s="1">
        <v>3.0</v>
      </c>
      <c r="I6" s="1">
        <v>3.0</v>
      </c>
      <c r="J6" s="1">
        <v>1.0</v>
      </c>
      <c r="K6" s="1" t="s">
        <v>38</v>
      </c>
      <c r="L6" s="1">
        <v>0.0</v>
      </c>
      <c r="N6" s="1">
        <v>2.0</v>
      </c>
      <c r="O6" s="1">
        <v>2.0</v>
      </c>
      <c r="P6" s="1">
        <v>62.9</v>
      </c>
      <c r="Q6" s="1">
        <v>1.5</v>
      </c>
      <c r="R6">
        <f t="shared" si="1"/>
        <v>27.95555556</v>
      </c>
      <c r="S6" s="1">
        <v>98.0</v>
      </c>
      <c r="T6" s="1">
        <v>104.5</v>
      </c>
      <c r="U6" s="1">
        <v>38.0</v>
      </c>
      <c r="V6" s="2">
        <v>43523.0</v>
      </c>
      <c r="W6" s="1">
        <v>7.0</v>
      </c>
      <c r="X6" s="1"/>
      <c r="Y6" s="1"/>
      <c r="Z6" s="1"/>
      <c r="AA6" s="1"/>
      <c r="AB6" s="1"/>
      <c r="AC6" s="1"/>
    </row>
    <row r="7">
      <c r="A7" s="1" t="s">
        <v>39</v>
      </c>
      <c r="B7" s="1" t="s">
        <v>40</v>
      </c>
      <c r="C7" s="1">
        <v>32.0</v>
      </c>
      <c r="D7" s="1" t="s">
        <v>25</v>
      </c>
      <c r="E7" s="1">
        <v>3.0</v>
      </c>
      <c r="F7" s="1">
        <v>4.0</v>
      </c>
      <c r="G7" s="1">
        <v>2.0</v>
      </c>
      <c r="H7" s="1">
        <v>2.0</v>
      </c>
      <c r="I7" s="1">
        <v>3.0</v>
      </c>
      <c r="J7" s="1">
        <v>1.0</v>
      </c>
      <c r="L7" s="1">
        <v>1.0</v>
      </c>
      <c r="M7" s="1" t="s">
        <v>29</v>
      </c>
      <c r="N7" s="1">
        <v>2.0</v>
      </c>
      <c r="O7" s="1">
        <v>2.0</v>
      </c>
      <c r="P7" s="1">
        <v>44.0</v>
      </c>
      <c r="Q7" s="1">
        <v>1.36</v>
      </c>
      <c r="R7">
        <f t="shared" si="1"/>
        <v>23.78892734</v>
      </c>
      <c r="S7" s="1">
        <v>82.2</v>
      </c>
      <c r="T7" s="1">
        <v>92.0</v>
      </c>
      <c r="U7" s="1">
        <v>43.1</v>
      </c>
      <c r="V7" s="1">
        <v>20.4</v>
      </c>
      <c r="W7" s="1">
        <v>7.0</v>
      </c>
      <c r="X7" s="1"/>
      <c r="Y7" s="1"/>
      <c r="Z7" s="1"/>
      <c r="AA7" s="1"/>
      <c r="AB7" s="1"/>
      <c r="AC7" s="1"/>
    </row>
    <row r="8">
      <c r="A8" s="1" t="s">
        <v>41</v>
      </c>
      <c r="B8" s="1" t="s">
        <v>42</v>
      </c>
      <c r="C8" s="1">
        <v>76.0</v>
      </c>
      <c r="D8" s="1" t="s">
        <v>25</v>
      </c>
      <c r="E8" s="1">
        <v>4.0</v>
      </c>
      <c r="F8" s="1">
        <v>3.0</v>
      </c>
      <c r="G8" s="1">
        <v>3.0</v>
      </c>
      <c r="H8" s="1">
        <v>3.0</v>
      </c>
      <c r="I8" s="1">
        <v>3.0</v>
      </c>
      <c r="J8" s="1">
        <v>1.0</v>
      </c>
      <c r="K8" s="1" t="s">
        <v>38</v>
      </c>
      <c r="L8" s="1">
        <v>1.0</v>
      </c>
      <c r="N8" s="1">
        <v>2.0</v>
      </c>
      <c r="O8" s="1">
        <v>2.0</v>
      </c>
      <c r="P8" s="1">
        <v>55.4</v>
      </c>
      <c r="Q8" s="1">
        <v>1.48</v>
      </c>
      <c r="R8">
        <f t="shared" si="1"/>
        <v>25.29218408</v>
      </c>
      <c r="S8" s="1">
        <v>86.7</v>
      </c>
      <c r="T8" s="1">
        <v>90.5</v>
      </c>
      <c r="U8" s="1">
        <v>35.7</v>
      </c>
      <c r="V8" s="1">
        <v>28.2</v>
      </c>
      <c r="W8" s="1">
        <v>11.0</v>
      </c>
      <c r="X8" s="1"/>
      <c r="Y8" s="1"/>
      <c r="Z8" s="1"/>
      <c r="AA8" s="1"/>
      <c r="AB8" s="1"/>
      <c r="AC8" s="1"/>
    </row>
    <row r="9">
      <c r="A9" s="1" t="s">
        <v>43</v>
      </c>
      <c r="B9" s="1" t="s">
        <v>44</v>
      </c>
      <c r="C9" s="1">
        <v>24.0</v>
      </c>
      <c r="D9" s="1" t="s">
        <v>25</v>
      </c>
      <c r="E9" s="1">
        <v>3.0</v>
      </c>
      <c r="F9" s="1">
        <v>4.0</v>
      </c>
      <c r="G9" s="1">
        <v>1.0</v>
      </c>
      <c r="H9" s="1">
        <v>3.0</v>
      </c>
      <c r="I9" s="1">
        <v>2.0</v>
      </c>
      <c r="J9" s="1">
        <v>1.0</v>
      </c>
      <c r="K9" s="1" t="s">
        <v>45</v>
      </c>
      <c r="L9" s="1">
        <v>1.0</v>
      </c>
      <c r="M9" s="1" t="s">
        <v>46</v>
      </c>
      <c r="N9" s="1">
        <v>2.0</v>
      </c>
      <c r="O9" s="1">
        <v>3.0</v>
      </c>
      <c r="P9" s="1">
        <v>48.6</v>
      </c>
      <c r="Q9" s="1">
        <v>1.42</v>
      </c>
      <c r="R9">
        <f t="shared" si="1"/>
        <v>24.10236064</v>
      </c>
      <c r="S9" s="1">
        <v>78.0</v>
      </c>
      <c r="T9" s="1">
        <v>89.3</v>
      </c>
      <c r="U9" s="1">
        <v>36.1</v>
      </c>
      <c r="V9" s="1">
        <v>26.5</v>
      </c>
      <c r="W9" s="1">
        <v>5.0</v>
      </c>
      <c r="X9" s="1"/>
      <c r="Y9" s="1"/>
      <c r="Z9" s="1"/>
      <c r="AA9" s="1"/>
      <c r="AB9" s="1"/>
      <c r="AC9" s="1"/>
    </row>
    <row r="10">
      <c r="A10" s="1" t="s">
        <v>47</v>
      </c>
      <c r="B10" s="1" t="s">
        <v>48</v>
      </c>
      <c r="C10" s="1">
        <v>29.0</v>
      </c>
      <c r="D10" s="1" t="s">
        <v>25</v>
      </c>
      <c r="E10" s="1">
        <v>3.0</v>
      </c>
      <c r="F10" s="1">
        <v>4.0</v>
      </c>
      <c r="G10" s="1">
        <v>3.0</v>
      </c>
      <c r="H10" s="1">
        <v>3.0</v>
      </c>
      <c r="I10" s="1">
        <v>3.0</v>
      </c>
      <c r="J10" s="1">
        <v>1.0</v>
      </c>
      <c r="K10" s="1" t="s">
        <v>38</v>
      </c>
      <c r="L10" s="1">
        <v>0.0</v>
      </c>
      <c r="N10" s="1">
        <v>2.0</v>
      </c>
      <c r="O10" s="1">
        <v>4.0</v>
      </c>
      <c r="P10" s="1">
        <v>50.7</v>
      </c>
      <c r="Q10" s="1">
        <v>1.42</v>
      </c>
      <c r="R10">
        <f t="shared" si="1"/>
        <v>25.14382067</v>
      </c>
      <c r="S10" s="1">
        <v>85.43</v>
      </c>
      <c r="T10" s="1">
        <v>92.6</v>
      </c>
      <c r="U10" s="1">
        <v>41.9</v>
      </c>
      <c r="V10" s="1">
        <v>24.6</v>
      </c>
      <c r="W10" s="1">
        <v>6.0</v>
      </c>
      <c r="X10" s="1"/>
      <c r="Y10" s="1"/>
      <c r="Z10" s="1"/>
      <c r="AA10" s="1"/>
      <c r="AB10" s="1"/>
      <c r="AC10" s="1"/>
    </row>
    <row r="11">
      <c r="A11" s="3" t="s">
        <v>49</v>
      </c>
      <c r="B11" s="1" t="s">
        <v>50</v>
      </c>
      <c r="C11" s="1">
        <v>28.0</v>
      </c>
      <c r="D11" s="1" t="s">
        <v>25</v>
      </c>
      <c r="E11" s="1">
        <v>2.0</v>
      </c>
      <c r="F11" s="1">
        <v>4.0</v>
      </c>
      <c r="G11" s="1">
        <v>4.0</v>
      </c>
      <c r="H11" s="1">
        <v>4.0</v>
      </c>
      <c r="I11" s="1">
        <v>4.0</v>
      </c>
      <c r="J11" s="1">
        <v>1.0</v>
      </c>
      <c r="L11" s="1">
        <v>1.0</v>
      </c>
      <c r="M11" s="1" t="s">
        <v>51</v>
      </c>
      <c r="N11" s="1">
        <v>3.0</v>
      </c>
      <c r="O11" s="1">
        <v>3.0</v>
      </c>
      <c r="P11" s="1">
        <v>56.1</v>
      </c>
      <c r="Q11" s="1">
        <v>1.43</v>
      </c>
      <c r="R11">
        <f t="shared" si="1"/>
        <v>27.43410436</v>
      </c>
      <c r="S11" s="1">
        <v>85.0</v>
      </c>
      <c r="T11" s="1">
        <v>96.5</v>
      </c>
      <c r="U11" s="1">
        <v>41.4</v>
      </c>
      <c r="V11" s="2">
        <v>43732.0</v>
      </c>
      <c r="W11" s="1">
        <v>7.0</v>
      </c>
      <c r="X11" s="1"/>
      <c r="Y11" s="1"/>
      <c r="Z11" s="1"/>
      <c r="AA11" s="1"/>
      <c r="AB11" s="1"/>
      <c r="AC11" s="1"/>
    </row>
    <row r="12">
      <c r="A12" s="1" t="s">
        <v>52</v>
      </c>
      <c r="B12" s="1" t="s">
        <v>53</v>
      </c>
      <c r="C12" s="1">
        <v>27.0</v>
      </c>
      <c r="D12" s="1" t="s">
        <v>25</v>
      </c>
      <c r="E12" s="1">
        <v>3.0</v>
      </c>
      <c r="F12" s="1">
        <v>3.0</v>
      </c>
      <c r="G12" s="1">
        <v>5.0</v>
      </c>
      <c r="H12" s="1">
        <v>3.0</v>
      </c>
      <c r="I12" s="1">
        <v>3.0</v>
      </c>
      <c r="J12" s="1">
        <v>0.0</v>
      </c>
      <c r="L12" s="4" t="s">
        <v>54</v>
      </c>
      <c r="N12" s="1">
        <v>2.0</v>
      </c>
      <c r="O12" s="1">
        <v>5.0</v>
      </c>
      <c r="P12" s="1">
        <v>60.2</v>
      </c>
      <c r="Q12" s="1">
        <v>1.56</v>
      </c>
      <c r="R12">
        <f t="shared" si="1"/>
        <v>24.73701512</v>
      </c>
      <c r="S12" s="1">
        <v>82.0</v>
      </c>
      <c r="T12" s="1">
        <v>97.22</v>
      </c>
      <c r="U12" s="1">
        <v>37.0</v>
      </c>
      <c r="V12" s="1">
        <v>27.0</v>
      </c>
      <c r="W12" s="1">
        <v>5.0</v>
      </c>
      <c r="X12" s="1"/>
      <c r="Y12" s="1"/>
      <c r="Z12" s="1"/>
      <c r="AA12" s="1"/>
      <c r="AB12" s="1"/>
      <c r="AC12" s="1"/>
    </row>
    <row r="13">
      <c r="A13" s="1" t="s">
        <v>55</v>
      </c>
      <c r="B13" s="1" t="s">
        <v>56</v>
      </c>
      <c r="C13" s="1">
        <v>26.0</v>
      </c>
      <c r="D13" s="1" t="s">
        <v>25</v>
      </c>
      <c r="E13" s="1">
        <v>3.0</v>
      </c>
      <c r="F13" s="1">
        <v>4.0</v>
      </c>
      <c r="G13" s="1">
        <v>4.0</v>
      </c>
      <c r="H13" s="1">
        <v>4.0</v>
      </c>
      <c r="I13" s="1">
        <v>3.0</v>
      </c>
      <c r="J13" s="1">
        <v>1.0</v>
      </c>
      <c r="K13" s="1" t="s">
        <v>38</v>
      </c>
      <c r="L13" s="1">
        <v>0.0</v>
      </c>
      <c r="N13" s="1">
        <v>5.0</v>
      </c>
      <c r="O13" s="1">
        <v>2.0</v>
      </c>
      <c r="P13" s="1">
        <v>67.2</v>
      </c>
      <c r="Q13" s="1">
        <v>1.56</v>
      </c>
      <c r="R13">
        <f t="shared" si="1"/>
        <v>27.61341223</v>
      </c>
      <c r="S13" s="1">
        <v>90.56</v>
      </c>
      <c r="T13" s="1">
        <v>102.23</v>
      </c>
      <c r="U13" s="1">
        <v>39.1</v>
      </c>
      <c r="V13" s="2">
        <v>43734.0</v>
      </c>
      <c r="W13" s="1">
        <v>6.0</v>
      </c>
      <c r="X13" s="1"/>
      <c r="Y13" s="1"/>
      <c r="Z13" s="1"/>
      <c r="AA13" s="1"/>
      <c r="AB13" s="1"/>
      <c r="AC13" s="1"/>
    </row>
    <row r="14">
      <c r="A14" s="5" t="s">
        <v>57</v>
      </c>
      <c r="B14" s="1" t="s">
        <v>58</v>
      </c>
      <c r="C14" s="1">
        <v>32.0</v>
      </c>
      <c r="D14" s="1" t="s">
        <v>25</v>
      </c>
      <c r="E14" s="1">
        <v>3.0</v>
      </c>
      <c r="F14" s="1">
        <v>3.0</v>
      </c>
      <c r="G14" s="1">
        <v>4.0</v>
      </c>
      <c r="H14" s="1">
        <v>3.0</v>
      </c>
      <c r="I14" s="1">
        <v>3.0</v>
      </c>
      <c r="J14" s="1">
        <v>1.0</v>
      </c>
      <c r="L14" s="1">
        <v>1.0</v>
      </c>
      <c r="M14" s="1" t="s">
        <v>59</v>
      </c>
      <c r="N14" s="1">
        <v>4.0</v>
      </c>
      <c r="O14" s="4" t="s">
        <v>54</v>
      </c>
      <c r="P14" s="1">
        <v>61.9</v>
      </c>
      <c r="Q14" s="1">
        <v>1.44</v>
      </c>
      <c r="R14">
        <f t="shared" si="1"/>
        <v>29.85146605</v>
      </c>
      <c r="S14" s="1">
        <v>106.0</v>
      </c>
      <c r="T14" s="1">
        <v>108.0</v>
      </c>
      <c r="U14" s="1">
        <v>46.7</v>
      </c>
      <c r="V14" s="2">
        <v>43546.0</v>
      </c>
      <c r="W14" s="1">
        <v>7.0</v>
      </c>
      <c r="X14" s="1"/>
      <c r="Y14" s="1"/>
      <c r="Z14" s="1"/>
      <c r="AA14" s="1"/>
      <c r="AB14" s="1"/>
      <c r="AC14" s="1"/>
    </row>
    <row r="15">
      <c r="A15" s="1" t="s">
        <v>60</v>
      </c>
      <c r="B15" s="1" t="s">
        <v>61</v>
      </c>
      <c r="C15" s="1">
        <v>30.0</v>
      </c>
      <c r="D15" s="1" t="s">
        <v>25</v>
      </c>
      <c r="E15" s="1">
        <v>4.0</v>
      </c>
      <c r="F15" s="1">
        <v>4.0</v>
      </c>
      <c r="G15" s="1">
        <v>4.0</v>
      </c>
      <c r="H15" s="1">
        <v>4.0</v>
      </c>
      <c r="I15" s="1">
        <v>3.0</v>
      </c>
      <c r="J15" s="1">
        <v>1.0</v>
      </c>
      <c r="K15" s="1" t="s">
        <v>62</v>
      </c>
      <c r="L15" s="1">
        <v>1.0</v>
      </c>
      <c r="M15" s="1" t="s">
        <v>62</v>
      </c>
      <c r="N15" s="1">
        <v>4.0</v>
      </c>
      <c r="O15" s="1">
        <v>4.0</v>
      </c>
      <c r="P15" s="1">
        <v>65.2</v>
      </c>
      <c r="Q15" s="1">
        <v>1.57</v>
      </c>
      <c r="R15">
        <f t="shared" si="1"/>
        <v>26.45137734</v>
      </c>
      <c r="S15" s="1">
        <v>93.5</v>
      </c>
      <c r="T15" s="1">
        <v>103.0</v>
      </c>
      <c r="U15" s="1">
        <v>43.4</v>
      </c>
      <c r="V15" s="1">
        <v>22.5</v>
      </c>
      <c r="W15" s="1">
        <v>6.0</v>
      </c>
      <c r="X15" s="1"/>
      <c r="Y15" s="1"/>
      <c r="Z15" s="1"/>
      <c r="AA15" s="1"/>
      <c r="AB15" s="1"/>
      <c r="AC15" s="1"/>
    </row>
    <row r="16">
      <c r="A16" s="1" t="s">
        <v>63</v>
      </c>
      <c r="B16" s="1" t="s">
        <v>64</v>
      </c>
      <c r="C16" s="1">
        <v>35.0</v>
      </c>
      <c r="D16" s="1" t="s">
        <v>25</v>
      </c>
      <c r="E16" s="1">
        <v>3.0</v>
      </c>
      <c r="F16" s="1">
        <v>3.0</v>
      </c>
      <c r="G16" s="1">
        <v>4.0</v>
      </c>
      <c r="H16" s="1">
        <v>3.0</v>
      </c>
      <c r="I16" s="1">
        <v>1.0</v>
      </c>
      <c r="J16" s="1">
        <v>0.0</v>
      </c>
      <c r="L16" s="1">
        <v>1.0</v>
      </c>
      <c r="M16" s="1" t="s">
        <v>65</v>
      </c>
      <c r="N16" s="1">
        <v>2.0</v>
      </c>
      <c r="O16" s="1">
        <v>2.0</v>
      </c>
      <c r="P16" s="1">
        <v>53.6</v>
      </c>
      <c r="Q16" s="1">
        <v>1.53</v>
      </c>
      <c r="R16">
        <f t="shared" si="1"/>
        <v>22.8971763</v>
      </c>
      <c r="S16" s="1">
        <v>89.0</v>
      </c>
      <c r="T16" s="1">
        <v>92.0</v>
      </c>
      <c r="U16" s="1">
        <v>30.7</v>
      </c>
      <c r="V16" s="1">
        <v>29.8</v>
      </c>
      <c r="W16" s="1">
        <v>5.0</v>
      </c>
      <c r="X16" s="1"/>
      <c r="Y16" s="1"/>
      <c r="Z16" s="1"/>
      <c r="AA16" s="1"/>
      <c r="AB16" s="1"/>
      <c r="AC16" s="1"/>
    </row>
    <row r="17">
      <c r="A17" s="1" t="s">
        <v>66</v>
      </c>
      <c r="B17" s="1" t="s">
        <v>67</v>
      </c>
      <c r="C17" s="1">
        <v>31.0</v>
      </c>
      <c r="D17" s="1" t="s">
        <v>25</v>
      </c>
      <c r="E17" s="1">
        <v>4.0</v>
      </c>
      <c r="F17" s="1">
        <v>2.0</v>
      </c>
      <c r="G17" s="1">
        <v>5.0</v>
      </c>
      <c r="H17" s="1">
        <v>2.0</v>
      </c>
      <c r="I17" s="1">
        <v>3.0</v>
      </c>
      <c r="J17" s="1">
        <v>0.0</v>
      </c>
      <c r="L17" s="1">
        <v>0.0</v>
      </c>
      <c r="N17" s="1">
        <v>4.0</v>
      </c>
      <c r="O17" s="1">
        <v>4.0</v>
      </c>
      <c r="P17" s="1">
        <v>43.7</v>
      </c>
      <c r="Q17" s="1">
        <v>1.49</v>
      </c>
      <c r="R17">
        <f t="shared" si="1"/>
        <v>19.68379803</v>
      </c>
      <c r="S17" s="1">
        <v>73.3</v>
      </c>
      <c r="T17" s="1">
        <v>90.6</v>
      </c>
      <c r="U17" s="2">
        <v>43582.0</v>
      </c>
      <c r="V17" s="2">
        <v>43643.0</v>
      </c>
      <c r="W17" s="1">
        <v>3.0</v>
      </c>
      <c r="X17" s="1"/>
      <c r="Y17" s="1"/>
      <c r="Z17" s="1"/>
      <c r="AA17" s="1"/>
      <c r="AB17" s="1"/>
      <c r="AC17" s="1"/>
    </row>
    <row r="18">
      <c r="A18" s="1" t="s">
        <v>68</v>
      </c>
      <c r="B18" s="1" t="s">
        <v>69</v>
      </c>
      <c r="C18" s="1">
        <v>50.0</v>
      </c>
      <c r="D18" s="1" t="s">
        <v>25</v>
      </c>
      <c r="E18" s="1">
        <v>3.0</v>
      </c>
      <c r="F18" s="1">
        <v>2.0</v>
      </c>
      <c r="G18" s="1">
        <v>1.0</v>
      </c>
      <c r="H18" s="1">
        <v>2.0</v>
      </c>
      <c r="I18" s="1">
        <v>3.0</v>
      </c>
      <c r="J18" s="1">
        <v>1.0</v>
      </c>
      <c r="K18" s="1" t="s">
        <v>38</v>
      </c>
      <c r="L18" s="1">
        <v>0.0</v>
      </c>
      <c r="N18" s="1">
        <v>5.0</v>
      </c>
      <c r="O18" s="1">
        <v>2.0</v>
      </c>
      <c r="P18" s="1">
        <v>47.3</v>
      </c>
      <c r="Q18" s="1">
        <v>1.44</v>
      </c>
      <c r="R18">
        <f t="shared" si="1"/>
        <v>22.81057099</v>
      </c>
      <c r="S18" s="1">
        <v>87.16</v>
      </c>
      <c r="T18" s="1">
        <v>90.7</v>
      </c>
      <c r="U18" s="1">
        <v>36.5</v>
      </c>
      <c r="V18" s="2">
        <v>43519.0</v>
      </c>
      <c r="W18" s="1">
        <v>7.0</v>
      </c>
      <c r="X18" s="1"/>
      <c r="Y18" s="1"/>
      <c r="Z18" s="1"/>
      <c r="AA18" s="1"/>
      <c r="AB18" s="1"/>
      <c r="AC18" s="1"/>
    </row>
    <row r="19">
      <c r="A19" s="6" t="s">
        <v>70</v>
      </c>
      <c r="B19" s="1" t="s">
        <v>71</v>
      </c>
      <c r="C19" s="1">
        <v>31.0</v>
      </c>
      <c r="D19" s="1" t="s">
        <v>25</v>
      </c>
      <c r="E19" s="1">
        <v>3.0</v>
      </c>
      <c r="F19" s="1">
        <v>3.0</v>
      </c>
      <c r="G19" s="1">
        <v>3.0</v>
      </c>
      <c r="H19" s="1">
        <v>4.0</v>
      </c>
      <c r="I19" s="1">
        <v>3.0</v>
      </c>
      <c r="J19" s="1">
        <v>1.0</v>
      </c>
      <c r="L19" s="1">
        <v>1.0</v>
      </c>
      <c r="M19" s="1" t="s">
        <v>72</v>
      </c>
      <c r="N19" s="1">
        <v>1.0</v>
      </c>
      <c r="O19" s="1">
        <v>5.0</v>
      </c>
      <c r="P19" s="1">
        <v>45.4</v>
      </c>
      <c r="Q19" s="1">
        <v>1.42</v>
      </c>
      <c r="R19">
        <f t="shared" si="1"/>
        <v>22.51537393</v>
      </c>
      <c r="S19" s="1">
        <v>84.0</v>
      </c>
      <c r="T19" s="1">
        <v>86.0</v>
      </c>
      <c r="U19" s="1">
        <v>33.2</v>
      </c>
      <c r="V19" s="1">
        <v>26.9</v>
      </c>
      <c r="W19" s="1">
        <v>5.0</v>
      </c>
      <c r="X19" s="1"/>
      <c r="Y19" s="1"/>
      <c r="Z19" s="1"/>
      <c r="AA19" s="1"/>
      <c r="AB19" s="1"/>
      <c r="AC19" s="1"/>
    </row>
    <row r="20">
      <c r="A20" s="6" t="s">
        <v>73</v>
      </c>
      <c r="B20" s="1" t="s">
        <v>74</v>
      </c>
      <c r="C20" s="1">
        <v>48.0</v>
      </c>
      <c r="D20" s="1" t="s">
        <v>25</v>
      </c>
      <c r="E20" s="1">
        <v>3.0</v>
      </c>
      <c r="F20" s="1">
        <v>4.0</v>
      </c>
      <c r="G20" s="1">
        <v>4.0</v>
      </c>
      <c r="H20" s="1">
        <v>3.0</v>
      </c>
      <c r="I20" s="1">
        <v>3.0</v>
      </c>
      <c r="J20" s="1">
        <v>1.0</v>
      </c>
      <c r="K20" s="1" t="s">
        <v>75</v>
      </c>
      <c r="L20" s="1">
        <v>1.0</v>
      </c>
      <c r="M20" s="1" t="s">
        <v>76</v>
      </c>
      <c r="N20" s="1">
        <v>4.0</v>
      </c>
      <c r="O20" s="1">
        <v>4.0</v>
      </c>
      <c r="P20" s="1">
        <v>63.7</v>
      </c>
      <c r="Q20" s="1">
        <v>1.5</v>
      </c>
      <c r="R20">
        <f t="shared" si="1"/>
        <v>28.31111111</v>
      </c>
      <c r="S20" s="1">
        <v>97.66</v>
      </c>
      <c r="T20" s="1">
        <v>108.83</v>
      </c>
      <c r="U20" s="1">
        <v>44.5</v>
      </c>
      <c r="V20" s="1">
        <v>22.7</v>
      </c>
      <c r="W20" s="1">
        <v>9.0</v>
      </c>
      <c r="X20" s="1"/>
      <c r="Y20" s="1"/>
      <c r="Z20" s="1"/>
      <c r="AA20" s="1"/>
      <c r="AB20" s="1"/>
      <c r="AC20" s="1"/>
    </row>
    <row r="21">
      <c r="A21" s="1" t="s">
        <v>77</v>
      </c>
      <c r="B21" s="1" t="s">
        <v>78</v>
      </c>
      <c r="C21" s="1">
        <v>35.0</v>
      </c>
      <c r="D21" s="1" t="s">
        <v>25</v>
      </c>
      <c r="E21" s="1">
        <v>3.0</v>
      </c>
      <c r="F21" s="1">
        <v>4.0</v>
      </c>
      <c r="G21" s="1">
        <v>3.0</v>
      </c>
      <c r="H21" s="1">
        <v>4.0</v>
      </c>
      <c r="I21" s="1">
        <v>4.0</v>
      </c>
      <c r="J21" s="1">
        <v>1.0</v>
      </c>
      <c r="L21" s="1">
        <v>0.0</v>
      </c>
      <c r="N21" s="1">
        <v>2.0</v>
      </c>
      <c r="O21" s="1">
        <v>2.0</v>
      </c>
      <c r="P21" s="1">
        <v>45.9</v>
      </c>
      <c r="Q21" s="1">
        <v>1.43</v>
      </c>
      <c r="R21">
        <f t="shared" si="1"/>
        <v>22.44608538</v>
      </c>
      <c r="S21" s="1">
        <v>84.7</v>
      </c>
      <c r="T21" s="1">
        <v>89.0</v>
      </c>
      <c r="U21" s="1">
        <v>34.6</v>
      </c>
      <c r="V21" s="1">
        <v>24.8</v>
      </c>
      <c r="W21" s="1">
        <v>5.0</v>
      </c>
      <c r="X21" s="1"/>
      <c r="Y21" s="1"/>
      <c r="Z21" s="1"/>
      <c r="AA21" s="1"/>
      <c r="AB21" s="1"/>
      <c r="AC21" s="1"/>
    </row>
    <row r="22">
      <c r="A22" s="1" t="s">
        <v>79</v>
      </c>
      <c r="B22" s="1" t="s">
        <v>80</v>
      </c>
      <c r="C22" s="1">
        <v>24.0</v>
      </c>
      <c r="D22" s="1" t="s">
        <v>25</v>
      </c>
      <c r="E22" s="1">
        <v>3.0</v>
      </c>
      <c r="F22" s="1">
        <v>2.0</v>
      </c>
      <c r="G22" s="1">
        <v>1.0</v>
      </c>
      <c r="H22" s="1">
        <v>4.0</v>
      </c>
      <c r="I22" s="1">
        <v>2.0</v>
      </c>
      <c r="J22" s="1">
        <v>0.0</v>
      </c>
      <c r="L22" s="1">
        <v>0.0</v>
      </c>
      <c r="N22" s="1">
        <v>4.0</v>
      </c>
      <c r="O22" s="1">
        <v>2.0</v>
      </c>
      <c r="P22" s="1">
        <v>45.8</v>
      </c>
      <c r="Q22" s="1">
        <v>1.44</v>
      </c>
      <c r="R22">
        <f t="shared" si="1"/>
        <v>22.08719136</v>
      </c>
      <c r="S22" s="1">
        <v>73.0</v>
      </c>
      <c r="T22" s="1">
        <v>87.9</v>
      </c>
      <c r="U22" s="1">
        <v>32.9</v>
      </c>
      <c r="V22" s="2">
        <v>43672.0</v>
      </c>
      <c r="W22" s="1">
        <v>4.0</v>
      </c>
      <c r="X22" s="1"/>
      <c r="Y22" s="1"/>
      <c r="Z22" s="1"/>
      <c r="AA22" s="1"/>
      <c r="AB22" s="1"/>
      <c r="AC22" s="1"/>
    </row>
    <row r="23">
      <c r="A23" s="1" t="s">
        <v>81</v>
      </c>
      <c r="B23" s="1" t="s">
        <v>82</v>
      </c>
      <c r="C23" s="1">
        <v>40.0</v>
      </c>
      <c r="D23" s="1" t="s">
        <v>25</v>
      </c>
      <c r="E23" s="1">
        <v>5.0</v>
      </c>
      <c r="F23" s="1">
        <v>4.0</v>
      </c>
      <c r="G23" s="1">
        <v>4.0</v>
      </c>
      <c r="H23" s="1">
        <v>4.0</v>
      </c>
      <c r="I23" s="1">
        <v>3.0</v>
      </c>
      <c r="J23" s="1">
        <v>1.0</v>
      </c>
      <c r="K23" s="1" t="s">
        <v>75</v>
      </c>
      <c r="L23" s="1">
        <v>0.0</v>
      </c>
      <c r="N23" s="1">
        <v>2.0</v>
      </c>
      <c r="O23" s="1">
        <v>2.0</v>
      </c>
      <c r="P23" s="1">
        <v>53.1</v>
      </c>
      <c r="Q23" s="1">
        <v>1.52</v>
      </c>
      <c r="R23">
        <f t="shared" si="1"/>
        <v>22.98303324</v>
      </c>
      <c r="S23" s="1">
        <v>86.6</v>
      </c>
      <c r="T23" s="1">
        <v>94.5</v>
      </c>
      <c r="U23" s="1">
        <v>36.7</v>
      </c>
      <c r="V23" s="1">
        <v>24.3</v>
      </c>
      <c r="W23" s="1">
        <v>6.0</v>
      </c>
      <c r="X23" s="1"/>
      <c r="Y23" s="1"/>
      <c r="Z23" s="1"/>
      <c r="AA23" s="1"/>
      <c r="AB23" s="1"/>
      <c r="AC23" s="1"/>
    </row>
    <row r="24">
      <c r="A24" s="1" t="s">
        <v>83</v>
      </c>
      <c r="B24" s="1" t="s">
        <v>84</v>
      </c>
      <c r="C24" s="1">
        <v>29.0</v>
      </c>
      <c r="D24" s="1" t="s">
        <v>25</v>
      </c>
      <c r="E24" s="1">
        <v>2.0</v>
      </c>
      <c r="F24" s="1">
        <v>4.0</v>
      </c>
      <c r="G24" s="1">
        <v>4.0</v>
      </c>
      <c r="H24" s="1">
        <v>3.0</v>
      </c>
      <c r="I24" s="1">
        <v>2.0</v>
      </c>
      <c r="J24" s="1">
        <v>1.0</v>
      </c>
      <c r="K24" s="1" t="s">
        <v>85</v>
      </c>
      <c r="L24" s="1">
        <v>1.0</v>
      </c>
      <c r="M24" s="1" t="s">
        <v>86</v>
      </c>
      <c r="N24" s="1">
        <v>2.0</v>
      </c>
      <c r="O24" s="1">
        <v>2.0</v>
      </c>
      <c r="P24" s="1">
        <v>60.9</v>
      </c>
      <c r="Q24" s="1">
        <v>1.42</v>
      </c>
      <c r="R24">
        <f t="shared" si="1"/>
        <v>30.20234081</v>
      </c>
      <c r="S24" s="1">
        <v>88.0</v>
      </c>
      <c r="T24" s="1">
        <v>96.5</v>
      </c>
      <c r="U24" s="1">
        <v>45.4</v>
      </c>
      <c r="V24" s="1">
        <v>23.6</v>
      </c>
      <c r="W24" s="1">
        <v>7.0</v>
      </c>
      <c r="X24" s="1"/>
      <c r="Y24" s="1"/>
      <c r="Z24" s="1"/>
      <c r="AA24" s="1"/>
      <c r="AB24" s="1"/>
      <c r="AC24" s="1"/>
    </row>
    <row r="25">
      <c r="A25" s="6" t="s">
        <v>87</v>
      </c>
      <c r="B25" s="1" t="s">
        <v>88</v>
      </c>
      <c r="C25" s="1">
        <v>40.0</v>
      </c>
      <c r="D25" s="1" t="s">
        <v>25</v>
      </c>
      <c r="E25" s="1">
        <v>4.0</v>
      </c>
      <c r="F25" s="1">
        <v>4.0</v>
      </c>
      <c r="G25" s="1">
        <v>3.0</v>
      </c>
      <c r="H25" s="1">
        <v>4.0</v>
      </c>
      <c r="I25" s="1">
        <v>3.0</v>
      </c>
      <c r="J25" s="1">
        <v>0.0</v>
      </c>
      <c r="K25" s="1" t="s">
        <v>75</v>
      </c>
      <c r="L25" s="1">
        <v>0.0</v>
      </c>
      <c r="M25" s="1" t="s">
        <v>75</v>
      </c>
      <c r="N25" s="1">
        <v>5.0</v>
      </c>
      <c r="O25" s="1">
        <v>5.0</v>
      </c>
      <c r="P25" s="1">
        <v>55.1</v>
      </c>
      <c r="Q25" s="1">
        <v>1.44</v>
      </c>
      <c r="R25">
        <f t="shared" si="1"/>
        <v>26.57214506</v>
      </c>
      <c r="S25" s="1">
        <v>100.2</v>
      </c>
      <c r="T25" s="1">
        <v>96.56</v>
      </c>
      <c r="U25" s="1">
        <v>42.3</v>
      </c>
      <c r="V25" s="1">
        <v>23.3</v>
      </c>
      <c r="W25" s="1">
        <v>7.0</v>
      </c>
      <c r="X25" s="1"/>
      <c r="Y25" s="1"/>
      <c r="Z25" s="1"/>
      <c r="AA25" s="1"/>
      <c r="AB25" s="1"/>
      <c r="AC25" s="1"/>
    </row>
    <row r="26">
      <c r="A26" s="1" t="s">
        <v>89</v>
      </c>
      <c r="B26" s="1" t="s">
        <v>90</v>
      </c>
      <c r="C26" s="1">
        <v>34.0</v>
      </c>
      <c r="D26" s="1" t="s">
        <v>91</v>
      </c>
      <c r="E26" s="1">
        <v>2.0</v>
      </c>
      <c r="F26" s="1">
        <v>4.0</v>
      </c>
      <c r="G26" s="1">
        <v>2.0</v>
      </c>
      <c r="H26" s="1">
        <v>3.0</v>
      </c>
      <c r="I26" s="1">
        <v>3.0</v>
      </c>
      <c r="J26" s="1">
        <v>1.0</v>
      </c>
      <c r="K26" s="1" t="s">
        <v>75</v>
      </c>
      <c r="L26" s="1">
        <v>1.0</v>
      </c>
      <c r="M26" s="1" t="s">
        <v>92</v>
      </c>
      <c r="N26" s="1">
        <v>3.0</v>
      </c>
      <c r="O26" s="1">
        <v>4.0</v>
      </c>
      <c r="P26" s="1">
        <v>51.3</v>
      </c>
      <c r="Q26" s="1">
        <v>1.64</v>
      </c>
      <c r="R26">
        <f t="shared" si="1"/>
        <v>19.07346817</v>
      </c>
      <c r="S26" s="1">
        <v>73.33</v>
      </c>
      <c r="T26" s="1">
        <v>85.66</v>
      </c>
      <c r="U26" s="1">
        <v>9.3</v>
      </c>
      <c r="V26" s="1">
        <v>44.6</v>
      </c>
      <c r="W26" s="1">
        <v>2.0</v>
      </c>
    </row>
    <row r="27">
      <c r="A27" s="1" t="s">
        <v>93</v>
      </c>
      <c r="B27" s="1" t="s">
        <v>94</v>
      </c>
      <c r="C27" s="1">
        <v>40.0</v>
      </c>
      <c r="D27" s="1" t="s">
        <v>91</v>
      </c>
      <c r="E27" s="1">
        <v>2.0</v>
      </c>
      <c r="F27" s="1">
        <v>4.0</v>
      </c>
      <c r="G27" s="1">
        <v>4.0</v>
      </c>
      <c r="H27" s="1">
        <v>3.0</v>
      </c>
      <c r="I27" s="1">
        <v>5.0</v>
      </c>
      <c r="J27" s="1">
        <v>1.0</v>
      </c>
      <c r="K27" s="1" t="s">
        <v>75</v>
      </c>
      <c r="L27" s="1">
        <v>1.0</v>
      </c>
      <c r="M27" s="1" t="s">
        <v>95</v>
      </c>
      <c r="N27" s="1">
        <v>2.0</v>
      </c>
      <c r="O27" s="1">
        <v>2.0</v>
      </c>
      <c r="P27" s="1">
        <v>100.0</v>
      </c>
      <c r="Q27" s="1">
        <v>1.69</v>
      </c>
      <c r="R27">
        <f t="shared" si="1"/>
        <v>35.01277966</v>
      </c>
      <c r="S27" s="1">
        <v>114.0</v>
      </c>
      <c r="T27" s="1">
        <v>116.0</v>
      </c>
      <c r="U27" s="1">
        <v>39.7</v>
      </c>
    </row>
    <row r="28">
      <c r="A28" s="1" t="s">
        <v>96</v>
      </c>
      <c r="B28" s="1" t="s">
        <v>97</v>
      </c>
      <c r="C28" s="1">
        <v>29.0</v>
      </c>
      <c r="D28" s="1" t="s">
        <v>91</v>
      </c>
      <c r="E28" s="1">
        <v>4.0</v>
      </c>
      <c r="F28" s="1">
        <v>3.0</v>
      </c>
      <c r="G28" s="1">
        <v>5.0</v>
      </c>
      <c r="H28" s="1">
        <v>4.0</v>
      </c>
      <c r="I28" s="1">
        <v>3.0</v>
      </c>
      <c r="J28" s="1">
        <v>1.0</v>
      </c>
      <c r="K28" s="1" t="s">
        <v>98</v>
      </c>
      <c r="L28" s="1">
        <v>0.0</v>
      </c>
      <c r="N28" s="1">
        <v>5.0</v>
      </c>
      <c r="O28" s="1">
        <v>2.0</v>
      </c>
      <c r="P28" s="1">
        <v>66.0</v>
      </c>
      <c r="Q28" s="1">
        <v>1.6</v>
      </c>
      <c r="R28">
        <f t="shared" si="1"/>
        <v>25.78125</v>
      </c>
      <c r="S28" s="1">
        <v>88.0</v>
      </c>
      <c r="T28" s="1">
        <v>97.0</v>
      </c>
      <c r="U28" s="1">
        <v>22.1</v>
      </c>
      <c r="V28" s="1">
        <v>27.7</v>
      </c>
      <c r="W28" s="1">
        <v>19.0</v>
      </c>
    </row>
    <row r="29">
      <c r="A29" s="1" t="s">
        <v>99</v>
      </c>
      <c r="B29" s="1" t="s">
        <v>100</v>
      </c>
      <c r="C29" s="1">
        <v>34.0</v>
      </c>
      <c r="D29" s="1" t="s">
        <v>91</v>
      </c>
      <c r="E29" s="1">
        <v>2.0</v>
      </c>
      <c r="F29" s="1">
        <v>3.0</v>
      </c>
      <c r="G29" s="1">
        <v>4.0</v>
      </c>
      <c r="H29" s="1">
        <v>3.0</v>
      </c>
      <c r="I29" s="1">
        <v>3.0</v>
      </c>
      <c r="J29" s="1">
        <v>0.0</v>
      </c>
      <c r="L29" s="1">
        <v>1.0</v>
      </c>
      <c r="M29" s="1" t="s">
        <v>101</v>
      </c>
      <c r="N29" s="1">
        <v>2.0</v>
      </c>
      <c r="O29" s="1">
        <v>2.0</v>
      </c>
      <c r="P29" s="1">
        <v>61.2</v>
      </c>
      <c r="Q29" s="1">
        <v>1.6</v>
      </c>
      <c r="R29">
        <f t="shared" si="1"/>
        <v>23.90625</v>
      </c>
      <c r="S29" s="1">
        <v>79.0</v>
      </c>
      <c r="T29" s="1">
        <v>92.3</v>
      </c>
      <c r="U29" s="1">
        <v>20.6</v>
      </c>
      <c r="V29" s="1">
        <v>39.7</v>
      </c>
      <c r="W29" s="1">
        <v>7.0</v>
      </c>
    </row>
    <row r="30">
      <c r="A30" s="1" t="s">
        <v>102</v>
      </c>
      <c r="B30" s="1" t="s">
        <v>103</v>
      </c>
      <c r="C30" s="1">
        <v>40.0</v>
      </c>
      <c r="D30" s="1" t="s">
        <v>91</v>
      </c>
      <c r="E30" s="1">
        <v>3.0</v>
      </c>
      <c r="F30" s="1">
        <v>4.0</v>
      </c>
      <c r="G30" s="1">
        <v>4.0</v>
      </c>
      <c r="H30" s="1">
        <v>3.0</v>
      </c>
      <c r="I30" s="1">
        <v>5.0</v>
      </c>
      <c r="J30" s="1">
        <v>0.0</v>
      </c>
      <c r="K30" s="1" t="s">
        <v>75</v>
      </c>
      <c r="L30" s="1">
        <v>1.0</v>
      </c>
      <c r="M30" s="1" t="s">
        <v>86</v>
      </c>
      <c r="N30" s="1">
        <v>5.0</v>
      </c>
      <c r="O30" s="1">
        <v>3.0</v>
      </c>
      <c r="P30" s="1">
        <v>101.7</v>
      </c>
      <c r="Q30" s="1">
        <v>1.59</v>
      </c>
      <c r="R30">
        <f t="shared" si="1"/>
        <v>40.22783909</v>
      </c>
      <c r="S30" s="1">
        <v>118.0</v>
      </c>
      <c r="T30" s="1">
        <v>119.0</v>
      </c>
      <c r="U30" s="1">
        <v>44.4</v>
      </c>
      <c r="V30" s="1">
        <v>25.6</v>
      </c>
      <c r="W30" s="1">
        <v>23.0</v>
      </c>
    </row>
    <row r="31">
      <c r="A31" s="1" t="s">
        <v>104</v>
      </c>
      <c r="B31" s="1" t="s">
        <v>105</v>
      </c>
      <c r="C31" s="1">
        <v>45.0</v>
      </c>
      <c r="D31" s="1" t="s">
        <v>91</v>
      </c>
      <c r="E31" s="1">
        <v>3.0</v>
      </c>
      <c r="F31" s="1">
        <v>4.0</v>
      </c>
      <c r="G31" s="1">
        <v>4.0</v>
      </c>
      <c r="H31" s="1">
        <v>4.0</v>
      </c>
      <c r="I31" s="1">
        <v>3.0</v>
      </c>
      <c r="J31" s="1">
        <v>1.0</v>
      </c>
      <c r="K31" s="1" t="s">
        <v>106</v>
      </c>
      <c r="L31" s="1">
        <v>0.0</v>
      </c>
      <c r="M31" s="1" t="s">
        <v>75</v>
      </c>
      <c r="N31" s="1">
        <v>5.0</v>
      </c>
      <c r="O31" s="1">
        <v>2.0</v>
      </c>
      <c r="P31" s="1">
        <v>83.7</v>
      </c>
      <c r="Q31" s="1">
        <v>1.61</v>
      </c>
      <c r="R31">
        <f t="shared" si="1"/>
        <v>32.29042089</v>
      </c>
      <c r="S31" s="1">
        <v>104.0</v>
      </c>
      <c r="T31" s="1">
        <v>104.0</v>
      </c>
      <c r="U31" s="1">
        <v>34.4</v>
      </c>
      <c r="V31" s="1">
        <v>30.8</v>
      </c>
      <c r="W31" s="1">
        <v>17.0</v>
      </c>
    </row>
    <row r="32">
      <c r="A32" s="1" t="s">
        <v>107</v>
      </c>
      <c r="B32" s="1" t="s">
        <v>108</v>
      </c>
      <c r="C32" s="1">
        <v>40.0</v>
      </c>
      <c r="D32" s="1" t="s">
        <v>91</v>
      </c>
      <c r="E32" s="1">
        <v>5.0</v>
      </c>
      <c r="F32" s="1">
        <v>4.0</v>
      </c>
      <c r="G32" s="1">
        <v>4.0</v>
      </c>
      <c r="H32" s="1">
        <v>4.0</v>
      </c>
      <c r="I32" s="1">
        <v>3.0</v>
      </c>
      <c r="J32" s="1">
        <v>1.0</v>
      </c>
      <c r="K32" s="1" t="s">
        <v>75</v>
      </c>
      <c r="L32" s="4" t="s">
        <v>54</v>
      </c>
      <c r="M32" s="1" t="s">
        <v>75</v>
      </c>
      <c r="N32" s="1">
        <v>5.0</v>
      </c>
      <c r="O32" s="1">
        <v>5.0</v>
      </c>
      <c r="P32" s="1">
        <v>56.4</v>
      </c>
      <c r="Q32" s="1">
        <v>1.61</v>
      </c>
      <c r="R32">
        <f t="shared" si="1"/>
        <v>21.75841981</v>
      </c>
      <c r="S32" s="1">
        <v>80.7</v>
      </c>
      <c r="T32" s="1">
        <v>90.0</v>
      </c>
      <c r="U32" s="2">
        <v>43513.0</v>
      </c>
      <c r="V32" s="1">
        <v>40.0</v>
      </c>
      <c r="W32" s="1">
        <v>5.0</v>
      </c>
    </row>
    <row r="33">
      <c r="A33" s="1" t="s">
        <v>109</v>
      </c>
      <c r="B33" s="1" t="s">
        <v>110</v>
      </c>
      <c r="C33" s="1">
        <v>49.0</v>
      </c>
      <c r="D33" s="1" t="s">
        <v>91</v>
      </c>
      <c r="E33" s="1">
        <v>5.0</v>
      </c>
      <c r="F33" s="1">
        <v>4.0</v>
      </c>
      <c r="G33" s="1">
        <v>4.0</v>
      </c>
      <c r="H33" s="1">
        <v>4.0</v>
      </c>
      <c r="I33" s="1">
        <v>3.0</v>
      </c>
      <c r="J33" s="1">
        <v>1.0</v>
      </c>
      <c r="L33" s="1">
        <v>1.0</v>
      </c>
      <c r="N33" s="1">
        <v>5.0</v>
      </c>
      <c r="O33" s="1">
        <v>5.0</v>
      </c>
      <c r="P33" s="1">
        <v>86.9</v>
      </c>
      <c r="Q33" s="1">
        <v>1.68</v>
      </c>
      <c r="R33">
        <f t="shared" si="1"/>
        <v>30.78939909</v>
      </c>
      <c r="S33" s="1">
        <v>108.0</v>
      </c>
      <c r="T33" s="1">
        <v>105.0</v>
      </c>
      <c r="U33" s="1">
        <v>35.5</v>
      </c>
      <c r="V33" s="1">
        <v>29.0</v>
      </c>
      <c r="W33" s="4" t="s">
        <v>54</v>
      </c>
    </row>
    <row r="34">
      <c r="A34" s="1" t="s">
        <v>111</v>
      </c>
      <c r="B34" s="1" t="s">
        <v>112</v>
      </c>
      <c r="C34" s="1">
        <v>35.0</v>
      </c>
      <c r="D34" s="1" t="s">
        <v>91</v>
      </c>
      <c r="E34" s="1">
        <v>2.0</v>
      </c>
      <c r="F34" s="1">
        <v>4.0</v>
      </c>
      <c r="G34" s="1">
        <v>4.0</v>
      </c>
      <c r="H34" s="1">
        <v>4.0</v>
      </c>
      <c r="I34" s="1">
        <v>3.0</v>
      </c>
      <c r="J34" s="1">
        <v>1.0</v>
      </c>
      <c r="L34" s="1">
        <v>1.0</v>
      </c>
      <c r="M34" s="1" t="s">
        <v>76</v>
      </c>
      <c r="N34" s="1">
        <v>5.0</v>
      </c>
      <c r="O34" s="1">
        <v>5.0</v>
      </c>
      <c r="P34" s="1">
        <v>101.7</v>
      </c>
      <c r="Q34" s="1">
        <v>1.64</v>
      </c>
      <c r="R34">
        <f t="shared" si="1"/>
        <v>37.8123141</v>
      </c>
      <c r="S34" s="1">
        <v>113.0</v>
      </c>
      <c r="T34" s="1">
        <v>117.0</v>
      </c>
      <c r="U34" s="1">
        <v>35.6</v>
      </c>
      <c r="V34" s="1">
        <v>31.0</v>
      </c>
      <c r="W34" s="1">
        <v>20.0</v>
      </c>
    </row>
    <row r="35">
      <c r="A35" s="1" t="s">
        <v>113</v>
      </c>
      <c r="B35" s="1" t="s">
        <v>114</v>
      </c>
      <c r="C35" s="1">
        <v>41.0</v>
      </c>
      <c r="D35" s="1" t="s">
        <v>91</v>
      </c>
      <c r="E35" s="1">
        <v>2.0</v>
      </c>
      <c r="F35" s="1">
        <v>2.0</v>
      </c>
      <c r="G35" s="1">
        <v>4.0</v>
      </c>
      <c r="H35" s="1">
        <v>4.0</v>
      </c>
      <c r="I35" s="1">
        <v>4.0</v>
      </c>
      <c r="J35" s="1">
        <v>1.0</v>
      </c>
      <c r="L35" s="1">
        <v>1.0</v>
      </c>
      <c r="M35" s="1" t="s">
        <v>72</v>
      </c>
      <c r="N35" s="1">
        <v>5.0</v>
      </c>
      <c r="O35" s="1">
        <v>2.0</v>
      </c>
      <c r="P35" s="1">
        <v>76.0</v>
      </c>
      <c r="Q35" s="1">
        <v>1.66</v>
      </c>
      <c r="R35">
        <f t="shared" si="1"/>
        <v>27.58020032</v>
      </c>
      <c r="S35" s="1">
        <v>96.0</v>
      </c>
      <c r="T35" s="1">
        <v>101.3</v>
      </c>
      <c r="U35" s="1">
        <v>30.0</v>
      </c>
      <c r="V35" s="1">
        <v>32.0</v>
      </c>
      <c r="W35" s="1">
        <v>12.0</v>
      </c>
    </row>
    <row r="36">
      <c r="A36" s="1" t="s">
        <v>115</v>
      </c>
      <c r="B36" s="1" t="s">
        <v>116</v>
      </c>
      <c r="C36" s="1">
        <v>49.0</v>
      </c>
      <c r="D36" s="1" t="s">
        <v>91</v>
      </c>
      <c r="E36" s="1">
        <v>3.0</v>
      </c>
      <c r="F36" s="1">
        <v>3.0</v>
      </c>
      <c r="G36" s="1">
        <v>3.0</v>
      </c>
      <c r="H36" s="1">
        <v>4.0</v>
      </c>
      <c r="I36" s="1">
        <v>3.0</v>
      </c>
      <c r="J36" s="1">
        <v>1.0</v>
      </c>
      <c r="K36" s="1" t="s">
        <v>117</v>
      </c>
      <c r="L36" s="1">
        <v>0.0</v>
      </c>
      <c r="N36" s="1">
        <v>2.0</v>
      </c>
      <c r="O36" s="1">
        <v>4.0</v>
      </c>
      <c r="P36" s="1">
        <v>49.8</v>
      </c>
      <c r="Q36" s="1">
        <v>1.43</v>
      </c>
      <c r="R36">
        <f t="shared" si="1"/>
        <v>24.35326911</v>
      </c>
      <c r="S36" s="1">
        <v>90.0</v>
      </c>
      <c r="T36" s="1">
        <v>92.0</v>
      </c>
      <c r="U36" s="1">
        <v>36.7</v>
      </c>
      <c r="V36" s="1">
        <v>25.8</v>
      </c>
      <c r="W36" s="1">
        <v>7.0</v>
      </c>
    </row>
    <row r="37">
      <c r="A37" s="1" t="s">
        <v>118</v>
      </c>
      <c r="B37" s="1" t="s">
        <v>119</v>
      </c>
      <c r="C37" s="1">
        <v>27.0</v>
      </c>
      <c r="D37" s="1" t="s">
        <v>91</v>
      </c>
      <c r="E37" s="1">
        <v>4.0</v>
      </c>
      <c r="F37" s="1">
        <v>2.0</v>
      </c>
      <c r="G37" s="1">
        <v>3.0</v>
      </c>
      <c r="H37" s="1">
        <v>3.0</v>
      </c>
      <c r="I37" s="1">
        <v>3.0</v>
      </c>
      <c r="J37" s="1">
        <v>1.0</v>
      </c>
      <c r="K37" s="1" t="s">
        <v>117</v>
      </c>
      <c r="L37" s="1">
        <v>0.0</v>
      </c>
      <c r="N37" s="1">
        <v>4.0</v>
      </c>
      <c r="O37" s="1">
        <v>4.0</v>
      </c>
      <c r="P37" s="1">
        <v>56.2</v>
      </c>
      <c r="Q37" s="1">
        <v>1.5</v>
      </c>
      <c r="R37">
        <f t="shared" si="1"/>
        <v>24.97777778</v>
      </c>
      <c r="S37" s="1">
        <v>79.0</v>
      </c>
      <c r="T37" s="1">
        <v>86.0</v>
      </c>
      <c r="U37" s="1">
        <v>24.3</v>
      </c>
      <c r="V37" s="1">
        <v>39.1</v>
      </c>
      <c r="W37" s="1">
        <v>8.0</v>
      </c>
    </row>
    <row r="38">
      <c r="A38" s="1" t="s">
        <v>120</v>
      </c>
      <c r="B38" s="1" t="s">
        <v>121</v>
      </c>
      <c r="C38" s="1">
        <v>48.0</v>
      </c>
      <c r="D38" s="1" t="s">
        <v>91</v>
      </c>
      <c r="E38" s="1">
        <v>3.0</v>
      </c>
      <c r="F38" s="1">
        <v>3.0</v>
      </c>
      <c r="G38" s="1">
        <v>1.0</v>
      </c>
      <c r="H38" s="1">
        <v>4.0</v>
      </c>
      <c r="I38" s="1">
        <v>4.0</v>
      </c>
      <c r="J38" s="1">
        <v>1.0</v>
      </c>
      <c r="L38" s="1">
        <v>0.0</v>
      </c>
      <c r="N38" s="1">
        <v>3.0</v>
      </c>
      <c r="O38" s="1">
        <v>3.0</v>
      </c>
      <c r="P38" s="1">
        <v>60.5</v>
      </c>
      <c r="Q38" s="1">
        <v>1.58</v>
      </c>
      <c r="R38">
        <f t="shared" si="1"/>
        <v>24.23489825</v>
      </c>
      <c r="S38" s="1">
        <v>84.9</v>
      </c>
      <c r="T38" s="1">
        <v>91.5</v>
      </c>
      <c r="U38" s="1">
        <v>21.7</v>
      </c>
      <c r="V38" s="1">
        <v>37.1</v>
      </c>
      <c r="W38" s="1">
        <v>9.0</v>
      </c>
    </row>
    <row r="39">
      <c r="A39" s="1" t="s">
        <v>122</v>
      </c>
      <c r="B39" s="1" t="s">
        <v>123</v>
      </c>
      <c r="C39" s="1">
        <v>40.0</v>
      </c>
      <c r="D39" s="1" t="s">
        <v>91</v>
      </c>
      <c r="E39" s="1">
        <v>5.0</v>
      </c>
      <c r="F39" s="1">
        <v>2.0</v>
      </c>
      <c r="G39" s="1">
        <v>3.0</v>
      </c>
      <c r="H39" s="1">
        <v>3.0</v>
      </c>
      <c r="I39" s="1">
        <v>3.0</v>
      </c>
      <c r="J39" s="1">
        <v>1.0</v>
      </c>
      <c r="K39" s="1" t="s">
        <v>124</v>
      </c>
      <c r="L39" s="1">
        <v>0.0</v>
      </c>
      <c r="N39" s="1">
        <v>4.0</v>
      </c>
      <c r="O39" s="1">
        <v>4.0</v>
      </c>
      <c r="P39" s="1">
        <v>57.3</v>
      </c>
      <c r="Q39" s="1">
        <v>1.49</v>
      </c>
      <c r="R39">
        <f t="shared" si="1"/>
        <v>25.80964821</v>
      </c>
      <c r="S39" s="1">
        <v>82.7</v>
      </c>
      <c r="T39" s="1">
        <v>91.0</v>
      </c>
      <c r="U39" s="1">
        <v>28.0</v>
      </c>
      <c r="V39" s="1">
        <v>34.0</v>
      </c>
      <c r="W39" s="1">
        <v>11.0</v>
      </c>
    </row>
    <row r="40">
      <c r="A40" s="1" t="s">
        <v>125</v>
      </c>
      <c r="B40" s="1" t="s">
        <v>126</v>
      </c>
      <c r="C40" s="1">
        <v>26.0</v>
      </c>
      <c r="D40" s="1" t="s">
        <v>91</v>
      </c>
      <c r="E40" s="1">
        <v>4.0</v>
      </c>
      <c r="F40" s="1">
        <v>5.0</v>
      </c>
      <c r="G40" s="1">
        <v>3.0</v>
      </c>
      <c r="H40" s="1">
        <v>3.0</v>
      </c>
      <c r="I40" s="1">
        <v>1.0</v>
      </c>
      <c r="J40" s="1">
        <v>1.0</v>
      </c>
      <c r="K40" s="1" t="s">
        <v>29</v>
      </c>
      <c r="L40" s="1">
        <v>1.0</v>
      </c>
      <c r="N40" s="1">
        <v>2.0</v>
      </c>
      <c r="O40" s="1">
        <v>2.0</v>
      </c>
      <c r="P40" s="1">
        <v>72.5</v>
      </c>
      <c r="Q40" s="1">
        <v>1.58</v>
      </c>
      <c r="R40">
        <f t="shared" si="1"/>
        <v>29.04182022</v>
      </c>
      <c r="S40" s="1">
        <v>99.0</v>
      </c>
      <c r="T40" s="1">
        <v>102.0</v>
      </c>
      <c r="U40" s="1">
        <v>30.0</v>
      </c>
      <c r="V40" s="1">
        <v>35.6</v>
      </c>
      <c r="W40" s="1">
        <v>11.0</v>
      </c>
    </row>
    <row r="41">
      <c r="A41" s="1" t="s">
        <v>127</v>
      </c>
      <c r="B41" s="1" t="s">
        <v>128</v>
      </c>
      <c r="C41" s="1">
        <v>17.0</v>
      </c>
      <c r="D41" s="1" t="s">
        <v>91</v>
      </c>
      <c r="E41" s="1">
        <v>1.0</v>
      </c>
      <c r="F41" s="1">
        <v>1.0</v>
      </c>
      <c r="G41" s="1">
        <v>3.0</v>
      </c>
      <c r="H41" s="1">
        <v>3.0</v>
      </c>
      <c r="I41" s="1">
        <v>2.0</v>
      </c>
      <c r="J41" s="1">
        <v>1.0</v>
      </c>
      <c r="L41" s="1">
        <v>1.0</v>
      </c>
      <c r="N41" s="1">
        <v>2.0</v>
      </c>
      <c r="O41" s="1">
        <v>2.0</v>
      </c>
      <c r="P41" s="1">
        <v>43.4</v>
      </c>
      <c r="Q41" s="1">
        <v>1.48</v>
      </c>
      <c r="R41">
        <f t="shared" si="1"/>
        <v>19.81373265</v>
      </c>
      <c r="S41" s="1">
        <v>70.5</v>
      </c>
      <c r="T41" s="1">
        <v>80.6</v>
      </c>
      <c r="U41" s="1">
        <v>10.8</v>
      </c>
      <c r="V41" s="7"/>
      <c r="W41" s="7"/>
    </row>
    <row r="42">
      <c r="A42" s="1" t="s">
        <v>129</v>
      </c>
      <c r="B42" s="1" t="s">
        <v>130</v>
      </c>
      <c r="C42" s="1">
        <v>26.0</v>
      </c>
      <c r="D42" s="1" t="s">
        <v>91</v>
      </c>
      <c r="E42" s="1">
        <v>2.0</v>
      </c>
      <c r="F42" s="1">
        <v>3.0</v>
      </c>
      <c r="G42" s="1">
        <v>3.0</v>
      </c>
      <c r="H42" s="1">
        <v>3.0</v>
      </c>
      <c r="I42" s="1">
        <v>3.0</v>
      </c>
      <c r="J42" s="1">
        <v>0.0</v>
      </c>
      <c r="L42" s="1">
        <v>0.0</v>
      </c>
      <c r="N42" s="1">
        <v>2.0</v>
      </c>
      <c r="O42" s="1">
        <v>2.0</v>
      </c>
      <c r="P42" s="1">
        <v>54.5</v>
      </c>
      <c r="Q42" s="1">
        <v>1.62</v>
      </c>
      <c r="R42">
        <f t="shared" si="1"/>
        <v>20.76665143</v>
      </c>
      <c r="S42" s="1">
        <v>77.0</v>
      </c>
      <c r="T42" s="1">
        <v>87.0</v>
      </c>
      <c r="U42" s="8"/>
      <c r="V42" s="7"/>
      <c r="W42" s="7"/>
    </row>
    <row r="43">
      <c r="A43" s="1" t="s">
        <v>131</v>
      </c>
      <c r="B43" s="1" t="s">
        <v>132</v>
      </c>
      <c r="C43" s="1">
        <v>29.0</v>
      </c>
      <c r="D43" s="1" t="s">
        <v>91</v>
      </c>
      <c r="E43" s="1">
        <v>2.0</v>
      </c>
      <c r="F43" s="1">
        <v>3.0</v>
      </c>
      <c r="G43" s="1">
        <v>2.0</v>
      </c>
      <c r="H43" s="1">
        <v>4.0</v>
      </c>
      <c r="I43" s="1">
        <v>4.0</v>
      </c>
      <c r="J43" s="1">
        <v>1.0</v>
      </c>
      <c r="K43" s="1" t="s">
        <v>38</v>
      </c>
      <c r="L43" s="1">
        <v>0.0</v>
      </c>
      <c r="N43" s="1">
        <v>2.0</v>
      </c>
      <c r="O43" s="1">
        <v>2.0</v>
      </c>
      <c r="P43" s="1">
        <v>60.0</v>
      </c>
      <c r="Q43" s="1">
        <v>1.61</v>
      </c>
      <c r="R43">
        <f t="shared" si="1"/>
        <v>23.14725512</v>
      </c>
      <c r="S43" s="1">
        <v>91.0</v>
      </c>
      <c r="T43" s="1">
        <v>79.9</v>
      </c>
      <c r="U43" s="1">
        <v>20.6</v>
      </c>
      <c r="V43" s="1">
        <v>41.3</v>
      </c>
      <c r="W43" s="1">
        <v>8.0</v>
      </c>
    </row>
    <row r="44">
      <c r="A44" s="1" t="s">
        <v>133</v>
      </c>
      <c r="B44" s="1" t="s">
        <v>134</v>
      </c>
      <c r="C44" s="1">
        <v>60.0</v>
      </c>
      <c r="D44" s="1" t="s">
        <v>91</v>
      </c>
      <c r="E44" s="1">
        <v>2.0</v>
      </c>
      <c r="F44" s="1">
        <v>4.0</v>
      </c>
      <c r="G44" s="4" t="s">
        <v>54</v>
      </c>
      <c r="H44" s="1">
        <v>3.0</v>
      </c>
      <c r="I44" s="1">
        <v>3.0</v>
      </c>
      <c r="J44" s="1">
        <v>1.0</v>
      </c>
      <c r="K44" s="1" t="s">
        <v>135</v>
      </c>
      <c r="L44" s="4" t="s">
        <v>54</v>
      </c>
      <c r="N44" s="1">
        <v>2.0</v>
      </c>
      <c r="O44" s="1">
        <v>2.0</v>
      </c>
      <c r="P44" s="1">
        <v>45.5</v>
      </c>
      <c r="Q44" s="1">
        <v>1.47</v>
      </c>
      <c r="R44">
        <f t="shared" si="1"/>
        <v>21.05604146</v>
      </c>
      <c r="S44" s="1">
        <v>76.5</v>
      </c>
      <c r="T44" s="1">
        <v>82.5</v>
      </c>
      <c r="U44" s="1">
        <v>18.5</v>
      </c>
      <c r="V44" s="1">
        <v>36.8</v>
      </c>
      <c r="W44" s="1">
        <v>8.0</v>
      </c>
    </row>
    <row r="45">
      <c r="A45" s="1" t="s">
        <v>136</v>
      </c>
      <c r="B45" s="1" t="s">
        <v>137</v>
      </c>
      <c r="C45" s="1">
        <v>74.0</v>
      </c>
      <c r="D45" s="1" t="s">
        <v>91</v>
      </c>
      <c r="E45" s="1">
        <v>4.0</v>
      </c>
      <c r="F45" s="1">
        <v>3.0</v>
      </c>
      <c r="G45" s="1">
        <v>3.0</v>
      </c>
      <c r="H45" s="1">
        <v>3.0</v>
      </c>
      <c r="I45" s="1">
        <v>3.0</v>
      </c>
      <c r="J45" s="1">
        <v>1.0</v>
      </c>
      <c r="K45" s="1" t="s">
        <v>135</v>
      </c>
      <c r="L45" s="1">
        <v>1.0</v>
      </c>
      <c r="M45" s="1" t="s">
        <v>138</v>
      </c>
      <c r="N45" s="1">
        <v>2.0</v>
      </c>
      <c r="O45" s="1">
        <v>2.0</v>
      </c>
      <c r="P45" s="1">
        <v>50.4</v>
      </c>
      <c r="Q45" s="1">
        <v>1.55</v>
      </c>
      <c r="R45">
        <f t="shared" si="1"/>
        <v>20.97814776</v>
      </c>
      <c r="S45" s="1">
        <v>86.4</v>
      </c>
      <c r="T45" s="1">
        <v>89.5</v>
      </c>
      <c r="U45" s="1">
        <v>17.6</v>
      </c>
      <c r="V45" s="1">
        <v>35.3</v>
      </c>
      <c r="W45" s="1">
        <v>10.0</v>
      </c>
    </row>
    <row r="46">
      <c r="A46" s="1" t="s">
        <v>139</v>
      </c>
      <c r="B46" s="1" t="s">
        <v>140</v>
      </c>
      <c r="C46" s="1">
        <v>41.0</v>
      </c>
      <c r="D46" s="1" t="s">
        <v>91</v>
      </c>
      <c r="E46" s="1">
        <v>4.0</v>
      </c>
      <c r="F46" s="1">
        <v>3.0</v>
      </c>
      <c r="G46" s="1">
        <v>3.0</v>
      </c>
      <c r="H46" s="1">
        <v>3.0</v>
      </c>
      <c r="I46" s="1">
        <v>3.0</v>
      </c>
      <c r="J46" s="1">
        <v>0.0</v>
      </c>
      <c r="L46" s="1">
        <v>0.0</v>
      </c>
      <c r="N46" s="1">
        <v>2.0</v>
      </c>
      <c r="O46" s="1">
        <v>2.0</v>
      </c>
      <c r="P46" s="1">
        <v>67.9</v>
      </c>
      <c r="Q46" s="1">
        <v>1.53</v>
      </c>
      <c r="R46">
        <f t="shared" si="1"/>
        <v>29.00593789</v>
      </c>
      <c r="S46" s="1">
        <v>98.0</v>
      </c>
      <c r="T46" s="1">
        <v>95.7</v>
      </c>
      <c r="U46" s="1">
        <v>34.3</v>
      </c>
      <c r="V46" s="1">
        <v>32.0</v>
      </c>
      <c r="W46" s="1">
        <v>16.0</v>
      </c>
    </row>
    <row r="47">
      <c r="A47" s="1" t="s">
        <v>141</v>
      </c>
      <c r="B47" s="1" t="s">
        <v>142</v>
      </c>
      <c r="C47" s="1">
        <v>60.0</v>
      </c>
      <c r="D47" s="1" t="s">
        <v>91</v>
      </c>
      <c r="E47" s="1">
        <v>5.0</v>
      </c>
      <c r="F47" s="1">
        <v>3.0</v>
      </c>
      <c r="G47" s="1">
        <v>2.0</v>
      </c>
      <c r="H47" s="1">
        <v>3.0</v>
      </c>
      <c r="I47" s="1">
        <v>2.0</v>
      </c>
      <c r="J47" s="1">
        <v>1.0</v>
      </c>
      <c r="K47" s="1" t="s">
        <v>38</v>
      </c>
      <c r="L47" s="1">
        <v>1.0</v>
      </c>
      <c r="M47" s="1" t="s">
        <v>38</v>
      </c>
      <c r="N47" s="1">
        <v>2.0</v>
      </c>
      <c r="O47" s="1">
        <v>2.0</v>
      </c>
      <c r="P47" s="1">
        <v>63.9</v>
      </c>
      <c r="Q47" s="1">
        <v>1.57</v>
      </c>
      <c r="R47">
        <f t="shared" si="1"/>
        <v>25.92397257</v>
      </c>
      <c r="S47" s="1">
        <v>95.83</v>
      </c>
      <c r="T47" s="1">
        <v>96.33</v>
      </c>
      <c r="U47" s="1">
        <v>24.0</v>
      </c>
      <c r="V47" s="1">
        <v>34.4</v>
      </c>
      <c r="W47" s="1">
        <v>12.0</v>
      </c>
    </row>
    <row r="48">
      <c r="A48" s="1" t="s">
        <v>143</v>
      </c>
      <c r="B48" s="1" t="s">
        <v>144</v>
      </c>
      <c r="C48" s="1">
        <v>40.0</v>
      </c>
      <c r="D48" s="1" t="s">
        <v>91</v>
      </c>
      <c r="E48" s="1">
        <v>3.0</v>
      </c>
      <c r="F48" s="1">
        <v>3.0</v>
      </c>
      <c r="G48" s="1">
        <v>3.0</v>
      </c>
      <c r="H48" s="1">
        <v>3.0</v>
      </c>
      <c r="I48" s="1">
        <v>3.0</v>
      </c>
      <c r="J48" s="1">
        <v>1.0</v>
      </c>
      <c r="K48" s="1" t="s">
        <v>38</v>
      </c>
      <c r="L48" s="1">
        <v>0.0</v>
      </c>
      <c r="N48" s="1">
        <v>2.0</v>
      </c>
      <c r="O48" s="1">
        <v>2.0</v>
      </c>
      <c r="P48" s="1">
        <v>60.4</v>
      </c>
      <c r="Q48" s="1">
        <v>1.61</v>
      </c>
      <c r="R48">
        <f t="shared" si="1"/>
        <v>23.30157016</v>
      </c>
      <c r="S48" s="1">
        <v>80.4</v>
      </c>
      <c r="T48" s="1">
        <v>94.0</v>
      </c>
      <c r="U48" s="1">
        <v>20.7</v>
      </c>
      <c r="V48" s="1">
        <v>38.4</v>
      </c>
      <c r="W48" s="1">
        <v>7.0</v>
      </c>
    </row>
    <row r="49">
      <c r="A49" s="1" t="s">
        <v>145</v>
      </c>
      <c r="B49" s="1" t="s">
        <v>146</v>
      </c>
      <c r="C49" s="1">
        <v>34.0</v>
      </c>
      <c r="D49" s="1" t="s">
        <v>91</v>
      </c>
      <c r="E49" s="1">
        <v>4.0</v>
      </c>
      <c r="F49" s="1">
        <v>2.0</v>
      </c>
      <c r="G49" s="1">
        <v>5.0</v>
      </c>
      <c r="H49" s="1">
        <v>2.0</v>
      </c>
      <c r="I49" s="1">
        <v>1.0</v>
      </c>
      <c r="J49" s="1">
        <v>0.0</v>
      </c>
      <c r="L49" s="1">
        <v>0.0</v>
      </c>
      <c r="N49" s="1">
        <v>4.0</v>
      </c>
      <c r="O49" s="1">
        <v>5.0</v>
      </c>
      <c r="P49" s="1">
        <v>72.3</v>
      </c>
      <c r="Q49" s="1">
        <v>1.64</v>
      </c>
      <c r="R49">
        <f t="shared" si="1"/>
        <v>26.88132064</v>
      </c>
      <c r="S49" s="1">
        <v>88.83</v>
      </c>
      <c r="T49" s="1">
        <v>100.93</v>
      </c>
      <c r="U49" s="1">
        <v>26.2</v>
      </c>
      <c r="V49" s="1">
        <v>36.3</v>
      </c>
      <c r="W49" s="1">
        <v>10.0</v>
      </c>
    </row>
    <row r="50">
      <c r="A50" s="1" t="s">
        <v>147</v>
      </c>
      <c r="B50" s="1" t="s">
        <v>148</v>
      </c>
      <c r="C50" s="1">
        <v>34.0</v>
      </c>
      <c r="D50" s="1" t="s">
        <v>25</v>
      </c>
      <c r="E50" s="1">
        <v>3.0</v>
      </c>
      <c r="F50" s="1">
        <v>4.0</v>
      </c>
      <c r="G50" s="1">
        <v>4.0</v>
      </c>
      <c r="H50" s="1">
        <v>4.0</v>
      </c>
      <c r="I50" s="1">
        <v>3.0</v>
      </c>
      <c r="J50" s="1">
        <v>0.0</v>
      </c>
      <c r="K50" s="1"/>
      <c r="L50" s="1">
        <v>0.0</v>
      </c>
      <c r="N50" s="1">
        <v>4.0</v>
      </c>
      <c r="O50" s="1">
        <v>4.0</v>
      </c>
      <c r="P50" s="1">
        <v>54.0</v>
      </c>
      <c r="Q50" s="1">
        <v>1.55</v>
      </c>
      <c r="R50">
        <f t="shared" si="1"/>
        <v>22.47658689</v>
      </c>
      <c r="S50" s="1">
        <v>83.0</v>
      </c>
      <c r="T50" s="1">
        <v>91.33</v>
      </c>
      <c r="U50" s="1">
        <v>34.7</v>
      </c>
      <c r="V50" s="1">
        <v>25.9</v>
      </c>
      <c r="W50" s="1">
        <v>5.0</v>
      </c>
    </row>
    <row r="51">
      <c r="A51" s="1" t="s">
        <v>149</v>
      </c>
      <c r="B51" s="1" t="s">
        <v>150</v>
      </c>
      <c r="C51" s="1">
        <v>25.0</v>
      </c>
      <c r="D51" s="1" t="s">
        <v>25</v>
      </c>
      <c r="E51" s="1">
        <v>2.0</v>
      </c>
      <c r="F51" s="1">
        <v>3.0</v>
      </c>
      <c r="G51" s="1">
        <v>2.0</v>
      </c>
      <c r="H51" s="1">
        <v>3.0</v>
      </c>
      <c r="I51" s="1">
        <v>4.0</v>
      </c>
      <c r="J51" s="1">
        <v>1.0</v>
      </c>
      <c r="K51" s="1" t="s">
        <v>151</v>
      </c>
      <c r="L51" s="1">
        <v>0.0</v>
      </c>
      <c r="M51" s="1"/>
      <c r="N51" s="1">
        <v>2.0</v>
      </c>
      <c r="O51" s="1">
        <v>2.0</v>
      </c>
      <c r="P51" s="1">
        <v>79.5</v>
      </c>
      <c r="Q51" s="1">
        <v>1.63</v>
      </c>
      <c r="R51">
        <f t="shared" si="1"/>
        <v>29.92208965</v>
      </c>
      <c r="S51" s="1">
        <v>93.83</v>
      </c>
      <c r="T51" s="1">
        <v>106.73</v>
      </c>
      <c r="U51" s="1">
        <v>44.2</v>
      </c>
      <c r="V51" s="1">
        <v>24.5</v>
      </c>
      <c r="W51" s="1">
        <v>6.0</v>
      </c>
    </row>
    <row r="52">
      <c r="A52" s="1" t="s">
        <v>152</v>
      </c>
      <c r="B52" s="1" t="s">
        <v>153</v>
      </c>
      <c r="C52" s="4">
        <v>32.0</v>
      </c>
      <c r="D52" s="1" t="s">
        <v>25</v>
      </c>
      <c r="E52" s="1">
        <v>2.0</v>
      </c>
      <c r="F52" s="1">
        <v>3.0</v>
      </c>
      <c r="G52" s="1">
        <v>3.0</v>
      </c>
      <c r="H52" s="1">
        <v>3.0</v>
      </c>
      <c r="I52" s="1">
        <v>5.0</v>
      </c>
      <c r="J52" s="1">
        <v>0.0</v>
      </c>
      <c r="K52" s="1"/>
      <c r="L52" s="1">
        <v>1.0</v>
      </c>
      <c r="M52" s="1" t="s">
        <v>154</v>
      </c>
      <c r="N52" s="1">
        <v>2.0</v>
      </c>
      <c r="O52" s="1">
        <v>2.0</v>
      </c>
      <c r="P52" s="1">
        <v>100.3</v>
      </c>
      <c r="Q52" s="1">
        <v>1.58</v>
      </c>
      <c r="R52">
        <f t="shared" si="1"/>
        <v>40.17785611</v>
      </c>
      <c r="S52" s="1">
        <v>113.9</v>
      </c>
      <c r="T52" s="1">
        <v>123.6</v>
      </c>
      <c r="U52" s="1">
        <v>55.6</v>
      </c>
      <c r="V52" s="1">
        <v>19.6</v>
      </c>
      <c r="W52" s="1">
        <v>10.0</v>
      </c>
    </row>
    <row r="53">
      <c r="A53" s="1" t="s">
        <v>155</v>
      </c>
      <c r="B53" s="1" t="s">
        <v>156</v>
      </c>
      <c r="C53" s="1">
        <v>46.0</v>
      </c>
      <c r="D53" s="1" t="s">
        <v>25</v>
      </c>
      <c r="E53" s="1">
        <v>3.0</v>
      </c>
      <c r="F53" s="1">
        <v>4.0</v>
      </c>
      <c r="G53" s="1">
        <v>3.0</v>
      </c>
      <c r="H53" s="1">
        <v>4.0</v>
      </c>
      <c r="I53" s="1">
        <v>4.0</v>
      </c>
      <c r="J53" s="1">
        <v>1.0</v>
      </c>
      <c r="K53" s="1" t="s">
        <v>157</v>
      </c>
      <c r="L53" s="1">
        <v>1.0</v>
      </c>
      <c r="M53" s="1" t="s">
        <v>158</v>
      </c>
      <c r="N53" s="1">
        <v>2.0</v>
      </c>
      <c r="O53" s="1">
        <v>4.0</v>
      </c>
      <c r="P53" s="1">
        <v>62.9</v>
      </c>
      <c r="Q53" s="1">
        <v>1.54</v>
      </c>
      <c r="R53">
        <f t="shared" si="1"/>
        <v>26.52217912</v>
      </c>
      <c r="S53" s="1">
        <v>90.5</v>
      </c>
      <c r="T53" s="1">
        <v>103.66</v>
      </c>
      <c r="U53" s="1">
        <v>44.7</v>
      </c>
      <c r="V53" s="1">
        <v>20.6</v>
      </c>
      <c r="W53" s="1">
        <v>8.0</v>
      </c>
    </row>
    <row r="54">
      <c r="A54" s="1" t="s">
        <v>159</v>
      </c>
      <c r="B54" s="1" t="s">
        <v>160</v>
      </c>
      <c r="C54" s="1">
        <v>31.0</v>
      </c>
      <c r="D54" s="1" t="s">
        <v>25</v>
      </c>
      <c r="E54" s="1">
        <v>4.0</v>
      </c>
      <c r="F54" s="1">
        <v>3.0</v>
      </c>
      <c r="G54" s="1">
        <v>4.0</v>
      </c>
      <c r="H54" s="1">
        <v>4.0</v>
      </c>
      <c r="I54" s="1">
        <v>5.0</v>
      </c>
      <c r="J54" s="1">
        <v>0.0</v>
      </c>
      <c r="K54" s="1"/>
      <c r="L54" s="1">
        <v>0.0</v>
      </c>
      <c r="M54" s="1"/>
      <c r="N54" s="1">
        <v>4.0</v>
      </c>
      <c r="O54" s="1">
        <v>4.0</v>
      </c>
      <c r="P54" s="1">
        <v>64.7</v>
      </c>
      <c r="Q54" s="1">
        <v>1.53</v>
      </c>
      <c r="R54">
        <f t="shared" si="1"/>
        <v>27.63894229</v>
      </c>
      <c r="S54" s="1">
        <v>94.0</v>
      </c>
      <c r="T54" s="1">
        <v>97.66</v>
      </c>
      <c r="U54" s="1">
        <v>43.8</v>
      </c>
      <c r="V54" s="1">
        <v>23.3</v>
      </c>
      <c r="W54" s="1">
        <v>7.0</v>
      </c>
    </row>
    <row r="55">
      <c r="A55" s="1" t="s">
        <v>161</v>
      </c>
      <c r="B55" s="1" t="s">
        <v>162</v>
      </c>
      <c r="C55" s="1">
        <v>32.0</v>
      </c>
      <c r="D55" s="1" t="s">
        <v>25</v>
      </c>
      <c r="E55" s="1">
        <v>2.0</v>
      </c>
      <c r="F55" s="1">
        <v>4.0</v>
      </c>
      <c r="G55" s="1">
        <v>2.0</v>
      </c>
      <c r="H55" s="1">
        <v>4.0</v>
      </c>
      <c r="I55" s="1">
        <v>3.0</v>
      </c>
      <c r="J55" s="1">
        <v>1.0</v>
      </c>
      <c r="K55" s="1" t="s">
        <v>163</v>
      </c>
      <c r="L55" s="1">
        <v>1.0</v>
      </c>
      <c r="M55" s="1" t="s">
        <v>163</v>
      </c>
      <c r="N55" s="1">
        <v>2.0</v>
      </c>
      <c r="O55" s="1">
        <v>2.0</v>
      </c>
      <c r="P55" s="1">
        <v>75.9</v>
      </c>
      <c r="Q55" s="1">
        <v>1.63</v>
      </c>
      <c r="R55">
        <f t="shared" si="1"/>
        <v>28.5671271</v>
      </c>
      <c r="S55" s="1">
        <v>98.5</v>
      </c>
      <c r="T55" s="1">
        <v>99.9</v>
      </c>
      <c r="U55" s="1">
        <v>43.4</v>
      </c>
      <c r="V55" s="1">
        <v>24.4</v>
      </c>
      <c r="W55" s="1">
        <v>7.0</v>
      </c>
    </row>
    <row r="56">
      <c r="A56" s="1" t="s">
        <v>164</v>
      </c>
      <c r="B56" s="1" t="s">
        <v>165</v>
      </c>
      <c r="C56" s="1">
        <v>40.0</v>
      </c>
      <c r="D56" s="1" t="s">
        <v>25</v>
      </c>
      <c r="E56" s="1">
        <v>4.0</v>
      </c>
      <c r="F56" s="1">
        <v>3.0</v>
      </c>
      <c r="G56" s="1">
        <v>3.0</v>
      </c>
      <c r="H56" s="1">
        <v>4.0</v>
      </c>
      <c r="I56" s="1">
        <v>3.0</v>
      </c>
      <c r="J56" s="1">
        <v>1.0</v>
      </c>
      <c r="K56" s="1" t="s">
        <v>86</v>
      </c>
      <c r="L56" s="1">
        <v>0.0</v>
      </c>
      <c r="N56" s="1">
        <v>4.0</v>
      </c>
      <c r="O56" s="1">
        <v>4.0</v>
      </c>
      <c r="P56" s="1">
        <v>61.3</v>
      </c>
      <c r="Q56" s="1">
        <v>1.45</v>
      </c>
      <c r="R56">
        <f t="shared" si="1"/>
        <v>29.15576694</v>
      </c>
      <c r="S56" s="1">
        <v>85.16</v>
      </c>
      <c r="T56" s="1">
        <v>103.83</v>
      </c>
      <c r="U56" s="1">
        <v>47.7</v>
      </c>
      <c r="V56" s="1">
        <v>20.4</v>
      </c>
      <c r="W56" s="1">
        <v>8.0</v>
      </c>
    </row>
    <row r="57">
      <c r="A57" s="1" t="s">
        <v>166</v>
      </c>
      <c r="B57" s="1" t="s">
        <v>167</v>
      </c>
      <c r="C57" s="1">
        <v>41.0</v>
      </c>
      <c r="D57" s="1" t="s">
        <v>25</v>
      </c>
      <c r="E57" s="1">
        <v>3.0</v>
      </c>
      <c r="F57" s="1">
        <v>3.0</v>
      </c>
      <c r="G57" s="1">
        <v>4.0</v>
      </c>
      <c r="H57" s="1">
        <v>4.0</v>
      </c>
      <c r="I57" s="1">
        <v>3.0</v>
      </c>
      <c r="J57" s="1">
        <v>1.0</v>
      </c>
      <c r="K57" s="1" t="s">
        <v>168</v>
      </c>
      <c r="L57" s="1">
        <v>0.0</v>
      </c>
      <c r="N57" s="1">
        <v>4.0</v>
      </c>
      <c r="O57" s="1">
        <v>4.0</v>
      </c>
      <c r="P57" s="1">
        <v>60.8</v>
      </c>
      <c r="Q57" s="1">
        <v>1.53</v>
      </c>
      <c r="R57">
        <f t="shared" si="1"/>
        <v>25.9729164</v>
      </c>
      <c r="S57" s="1">
        <v>87.66</v>
      </c>
      <c r="T57" s="1">
        <v>94.26</v>
      </c>
      <c r="U57" s="1">
        <v>39.7</v>
      </c>
      <c r="V57" s="1">
        <v>25.3</v>
      </c>
      <c r="W57" s="1">
        <v>7.0</v>
      </c>
    </row>
    <row r="58">
      <c r="A58" s="1" t="s">
        <v>169</v>
      </c>
      <c r="B58" s="1" t="s">
        <v>170</v>
      </c>
      <c r="C58" s="1">
        <v>45.0</v>
      </c>
      <c r="D58" s="1" t="s">
        <v>25</v>
      </c>
      <c r="E58" s="1">
        <v>4.0</v>
      </c>
      <c r="F58" s="1">
        <v>4.0</v>
      </c>
      <c r="G58" s="1">
        <v>4.0</v>
      </c>
      <c r="H58" s="1">
        <v>4.0</v>
      </c>
      <c r="I58" s="1">
        <v>4.0</v>
      </c>
      <c r="J58" s="1">
        <v>0.0</v>
      </c>
      <c r="L58" s="1">
        <v>0.0</v>
      </c>
      <c r="N58" s="1">
        <v>4.0</v>
      </c>
      <c r="O58" s="1">
        <v>4.0</v>
      </c>
      <c r="P58" s="1">
        <v>67.2</v>
      </c>
      <c r="Q58" s="1">
        <v>1.68</v>
      </c>
      <c r="R58">
        <f t="shared" si="1"/>
        <v>23.80952381</v>
      </c>
      <c r="S58" s="1">
        <v>87.33</v>
      </c>
      <c r="T58" s="1">
        <v>102.16</v>
      </c>
      <c r="U58" s="1">
        <v>39.3</v>
      </c>
      <c r="V58" s="1">
        <v>24.0</v>
      </c>
      <c r="W58" s="1">
        <v>6.0</v>
      </c>
    </row>
    <row r="59">
      <c r="A59" s="1" t="s">
        <v>171</v>
      </c>
      <c r="B59" s="1" t="s">
        <v>172</v>
      </c>
      <c r="C59" s="1">
        <v>35.0</v>
      </c>
      <c r="D59" s="1" t="s">
        <v>25</v>
      </c>
      <c r="E59" s="1">
        <v>3.0</v>
      </c>
      <c r="F59" s="1">
        <v>4.0</v>
      </c>
      <c r="G59" s="1">
        <v>2.0</v>
      </c>
      <c r="H59" s="1">
        <v>3.0</v>
      </c>
      <c r="I59" s="1">
        <v>4.0</v>
      </c>
      <c r="J59" s="1">
        <v>0.0</v>
      </c>
      <c r="L59" s="1">
        <v>0.0</v>
      </c>
      <c r="N59" s="1">
        <v>2.0</v>
      </c>
      <c r="O59" s="1">
        <v>3.0</v>
      </c>
      <c r="P59" s="1">
        <v>65.2</v>
      </c>
      <c r="Q59" s="1">
        <v>1.67</v>
      </c>
      <c r="R59">
        <f t="shared" si="1"/>
        <v>23.37839291</v>
      </c>
      <c r="S59" s="1">
        <v>86.33</v>
      </c>
      <c r="T59" s="1">
        <v>99.16</v>
      </c>
      <c r="U59" s="1">
        <v>38.9</v>
      </c>
      <c r="V59" s="1">
        <v>23.8</v>
      </c>
      <c r="W59" s="1">
        <v>5.0</v>
      </c>
    </row>
    <row r="60">
      <c r="A60" s="1" t="s">
        <v>173</v>
      </c>
      <c r="B60" s="1" t="s">
        <v>174</v>
      </c>
      <c r="C60" s="1">
        <v>33.0</v>
      </c>
      <c r="D60" s="1" t="s">
        <v>25</v>
      </c>
      <c r="E60" s="1">
        <v>4.0</v>
      </c>
      <c r="F60" s="1">
        <v>3.0</v>
      </c>
      <c r="G60" s="1">
        <v>4.0</v>
      </c>
      <c r="H60" s="1">
        <v>3.0</v>
      </c>
      <c r="I60" s="1">
        <v>3.0</v>
      </c>
      <c r="J60" s="1">
        <v>0.0</v>
      </c>
      <c r="L60" s="1">
        <v>0.0</v>
      </c>
      <c r="N60" s="1">
        <v>4.0</v>
      </c>
      <c r="O60" s="1">
        <v>4.0</v>
      </c>
      <c r="P60" s="1">
        <v>81.7</v>
      </c>
      <c r="Q60" s="1">
        <v>1.61</v>
      </c>
      <c r="R60">
        <f t="shared" si="1"/>
        <v>31.51884572</v>
      </c>
      <c r="S60" s="1">
        <v>102.83</v>
      </c>
      <c r="T60" s="1">
        <v>109.33</v>
      </c>
      <c r="U60" s="1">
        <v>46.3</v>
      </c>
      <c r="V60" s="1">
        <v>23.5</v>
      </c>
      <c r="W60" s="1">
        <v>8.0</v>
      </c>
    </row>
    <row r="61">
      <c r="A61" s="1" t="s">
        <v>175</v>
      </c>
      <c r="B61" s="1" t="s">
        <v>176</v>
      </c>
      <c r="C61" s="1">
        <v>41.0</v>
      </c>
      <c r="D61" s="1" t="s">
        <v>25</v>
      </c>
      <c r="E61" s="1">
        <v>3.0</v>
      </c>
      <c r="F61" s="1">
        <v>4.0</v>
      </c>
      <c r="G61" s="1">
        <v>4.0</v>
      </c>
      <c r="H61" s="1">
        <v>4.0</v>
      </c>
      <c r="I61" s="1">
        <v>3.0</v>
      </c>
      <c r="J61" s="1">
        <v>0.0</v>
      </c>
      <c r="L61" s="4" t="s">
        <v>54</v>
      </c>
      <c r="M61" s="1"/>
      <c r="N61" s="1">
        <v>4.0</v>
      </c>
      <c r="O61" s="1">
        <v>2.0</v>
      </c>
      <c r="P61" s="1">
        <v>82.16</v>
      </c>
      <c r="Q61" s="1">
        <v>1.51</v>
      </c>
      <c r="R61">
        <f t="shared" si="1"/>
        <v>36.0335073</v>
      </c>
      <c r="S61" s="1">
        <v>92.16</v>
      </c>
      <c r="T61" s="1">
        <v>26.2</v>
      </c>
      <c r="U61" s="1">
        <v>40.3</v>
      </c>
      <c r="V61" s="1">
        <v>24.9</v>
      </c>
      <c r="W61" s="1">
        <v>7.0</v>
      </c>
    </row>
    <row r="62">
      <c r="A62" s="1" t="s">
        <v>177</v>
      </c>
      <c r="B62" s="1" t="s">
        <v>178</v>
      </c>
      <c r="C62" s="1">
        <v>44.0</v>
      </c>
      <c r="D62" s="1" t="s">
        <v>25</v>
      </c>
      <c r="E62" s="1">
        <v>3.0</v>
      </c>
      <c r="F62" s="1">
        <v>4.0</v>
      </c>
      <c r="G62" s="1">
        <v>4.0</v>
      </c>
      <c r="H62" s="1">
        <v>4.0</v>
      </c>
      <c r="I62" s="1">
        <v>4.0</v>
      </c>
      <c r="J62" s="1">
        <v>0.0</v>
      </c>
      <c r="K62" s="1"/>
      <c r="L62" s="1">
        <v>1.0</v>
      </c>
      <c r="M62" s="1" t="s">
        <v>179</v>
      </c>
      <c r="N62" s="1">
        <v>4.0</v>
      </c>
      <c r="O62" s="1">
        <v>4.0</v>
      </c>
      <c r="P62" s="1">
        <v>64.2</v>
      </c>
      <c r="Q62" s="1">
        <v>1.58</v>
      </c>
      <c r="R62">
        <f t="shared" si="1"/>
        <v>25.71703253</v>
      </c>
      <c r="S62" s="1">
        <v>87.5</v>
      </c>
      <c r="T62" s="1">
        <v>102.8</v>
      </c>
      <c r="U62" s="1">
        <v>36.5</v>
      </c>
      <c r="V62" s="1">
        <v>27.5</v>
      </c>
      <c r="W62" s="1">
        <v>7.0</v>
      </c>
    </row>
    <row r="63">
      <c r="A63" s="1" t="s">
        <v>180</v>
      </c>
      <c r="B63" s="1" t="s">
        <v>181</v>
      </c>
      <c r="C63" s="1">
        <v>45.0</v>
      </c>
      <c r="D63" s="1" t="s">
        <v>25</v>
      </c>
      <c r="E63" s="1">
        <v>3.0</v>
      </c>
      <c r="F63" s="1">
        <v>4.0</v>
      </c>
      <c r="G63" s="1">
        <v>4.0</v>
      </c>
      <c r="H63" s="1">
        <v>4.0</v>
      </c>
      <c r="I63" s="1">
        <v>3.0</v>
      </c>
      <c r="J63" s="1">
        <v>0.0</v>
      </c>
      <c r="K63" s="1"/>
      <c r="L63" s="1">
        <v>0.0</v>
      </c>
      <c r="N63" s="1">
        <v>2.0</v>
      </c>
      <c r="O63" s="1">
        <v>3.0</v>
      </c>
      <c r="P63" s="1">
        <v>76.8</v>
      </c>
      <c r="Q63" s="1">
        <v>1.56</v>
      </c>
      <c r="R63">
        <f t="shared" si="1"/>
        <v>31.5581854</v>
      </c>
      <c r="S63" s="1">
        <v>96.3</v>
      </c>
      <c r="T63" s="1">
        <v>112.5</v>
      </c>
      <c r="U63" s="1">
        <v>46.6</v>
      </c>
      <c r="V63" s="1">
        <v>23.1</v>
      </c>
      <c r="W63" s="1">
        <v>10.0</v>
      </c>
    </row>
    <row r="64">
      <c r="A64" s="1" t="s">
        <v>182</v>
      </c>
      <c r="B64" s="1" t="s">
        <v>183</v>
      </c>
      <c r="C64" s="1">
        <v>39.0</v>
      </c>
      <c r="D64" s="1" t="s">
        <v>25</v>
      </c>
      <c r="E64" s="1">
        <v>3.0</v>
      </c>
      <c r="F64" s="1">
        <v>3.0</v>
      </c>
      <c r="G64" s="1">
        <v>3.0</v>
      </c>
      <c r="H64" s="1">
        <v>3.0</v>
      </c>
      <c r="I64" s="1">
        <v>3.0</v>
      </c>
      <c r="J64" s="1">
        <v>1.0</v>
      </c>
      <c r="K64" s="1" t="s">
        <v>184</v>
      </c>
      <c r="L64" s="1">
        <v>1.0</v>
      </c>
      <c r="M64" s="1"/>
      <c r="N64" s="1">
        <v>4.0</v>
      </c>
      <c r="O64" s="1">
        <v>4.0</v>
      </c>
      <c r="P64" s="1">
        <v>66.5</v>
      </c>
      <c r="Q64" s="1">
        <v>1.58</v>
      </c>
      <c r="R64">
        <f t="shared" si="1"/>
        <v>26.63835924</v>
      </c>
      <c r="S64" s="1">
        <v>90.5</v>
      </c>
      <c r="T64" s="1">
        <v>103.2</v>
      </c>
      <c r="U64" s="1">
        <v>37.3</v>
      </c>
      <c r="V64" s="1">
        <v>27.4</v>
      </c>
      <c r="W64" s="1">
        <v>6.0</v>
      </c>
    </row>
    <row r="65">
      <c r="A65" s="1" t="s">
        <v>185</v>
      </c>
      <c r="B65" s="1" t="s">
        <v>186</v>
      </c>
      <c r="C65" s="1">
        <v>41.0</v>
      </c>
      <c r="D65" s="1" t="s">
        <v>25</v>
      </c>
      <c r="E65" s="1">
        <v>3.0</v>
      </c>
      <c r="F65" s="1">
        <v>5.0</v>
      </c>
      <c r="G65" s="1">
        <v>4.0</v>
      </c>
      <c r="H65" s="1">
        <v>4.0</v>
      </c>
      <c r="I65" s="1">
        <v>5.0</v>
      </c>
      <c r="J65" s="1">
        <v>1.0</v>
      </c>
      <c r="K65" s="1" t="s">
        <v>187</v>
      </c>
      <c r="L65" s="1">
        <v>1.0</v>
      </c>
      <c r="M65" s="1" t="s">
        <v>187</v>
      </c>
      <c r="N65" s="1">
        <v>2.0</v>
      </c>
      <c r="O65" s="1">
        <v>4.0</v>
      </c>
      <c r="P65" s="1">
        <v>45.9</v>
      </c>
      <c r="Q65" s="1">
        <v>1.55</v>
      </c>
      <c r="R65">
        <f t="shared" si="1"/>
        <v>19.10509886</v>
      </c>
      <c r="S65" s="1">
        <v>73.4</v>
      </c>
      <c r="T65" s="1">
        <v>87.1</v>
      </c>
      <c r="U65" s="1">
        <v>25.1</v>
      </c>
      <c r="V65" s="1">
        <v>29.1</v>
      </c>
      <c r="W65" s="1">
        <v>3.0</v>
      </c>
    </row>
    <row r="66">
      <c r="A66" s="1" t="s">
        <v>188</v>
      </c>
      <c r="B66" s="1" t="s">
        <v>189</v>
      </c>
      <c r="C66" s="1">
        <v>30.0</v>
      </c>
      <c r="D66" s="1" t="s">
        <v>25</v>
      </c>
      <c r="E66" s="1">
        <v>3.0</v>
      </c>
      <c r="F66" s="1">
        <v>3.0</v>
      </c>
      <c r="G66" s="1">
        <v>4.0</v>
      </c>
      <c r="H66" s="1">
        <v>3.0</v>
      </c>
      <c r="I66" s="1">
        <v>3.0</v>
      </c>
      <c r="J66" s="1">
        <v>1.0</v>
      </c>
      <c r="K66" s="1" t="s">
        <v>190</v>
      </c>
      <c r="L66" s="1">
        <v>1.0</v>
      </c>
      <c r="M66" s="1" t="s">
        <v>190</v>
      </c>
      <c r="N66" s="1">
        <v>4.0</v>
      </c>
      <c r="O66" s="1">
        <v>4.0</v>
      </c>
      <c r="P66" s="1">
        <v>41.8</v>
      </c>
      <c r="Q66" s="1">
        <v>1.5</v>
      </c>
      <c r="R66">
        <f t="shared" si="1"/>
        <v>18.57777778</v>
      </c>
      <c r="S66" s="1">
        <v>71.5</v>
      </c>
      <c r="T66" s="1">
        <v>84.5</v>
      </c>
      <c r="U66" s="1">
        <v>24.8</v>
      </c>
      <c r="V66" s="1">
        <v>27.4</v>
      </c>
      <c r="W66" s="1">
        <v>3.0</v>
      </c>
    </row>
    <row r="67">
      <c r="A67" s="1" t="s">
        <v>191</v>
      </c>
      <c r="B67" s="1" t="s">
        <v>192</v>
      </c>
      <c r="C67" s="1">
        <v>37.0</v>
      </c>
      <c r="D67" s="1" t="s">
        <v>25</v>
      </c>
      <c r="E67" s="1">
        <v>3.0</v>
      </c>
      <c r="F67" s="1">
        <v>3.0</v>
      </c>
      <c r="G67" s="1">
        <v>4.0</v>
      </c>
      <c r="H67" s="1">
        <v>4.0</v>
      </c>
      <c r="I67" s="1">
        <v>3.0</v>
      </c>
      <c r="J67" s="1">
        <v>0.0</v>
      </c>
      <c r="L67" s="1">
        <v>0.0</v>
      </c>
      <c r="M67" s="1"/>
      <c r="N67" s="1">
        <v>4.0</v>
      </c>
      <c r="O67" s="1">
        <v>2.0</v>
      </c>
      <c r="P67" s="1">
        <v>68.9</v>
      </c>
      <c r="Q67" s="1">
        <v>1.54</v>
      </c>
      <c r="R67">
        <f t="shared" si="1"/>
        <v>29.05211671</v>
      </c>
      <c r="S67" s="1">
        <v>103.6</v>
      </c>
      <c r="T67" s="1">
        <v>98.0</v>
      </c>
      <c r="U67" s="1">
        <v>42.9</v>
      </c>
      <c r="V67" s="1">
        <v>25.0</v>
      </c>
      <c r="W67" s="1">
        <v>8.0</v>
      </c>
    </row>
    <row r="68">
      <c r="A68" s="1" t="s">
        <v>193</v>
      </c>
      <c r="B68" s="1" t="s">
        <v>194</v>
      </c>
      <c r="C68" s="1">
        <v>43.0</v>
      </c>
      <c r="D68" s="1" t="s">
        <v>25</v>
      </c>
      <c r="E68" s="1">
        <v>3.0</v>
      </c>
      <c r="F68" s="1">
        <v>3.0</v>
      </c>
      <c r="G68" s="1">
        <v>4.0</v>
      </c>
      <c r="H68" s="1">
        <v>4.0</v>
      </c>
      <c r="I68" s="1">
        <v>5.0</v>
      </c>
      <c r="J68" s="1">
        <v>0.0</v>
      </c>
      <c r="K68" s="1"/>
      <c r="L68" s="1">
        <v>1.0</v>
      </c>
      <c r="M68" s="1" t="s">
        <v>195</v>
      </c>
      <c r="N68" s="1">
        <v>4.0</v>
      </c>
      <c r="O68" s="1">
        <v>4.0</v>
      </c>
      <c r="P68" s="1">
        <v>75.0</v>
      </c>
      <c r="Q68" s="1">
        <v>1.66</v>
      </c>
      <c r="R68">
        <f t="shared" si="1"/>
        <v>27.21730295</v>
      </c>
      <c r="S68" s="1">
        <v>97.0</v>
      </c>
      <c r="T68" s="1">
        <v>112.6</v>
      </c>
      <c r="U68" s="1">
        <v>44.7</v>
      </c>
      <c r="V68" s="1">
        <v>22.5</v>
      </c>
      <c r="W68" s="1">
        <v>8.0</v>
      </c>
    </row>
    <row r="69">
      <c r="A69" s="1" t="s">
        <v>196</v>
      </c>
      <c r="B69" s="1" t="s">
        <v>197</v>
      </c>
      <c r="C69" s="1">
        <v>36.0</v>
      </c>
      <c r="D69" s="1" t="s">
        <v>25</v>
      </c>
      <c r="E69" s="1">
        <v>3.0</v>
      </c>
      <c r="F69" s="1">
        <v>4.0</v>
      </c>
      <c r="G69" s="1">
        <v>3.0</v>
      </c>
      <c r="H69" s="1">
        <v>4.0</v>
      </c>
      <c r="I69" s="1">
        <v>4.0</v>
      </c>
      <c r="J69" s="1">
        <v>1.0</v>
      </c>
      <c r="K69" s="1" t="s">
        <v>198</v>
      </c>
      <c r="L69" s="1">
        <v>0.0</v>
      </c>
      <c r="N69" s="1">
        <v>4.0</v>
      </c>
      <c r="O69" s="1">
        <v>4.0</v>
      </c>
      <c r="P69" s="1">
        <v>61.4</v>
      </c>
      <c r="Q69" s="1">
        <v>1.65</v>
      </c>
      <c r="R69">
        <f t="shared" si="1"/>
        <v>22.55280073</v>
      </c>
      <c r="S69" s="1">
        <v>77.0</v>
      </c>
      <c r="T69" s="1">
        <v>98.3</v>
      </c>
      <c r="U69" s="1">
        <v>34.2</v>
      </c>
      <c r="V69" s="1">
        <v>27.0</v>
      </c>
      <c r="W69" s="1">
        <v>5.0</v>
      </c>
    </row>
    <row r="70">
      <c r="A70" s="1" t="s">
        <v>199</v>
      </c>
      <c r="B70" s="1" t="s">
        <v>200</v>
      </c>
      <c r="C70" s="1">
        <v>39.0</v>
      </c>
      <c r="D70" s="1" t="s">
        <v>25</v>
      </c>
      <c r="E70" s="1">
        <v>3.0</v>
      </c>
      <c r="F70" s="1">
        <v>3.0</v>
      </c>
      <c r="G70" s="1">
        <v>3.0</v>
      </c>
      <c r="H70" s="1">
        <v>3.0</v>
      </c>
      <c r="I70" s="1">
        <v>3.0</v>
      </c>
      <c r="J70" s="1">
        <v>0.0</v>
      </c>
      <c r="L70" s="1">
        <v>0.0</v>
      </c>
      <c r="N70" s="1">
        <v>4.0</v>
      </c>
      <c r="O70" s="1">
        <v>5.0</v>
      </c>
      <c r="P70" s="1">
        <v>57.8</v>
      </c>
      <c r="Q70" s="1">
        <v>1.6</v>
      </c>
      <c r="R70">
        <f t="shared" si="1"/>
        <v>22.578125</v>
      </c>
      <c r="S70" s="1">
        <v>72.3</v>
      </c>
      <c r="T70" s="1">
        <v>94.0</v>
      </c>
      <c r="U70" s="1">
        <v>34.7</v>
      </c>
      <c r="V70" s="1">
        <v>26.2</v>
      </c>
      <c r="W70" s="1">
        <v>5.0</v>
      </c>
    </row>
    <row r="71">
      <c r="A71" s="1" t="s">
        <v>201</v>
      </c>
      <c r="B71" s="1" t="s">
        <v>202</v>
      </c>
      <c r="C71" s="1">
        <v>42.0</v>
      </c>
      <c r="D71" s="1" t="s">
        <v>25</v>
      </c>
      <c r="E71" s="1">
        <v>4.0</v>
      </c>
      <c r="F71" s="1">
        <v>4.0</v>
      </c>
      <c r="G71" s="1">
        <v>4.0</v>
      </c>
      <c r="H71" s="1">
        <v>3.0</v>
      </c>
      <c r="I71" s="1">
        <v>4.0</v>
      </c>
      <c r="J71" s="1">
        <v>0.0</v>
      </c>
      <c r="L71" s="1">
        <v>0.0</v>
      </c>
      <c r="N71" s="1">
        <v>4.0</v>
      </c>
      <c r="O71" s="1">
        <v>4.0</v>
      </c>
      <c r="P71" s="1">
        <v>74.5</v>
      </c>
      <c r="Q71" s="1">
        <v>1.51</v>
      </c>
      <c r="R71">
        <f t="shared" si="1"/>
        <v>32.67400553</v>
      </c>
      <c r="S71" s="1">
        <v>102.1</v>
      </c>
      <c r="T71" s="1">
        <v>117.9</v>
      </c>
      <c r="U71" s="1">
        <v>49.3</v>
      </c>
      <c r="V71" s="1">
        <v>21.7</v>
      </c>
      <c r="W71" s="1">
        <v>10.0</v>
      </c>
    </row>
    <row r="72">
      <c r="A72" s="1" t="s">
        <v>203</v>
      </c>
      <c r="B72" s="1" t="s">
        <v>204</v>
      </c>
      <c r="C72" s="1">
        <v>37.0</v>
      </c>
      <c r="D72" s="1" t="s">
        <v>25</v>
      </c>
      <c r="E72" s="1">
        <v>3.0</v>
      </c>
      <c r="F72" s="1">
        <v>3.0</v>
      </c>
      <c r="G72" s="1">
        <v>2.0</v>
      </c>
      <c r="H72" s="1">
        <v>3.0</v>
      </c>
      <c r="I72" s="1">
        <v>4.0</v>
      </c>
      <c r="J72" s="1">
        <v>0.0</v>
      </c>
      <c r="K72" s="1"/>
      <c r="L72" s="1">
        <v>0.0</v>
      </c>
      <c r="M72" s="1"/>
      <c r="N72" s="1">
        <v>3.0</v>
      </c>
      <c r="O72" s="1">
        <v>2.0</v>
      </c>
      <c r="P72" s="1">
        <v>63.2</v>
      </c>
      <c r="Q72" s="1">
        <v>1.53</v>
      </c>
      <c r="R72">
        <f t="shared" si="1"/>
        <v>26.9981631</v>
      </c>
      <c r="S72" s="1">
        <v>80.3</v>
      </c>
      <c r="T72" s="1">
        <v>97.0</v>
      </c>
      <c r="U72" s="1">
        <v>35.5</v>
      </c>
      <c r="V72" s="1">
        <v>28.8</v>
      </c>
      <c r="W72" s="1">
        <v>7.0</v>
      </c>
    </row>
    <row r="73">
      <c r="A73" s="1" t="s">
        <v>205</v>
      </c>
      <c r="B73" s="1" t="s">
        <v>206</v>
      </c>
      <c r="C73" s="1">
        <v>31.0</v>
      </c>
      <c r="D73" s="1" t="s">
        <v>25</v>
      </c>
      <c r="E73" s="1">
        <v>3.0</v>
      </c>
      <c r="F73" s="1">
        <v>3.0</v>
      </c>
      <c r="G73" s="1">
        <v>2.0</v>
      </c>
      <c r="H73" s="1">
        <v>3.0</v>
      </c>
      <c r="I73" s="1">
        <v>3.0</v>
      </c>
      <c r="J73" s="1">
        <v>1.0</v>
      </c>
      <c r="K73" s="1" t="s">
        <v>207</v>
      </c>
      <c r="L73" s="1">
        <v>1.0</v>
      </c>
      <c r="M73" s="1" t="s">
        <v>208</v>
      </c>
      <c r="N73" s="1">
        <v>2.0</v>
      </c>
      <c r="O73" s="1">
        <v>2.0</v>
      </c>
      <c r="P73" s="1">
        <v>71.7</v>
      </c>
      <c r="Q73" s="1">
        <v>1.54</v>
      </c>
      <c r="R73">
        <f t="shared" si="1"/>
        <v>30.23275426</v>
      </c>
      <c r="S73" s="1">
        <v>93.8</v>
      </c>
      <c r="T73" s="1">
        <v>107.6</v>
      </c>
      <c r="U73" s="1">
        <v>44.5</v>
      </c>
      <c r="V73" s="1">
        <v>24.3</v>
      </c>
      <c r="W73" s="1">
        <v>7.0</v>
      </c>
    </row>
    <row r="74">
      <c r="A74" s="1" t="s">
        <v>209</v>
      </c>
      <c r="B74" s="1" t="s">
        <v>210</v>
      </c>
      <c r="C74" s="1">
        <v>28.0</v>
      </c>
      <c r="D74" s="1" t="s">
        <v>25</v>
      </c>
      <c r="E74" s="1">
        <v>3.0</v>
      </c>
      <c r="F74" s="1">
        <v>4.0</v>
      </c>
      <c r="G74" s="1">
        <v>4.0</v>
      </c>
      <c r="H74" s="1">
        <v>4.0</v>
      </c>
      <c r="I74" s="1">
        <v>2.0</v>
      </c>
      <c r="J74" s="1">
        <v>1.0</v>
      </c>
      <c r="K74" s="1" t="s">
        <v>211</v>
      </c>
      <c r="L74" s="1">
        <v>1.0</v>
      </c>
      <c r="M74" s="1" t="s">
        <v>211</v>
      </c>
      <c r="N74" s="1">
        <v>5.0</v>
      </c>
      <c r="O74" s="1">
        <v>4.0</v>
      </c>
      <c r="P74" s="1">
        <v>50.9</v>
      </c>
      <c r="Q74" s="1">
        <v>1.61</v>
      </c>
      <c r="R74">
        <f t="shared" si="1"/>
        <v>19.63658809</v>
      </c>
      <c r="S74" s="1">
        <v>78.4</v>
      </c>
      <c r="T74" s="1">
        <v>88.4</v>
      </c>
      <c r="U74" s="1">
        <v>30.0</v>
      </c>
      <c r="V74" s="1">
        <v>24.5</v>
      </c>
      <c r="W74" s="1">
        <v>3.0</v>
      </c>
    </row>
    <row r="75">
      <c r="A75" s="1" t="s">
        <v>212</v>
      </c>
      <c r="B75" s="1" t="s">
        <v>213</v>
      </c>
      <c r="C75" s="1">
        <v>43.0</v>
      </c>
      <c r="D75" s="1" t="s">
        <v>25</v>
      </c>
      <c r="E75" s="1">
        <v>4.0</v>
      </c>
      <c r="F75" s="1">
        <v>4.0</v>
      </c>
      <c r="G75" s="1">
        <v>4.0</v>
      </c>
      <c r="H75" s="1">
        <v>5.0</v>
      </c>
      <c r="I75" s="1">
        <v>5.0</v>
      </c>
      <c r="J75" s="1">
        <v>0.0</v>
      </c>
      <c r="K75" s="1"/>
      <c r="L75" s="1">
        <v>0.0</v>
      </c>
      <c r="N75" s="1">
        <v>4.0</v>
      </c>
      <c r="O75" s="1">
        <v>4.0</v>
      </c>
      <c r="P75" s="1">
        <v>68.3</v>
      </c>
      <c r="Q75" s="1">
        <v>1.62</v>
      </c>
      <c r="R75">
        <f t="shared" si="1"/>
        <v>26.02499619</v>
      </c>
      <c r="S75" s="1">
        <v>87.0</v>
      </c>
      <c r="T75" s="1">
        <v>105.8</v>
      </c>
      <c r="U75" s="1">
        <v>35.0</v>
      </c>
      <c r="V75" s="1">
        <v>28.5</v>
      </c>
      <c r="W75" s="1">
        <v>7.0</v>
      </c>
    </row>
    <row r="76">
      <c r="A76" s="1" t="s">
        <v>214</v>
      </c>
      <c r="B76" s="1" t="s">
        <v>215</v>
      </c>
      <c r="C76" s="1">
        <v>42.0</v>
      </c>
      <c r="D76" s="1" t="s">
        <v>25</v>
      </c>
      <c r="E76" s="1">
        <v>4.0</v>
      </c>
      <c r="F76" s="1">
        <v>4.0</v>
      </c>
      <c r="G76" s="1">
        <v>4.0</v>
      </c>
      <c r="H76" s="1">
        <v>4.0</v>
      </c>
      <c r="I76" s="1">
        <v>5.0</v>
      </c>
      <c r="J76" s="1">
        <v>1.0</v>
      </c>
      <c r="K76" s="1" t="s">
        <v>216</v>
      </c>
      <c r="L76" s="1">
        <v>0.0</v>
      </c>
      <c r="N76" s="1">
        <v>4.0</v>
      </c>
      <c r="O76" s="1">
        <v>4.0</v>
      </c>
      <c r="P76" s="1">
        <v>57.8</v>
      </c>
      <c r="Q76" s="1">
        <v>1.63</v>
      </c>
      <c r="R76">
        <f t="shared" si="1"/>
        <v>21.7546765</v>
      </c>
      <c r="S76" s="1">
        <v>77.0</v>
      </c>
      <c r="T76" s="1">
        <v>97.8</v>
      </c>
      <c r="U76" s="1">
        <v>32.2</v>
      </c>
      <c r="V76" s="1">
        <v>27.5</v>
      </c>
      <c r="W76" s="1">
        <v>5.0</v>
      </c>
    </row>
    <row r="77">
      <c r="A77" s="1" t="s">
        <v>217</v>
      </c>
      <c r="B77" s="1" t="s">
        <v>218</v>
      </c>
      <c r="C77" s="1">
        <v>34.0</v>
      </c>
      <c r="D77" s="1" t="s">
        <v>25</v>
      </c>
      <c r="E77" s="1">
        <v>3.0</v>
      </c>
      <c r="F77" s="1">
        <v>4.0</v>
      </c>
      <c r="G77" s="1">
        <v>4.0</v>
      </c>
      <c r="H77" s="1">
        <v>5.0</v>
      </c>
      <c r="I77" s="1">
        <v>4.0</v>
      </c>
      <c r="J77" s="1">
        <v>0.0</v>
      </c>
      <c r="K77" s="1"/>
      <c r="L77" s="1">
        <v>0.0</v>
      </c>
      <c r="M77" s="1"/>
      <c r="N77" s="1">
        <v>4.0</v>
      </c>
      <c r="O77" s="1">
        <v>4.0</v>
      </c>
      <c r="P77" s="1">
        <v>45.0</v>
      </c>
      <c r="Q77" s="1">
        <v>1.65</v>
      </c>
      <c r="R77">
        <f t="shared" si="1"/>
        <v>16.52892562</v>
      </c>
      <c r="S77" s="1">
        <v>66.5</v>
      </c>
      <c r="T77" s="1">
        <v>85.6</v>
      </c>
      <c r="U77" s="1">
        <v>19.2</v>
      </c>
      <c r="V77" s="1">
        <v>28.4</v>
      </c>
      <c r="W77" s="1">
        <v>2.0</v>
      </c>
    </row>
    <row r="78">
      <c r="A78" s="1" t="s">
        <v>219</v>
      </c>
      <c r="B78" s="1" t="s">
        <v>220</v>
      </c>
      <c r="C78" s="1">
        <v>43.0</v>
      </c>
      <c r="D78" s="1" t="s">
        <v>25</v>
      </c>
      <c r="E78" s="1">
        <v>4.0</v>
      </c>
      <c r="F78" s="1">
        <v>5.0</v>
      </c>
      <c r="G78" s="1">
        <v>4.0</v>
      </c>
      <c r="H78" s="1">
        <v>4.0</v>
      </c>
      <c r="I78" s="1">
        <v>3.0</v>
      </c>
      <c r="J78" s="1">
        <v>1.0</v>
      </c>
      <c r="K78" s="1" t="s">
        <v>190</v>
      </c>
      <c r="L78" s="1">
        <v>1.0</v>
      </c>
      <c r="M78" s="1" t="s">
        <v>190</v>
      </c>
      <c r="N78" s="1">
        <v>4.0</v>
      </c>
      <c r="O78" s="1">
        <v>4.0</v>
      </c>
      <c r="P78" s="1">
        <v>52.2</v>
      </c>
      <c r="Q78" s="1">
        <v>1.49</v>
      </c>
      <c r="R78">
        <f t="shared" si="1"/>
        <v>23.51245439</v>
      </c>
      <c r="S78" s="1">
        <v>78.5</v>
      </c>
      <c r="T78" s="1">
        <v>93.8</v>
      </c>
      <c r="U78" s="1">
        <v>37.5</v>
      </c>
      <c r="V78" s="1">
        <v>24.1</v>
      </c>
      <c r="W78" s="1">
        <v>6.0</v>
      </c>
    </row>
    <row r="79">
      <c r="A79" s="1" t="s">
        <v>221</v>
      </c>
      <c r="B79" s="1" t="s">
        <v>222</v>
      </c>
      <c r="C79" s="1">
        <v>35.0</v>
      </c>
      <c r="D79" s="1" t="s">
        <v>25</v>
      </c>
      <c r="E79" s="1">
        <v>2.0</v>
      </c>
      <c r="F79" s="1">
        <v>4.0</v>
      </c>
      <c r="G79" s="1">
        <v>4.0</v>
      </c>
      <c r="H79" s="1">
        <v>4.0</v>
      </c>
      <c r="I79" s="1">
        <v>4.0</v>
      </c>
      <c r="J79" s="1">
        <v>1.0</v>
      </c>
      <c r="K79" s="1" t="s">
        <v>223</v>
      </c>
      <c r="L79" s="1">
        <v>0.0</v>
      </c>
      <c r="N79" s="1">
        <v>4.0</v>
      </c>
      <c r="O79" s="1">
        <v>2.0</v>
      </c>
      <c r="P79" s="1">
        <v>66.8</v>
      </c>
      <c r="Q79" s="1">
        <v>1.59</v>
      </c>
      <c r="R79">
        <f t="shared" si="1"/>
        <v>26.42300542</v>
      </c>
      <c r="S79" s="1">
        <v>85.8</v>
      </c>
      <c r="T79" s="1">
        <v>103.0</v>
      </c>
      <c r="U79" s="1">
        <v>40.5</v>
      </c>
      <c r="V79" s="1">
        <v>25.2</v>
      </c>
      <c r="W79" s="1">
        <v>6.0</v>
      </c>
    </row>
    <row r="80">
      <c r="A80" s="1" t="s">
        <v>214</v>
      </c>
      <c r="B80" s="1" t="s">
        <v>215</v>
      </c>
      <c r="C80" s="1">
        <v>42.0</v>
      </c>
      <c r="D80" s="1" t="s">
        <v>25</v>
      </c>
      <c r="E80" s="1">
        <v>4.0</v>
      </c>
      <c r="F80" s="1">
        <v>4.0</v>
      </c>
      <c r="G80" s="1">
        <v>4.0</v>
      </c>
      <c r="H80" s="1">
        <v>4.0</v>
      </c>
      <c r="I80" s="1">
        <v>5.0</v>
      </c>
      <c r="J80" s="1">
        <v>1.0</v>
      </c>
      <c r="K80" s="1" t="s">
        <v>216</v>
      </c>
      <c r="L80" s="1">
        <v>0.0</v>
      </c>
      <c r="N80" s="1">
        <v>4.0</v>
      </c>
      <c r="O80" s="1">
        <v>4.0</v>
      </c>
      <c r="P80" s="1">
        <v>57.8</v>
      </c>
      <c r="Q80" s="1">
        <v>1.63</v>
      </c>
      <c r="R80">
        <f t="shared" si="1"/>
        <v>21.7546765</v>
      </c>
      <c r="S80" s="1">
        <v>77.0</v>
      </c>
      <c r="T80" s="1">
        <v>97.8</v>
      </c>
      <c r="U80" s="1">
        <v>32.2</v>
      </c>
      <c r="V80" s="1">
        <v>27.5</v>
      </c>
      <c r="W80" s="1">
        <v>5.0</v>
      </c>
    </row>
    <row r="81">
      <c r="A81" s="1" t="s">
        <v>217</v>
      </c>
      <c r="B81" s="1" t="s">
        <v>218</v>
      </c>
      <c r="C81" s="1">
        <v>34.0</v>
      </c>
      <c r="D81" s="1" t="s">
        <v>25</v>
      </c>
      <c r="E81" s="1">
        <v>3.0</v>
      </c>
      <c r="F81" s="1">
        <v>4.0</v>
      </c>
      <c r="G81" s="1">
        <v>4.0</v>
      </c>
      <c r="H81" s="1">
        <v>5.0</v>
      </c>
      <c r="I81" s="1">
        <v>4.0</v>
      </c>
      <c r="J81" s="1">
        <v>0.0</v>
      </c>
      <c r="K81" s="1"/>
      <c r="L81" s="1">
        <v>0.0</v>
      </c>
      <c r="M81" s="1"/>
      <c r="N81" s="1">
        <v>4.0</v>
      </c>
      <c r="O81" s="1">
        <v>4.0</v>
      </c>
      <c r="P81" s="1">
        <v>45.0</v>
      </c>
      <c r="Q81" s="1">
        <v>1.65</v>
      </c>
      <c r="R81">
        <f t="shared" si="1"/>
        <v>16.52892562</v>
      </c>
      <c r="S81" s="1">
        <v>66.5</v>
      </c>
      <c r="T81" s="1">
        <v>85.6</v>
      </c>
      <c r="U81" s="1">
        <v>19.2</v>
      </c>
      <c r="V81" s="1">
        <v>28.4</v>
      </c>
      <c r="W81" s="1">
        <v>2.0</v>
      </c>
    </row>
    <row r="82">
      <c r="A82" s="1" t="s">
        <v>219</v>
      </c>
      <c r="B82" s="1" t="s">
        <v>220</v>
      </c>
      <c r="C82" s="1">
        <v>43.0</v>
      </c>
      <c r="D82" s="1" t="s">
        <v>25</v>
      </c>
      <c r="E82" s="1">
        <v>4.0</v>
      </c>
      <c r="F82" s="1">
        <v>5.0</v>
      </c>
      <c r="G82" s="1">
        <v>4.0</v>
      </c>
      <c r="H82" s="1">
        <v>4.0</v>
      </c>
      <c r="I82" s="1">
        <v>3.0</v>
      </c>
      <c r="J82" s="1">
        <v>1.0</v>
      </c>
      <c r="K82" s="1" t="s">
        <v>190</v>
      </c>
      <c r="L82" s="1">
        <v>1.0</v>
      </c>
      <c r="M82" s="1" t="s">
        <v>190</v>
      </c>
      <c r="N82" s="1">
        <v>4.0</v>
      </c>
      <c r="O82" s="1">
        <v>4.0</v>
      </c>
      <c r="P82" s="1">
        <v>52.2</v>
      </c>
      <c r="Q82" s="1">
        <v>1.49</v>
      </c>
      <c r="R82">
        <f t="shared" si="1"/>
        <v>23.51245439</v>
      </c>
      <c r="S82" s="1">
        <v>78.5</v>
      </c>
      <c r="T82" s="1">
        <v>93.8</v>
      </c>
      <c r="U82" s="1">
        <v>37.5</v>
      </c>
      <c r="V82" s="1">
        <v>24.1</v>
      </c>
      <c r="W82" s="1">
        <v>6.0</v>
      </c>
    </row>
    <row r="83">
      <c r="A83" s="1" t="s">
        <v>221</v>
      </c>
      <c r="B83" s="1" t="s">
        <v>222</v>
      </c>
      <c r="C83" s="1">
        <v>35.0</v>
      </c>
      <c r="D83" s="1" t="s">
        <v>25</v>
      </c>
      <c r="E83" s="1">
        <v>2.0</v>
      </c>
      <c r="F83" s="1">
        <v>4.0</v>
      </c>
      <c r="G83" s="1">
        <v>4.0</v>
      </c>
      <c r="H83" s="1">
        <v>4.0</v>
      </c>
      <c r="I83" s="1">
        <v>4.0</v>
      </c>
      <c r="J83" s="1">
        <v>1.0</v>
      </c>
      <c r="K83" s="1" t="s">
        <v>223</v>
      </c>
      <c r="L83" s="1">
        <v>0.0</v>
      </c>
      <c r="N83" s="1">
        <v>4.0</v>
      </c>
      <c r="O83" s="1">
        <v>2.0</v>
      </c>
      <c r="P83" s="1">
        <v>66.8</v>
      </c>
      <c r="Q83" s="1">
        <v>1.59</v>
      </c>
      <c r="R83">
        <f t="shared" si="1"/>
        <v>26.42300542</v>
      </c>
      <c r="S83" s="1">
        <v>85.8</v>
      </c>
      <c r="T83" s="1">
        <v>103.0</v>
      </c>
      <c r="U83" s="1">
        <v>40.5</v>
      </c>
      <c r="V83" s="1">
        <v>25.2</v>
      </c>
      <c r="W83" s="1">
        <v>6.0</v>
      </c>
    </row>
    <row r="84">
      <c r="A84" s="1" t="s">
        <v>214</v>
      </c>
      <c r="B84" s="1" t="s">
        <v>215</v>
      </c>
      <c r="C84" s="1">
        <v>42.0</v>
      </c>
      <c r="D84" s="1" t="s">
        <v>25</v>
      </c>
      <c r="E84" s="1">
        <v>4.0</v>
      </c>
      <c r="F84" s="1">
        <v>4.0</v>
      </c>
      <c r="G84" s="1">
        <v>4.0</v>
      </c>
      <c r="H84" s="1">
        <v>4.0</v>
      </c>
      <c r="I84" s="1">
        <v>5.0</v>
      </c>
      <c r="J84" s="1">
        <v>1.0</v>
      </c>
      <c r="K84" s="1" t="s">
        <v>216</v>
      </c>
      <c r="L84" s="1">
        <v>0.0</v>
      </c>
      <c r="N84" s="1">
        <v>4.0</v>
      </c>
      <c r="O84" s="1">
        <v>4.0</v>
      </c>
      <c r="P84" s="1">
        <v>57.8</v>
      </c>
      <c r="Q84" s="1">
        <v>1.63</v>
      </c>
      <c r="R84">
        <f t="shared" si="1"/>
        <v>21.7546765</v>
      </c>
      <c r="S84" s="1">
        <v>77.0</v>
      </c>
      <c r="T84" s="1">
        <v>97.8</v>
      </c>
      <c r="U84" s="1">
        <v>32.2</v>
      </c>
      <c r="V84" s="1">
        <v>27.5</v>
      </c>
      <c r="W84" s="1">
        <v>5.0</v>
      </c>
    </row>
    <row r="85">
      <c r="A85" s="1" t="s">
        <v>217</v>
      </c>
      <c r="B85" s="1" t="s">
        <v>218</v>
      </c>
      <c r="C85" s="1">
        <v>34.0</v>
      </c>
      <c r="D85" s="1" t="s">
        <v>25</v>
      </c>
      <c r="E85" s="1">
        <v>3.0</v>
      </c>
      <c r="F85" s="1">
        <v>4.0</v>
      </c>
      <c r="G85" s="1">
        <v>4.0</v>
      </c>
      <c r="H85" s="1">
        <v>5.0</v>
      </c>
      <c r="I85" s="1">
        <v>4.0</v>
      </c>
      <c r="J85" s="1">
        <v>0.0</v>
      </c>
      <c r="K85" s="1"/>
      <c r="L85" s="1">
        <v>0.0</v>
      </c>
      <c r="M85" s="1"/>
      <c r="N85" s="1">
        <v>4.0</v>
      </c>
      <c r="O85" s="1">
        <v>4.0</v>
      </c>
      <c r="P85" s="1">
        <v>45.0</v>
      </c>
      <c r="Q85" s="1">
        <v>1.65</v>
      </c>
      <c r="R85">
        <f t="shared" si="1"/>
        <v>16.52892562</v>
      </c>
      <c r="S85" s="1">
        <v>66.5</v>
      </c>
      <c r="T85" s="1">
        <v>85.6</v>
      </c>
      <c r="U85" s="1">
        <v>19.2</v>
      </c>
      <c r="V85" s="1">
        <v>28.4</v>
      </c>
      <c r="W85" s="1">
        <v>2.0</v>
      </c>
    </row>
    <row r="86">
      <c r="A86" s="1" t="s">
        <v>219</v>
      </c>
      <c r="B86" s="1" t="s">
        <v>220</v>
      </c>
      <c r="C86" s="1">
        <v>43.0</v>
      </c>
      <c r="D86" s="1" t="s">
        <v>25</v>
      </c>
      <c r="E86" s="1">
        <v>4.0</v>
      </c>
      <c r="F86" s="1">
        <v>5.0</v>
      </c>
      <c r="G86" s="1">
        <v>4.0</v>
      </c>
      <c r="H86" s="1">
        <v>4.0</v>
      </c>
      <c r="I86" s="1">
        <v>3.0</v>
      </c>
      <c r="J86" s="1">
        <v>1.0</v>
      </c>
      <c r="K86" s="1" t="s">
        <v>190</v>
      </c>
      <c r="L86" s="1">
        <v>1.0</v>
      </c>
      <c r="M86" s="1" t="s">
        <v>190</v>
      </c>
      <c r="N86" s="1">
        <v>4.0</v>
      </c>
      <c r="O86" s="1">
        <v>4.0</v>
      </c>
      <c r="P86" s="1">
        <v>52.2</v>
      </c>
      <c r="Q86" s="1">
        <v>1.49</v>
      </c>
      <c r="R86">
        <f t="shared" si="1"/>
        <v>23.51245439</v>
      </c>
      <c r="S86" s="1">
        <v>78.5</v>
      </c>
      <c r="T86" s="1">
        <v>93.8</v>
      </c>
      <c r="U86" s="1">
        <v>37.5</v>
      </c>
      <c r="V86" s="1">
        <v>24.1</v>
      </c>
      <c r="W86" s="1">
        <v>6.0</v>
      </c>
    </row>
    <row r="87">
      <c r="A87" s="1" t="s">
        <v>221</v>
      </c>
      <c r="B87" s="1" t="s">
        <v>222</v>
      </c>
      <c r="C87" s="1">
        <v>35.0</v>
      </c>
      <c r="D87" s="1" t="s">
        <v>25</v>
      </c>
      <c r="E87" s="1">
        <v>2.0</v>
      </c>
      <c r="F87" s="1">
        <v>4.0</v>
      </c>
      <c r="G87" s="1">
        <v>4.0</v>
      </c>
      <c r="H87" s="1">
        <v>4.0</v>
      </c>
      <c r="I87" s="1">
        <v>4.0</v>
      </c>
      <c r="J87" s="1">
        <v>1.0</v>
      </c>
      <c r="K87" s="1" t="s">
        <v>223</v>
      </c>
      <c r="L87" s="1">
        <v>0.0</v>
      </c>
      <c r="N87" s="1">
        <v>4.0</v>
      </c>
      <c r="O87" s="1">
        <v>2.0</v>
      </c>
      <c r="P87" s="1">
        <v>66.8</v>
      </c>
      <c r="Q87" s="1">
        <v>1.59</v>
      </c>
      <c r="R87">
        <f t="shared" si="1"/>
        <v>26.42300542</v>
      </c>
      <c r="S87" s="1">
        <v>85.8</v>
      </c>
      <c r="T87" s="1">
        <v>103.0</v>
      </c>
      <c r="U87" s="1">
        <v>40.5</v>
      </c>
      <c r="V87" s="1">
        <v>25.2</v>
      </c>
      <c r="W87" s="1">
        <v>6.0</v>
      </c>
    </row>
  </sheetData>
  <drawing r:id="rId1"/>
</worksheet>
</file>